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786fc8c65541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优先序" sheetId="1" r:id="R0e90110e5c2d414c"/>
    <x:sheet xmlns:r="http://schemas.openxmlformats.org/officeDocument/2006/relationships" name="六地监测" sheetId="2" r:id="R61700c25ea1a426b"/>
    <x:sheet xmlns:r="http://schemas.openxmlformats.org/officeDocument/2006/relationships" name="六地儿童覆盖率" sheetId="3" r:id="R9a9b129d5c9e488e"/>
    <x:sheet xmlns:r="http://schemas.openxmlformats.org/officeDocument/2006/relationships" name="两个ICB跨期覆盖率" sheetId="4" r:id="R7b669505a9f849a0"/>
    <x:sheet xmlns:r="http://schemas.openxmlformats.org/officeDocument/2006/relationships" name="两个ICB补种队列" sheetId="5" r:id="R14ce4c5c79f7418c"/>
    <x:sheet xmlns:r="http://schemas.openxmlformats.org/officeDocument/2006/relationships" name="GP核对候选" sheetId="6" r:id="R08774b0f72dd40c8"/>
    <x:sheet xmlns:r="http://schemas.openxmlformats.org/officeDocument/2006/relationships" name="来源与口径" sheetId="7" r:id="Rcc0813cfcb5a4014"/>
    <x:sheet xmlns:r="http://schemas.openxmlformats.org/officeDocument/2006/relationships" name="核验记录" sheetId="8" r:id="Rb98e909c80844f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"/>
    <x:numFmt numFmtId="201" formatCode="0.00"/>
    <x:numFmt numFmtId="202" formatCode="0"/>
    <x:numFmt numFmtId="203" formatCode="0.0"/>
    <x:numFmt numFmtId="204" formatCode="0.000000"/>
    <x:numFmt numFmtId="205" formatCode="0.0000"/>
    <x:numFmt numFmtId="206" formatCode="#,##0.0########"/>
  </x:numFmts>
  <x:fonts count="3">
    <x:font>
      <x:sz val="11"/>
      <x:name val="Carlito"/>
    </x:font>
    <x:font>
      <x:sz val="10"/>
      <x:color rgb="FF000000"/>
      <x:name val="微软雅黑"/>
    </x:font>
    <x:font>
      <x:b/>
      <x:sz val="11"/>
      <x:color rgb="FFFFFFFF"/>
      <x:name val="微软雅黑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>
      <x:left/>
      <x:right/>
      <x:top/>
      <x:bottom/>
      <x:diagonal/>
    </x:border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  <x:diagonal/>
    </x:border>
  </x:borders>
  <x:cellStyleXfs count="1">
    <x:xf numFmtId="0" fontId="0" fillId="0" borderId="0"/>
  </x:cellStyleXfs>
  <x:cellXfs count="42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200" fontId="1" fillId="0" borderId="1" xfId="0" applyNumberFormat="1" applyFont="1" applyFill="1" applyBorder="1" applyAlignment="1">
      <x:alignment vertical="top" wrapText="1"/>
    </x:xf>
    <x:xf numFmtId="201" fontId="1" fillId="0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/>
    <x:xf numFmtId="202" fontId="1" fillId="0" borderId="0" xfId="0" applyNumberFormat="1" applyFont="1" applyFill="1" applyBorder="1"/>
    <x:xf numFmtId="202" fontId="1" fillId="0" borderId="0" xfId="0" applyNumberFormat="1" applyFont="1" applyFill="1" applyBorder="1" applyAlignment="1">
      <x:alignment wrapText="1"/>
    </x:xf>
    <x:xf numFmtId="202" fontId="1" fillId="0" borderId="0" xfId="0" applyNumberFormat="1" applyFont="1" applyFill="1" applyBorder="1" applyAlignment="1">
      <x:alignment vertical="top" wrapText="1"/>
    </x:xf>
    <x:xf numFmtId="202" fontId="1" fillId="0" borderId="1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3" fontId="1" fillId="0" borderId="0" xfId="0" applyNumberFormat="1" applyFont="1" applyFill="1" applyBorder="1"/>
    <x:xf numFmtId="204" fontId="1" fillId="0" borderId="0" xfId="0" applyNumberFormat="1" applyFont="1" applyFill="1" applyBorder="1"/>
    <x:xf numFmtId="203" fontId="1" fillId="0" borderId="0" xfId="0" applyNumberFormat="1" applyFont="1" applyFill="1" applyBorder="1" applyAlignment="1">
      <x:alignment wrapText="1"/>
    </x:xf>
    <x:xf numFmtId="204" fontId="1" fillId="0" borderId="0" xfId="0" applyNumberFormat="1" applyFont="1" applyFill="1" applyBorder="1" applyAlignment="1">
      <x:alignment wrapText="1"/>
    </x:xf>
    <x:xf numFmtId="203" fontId="1" fillId="0" borderId="0" xfId="0" applyNumberFormat="1" applyFont="1" applyFill="1" applyBorder="1" applyAlignment="1">
      <x:alignment vertical="top" wrapText="1"/>
    </x:xf>
    <x:xf numFmtId="204" fontId="1" fillId="0" borderId="0" xfId="0" applyNumberFormat="1" applyFont="1" applyFill="1" applyBorder="1" applyAlignment="1">
      <x:alignment vertical="top" wrapText="1"/>
    </x:xf>
    <x:xf numFmtId="203" fontId="1" fillId="0" borderId="1" xfId="0" applyNumberFormat="1" applyFont="1" applyFill="1" applyBorder="1" applyAlignment="1">
      <x:alignment vertical="top" wrapText="1"/>
    </x:xf>
    <x:xf numFmtId="204" fontId="1" fillId="0" borderId="1" xfId="0" applyNumberFormat="1" applyFont="1" applyFill="1" applyBorder="1" applyAlignment="1">
      <x:alignment vertical="top" wrapText="1"/>
    </x:xf>
    <x:xf numFmtId="205" fontId="0" fillId="0" borderId="0" xfId="0" applyNumberFormat="1" applyFont="1" applyFill="1" applyBorder="1"/>
    <x:xf numFmtId="206" fontId="0" fillId="0" borderId="0" xfId="0" applyNumberFormat="1" applyFont="1" applyFill="1" applyBorder="1"/>
    <x:xf numFmtId="205" fontId="1" fillId="0" borderId="0" xfId="0" applyNumberFormat="1" applyFont="1" applyFill="1" applyBorder="1"/>
    <x:xf numFmtId="206" fontId="1" fillId="0" borderId="0" xfId="0" applyNumberFormat="1" applyFont="1" applyFill="1" applyBorder="1"/>
    <x:xf numFmtId="205" fontId="1" fillId="0" borderId="0" xfId="0" applyNumberFormat="1" applyFont="1" applyFill="1" applyBorder="1" applyAlignment="1">
      <x:alignment wrapText="1"/>
    </x:xf>
    <x:xf numFmtId="206" fontId="1" fillId="0" borderId="0" xfId="0" applyNumberFormat="1" applyFont="1" applyFill="1" applyBorder="1" applyAlignment="1">
      <x:alignment wrapText="1"/>
    </x:xf>
    <x:xf numFmtId="205" fontId="1" fillId="0" borderId="0" xfId="0" applyNumberFormat="1" applyFont="1" applyFill="1" applyBorder="1" applyAlignment="1">
      <x:alignment vertical="top" wrapText="1"/>
    </x:xf>
    <x:xf numFmtId="206" fontId="1" fillId="0" borderId="0" xfId="0" applyNumberFormat="1" applyFont="1" applyFill="1" applyBorder="1" applyAlignment="1">
      <x:alignment vertical="top" wrapText="1"/>
    </x:xf>
    <x:xf numFmtId="205" fontId="1" fillId="0" borderId="1" xfId="0" applyNumberFormat="1" applyFont="1" applyFill="1" applyBorder="1" applyAlignment="1">
      <x:alignment vertical="top" wrapText="1"/>
    </x:xf>
    <x:xf numFmtId="206" fontId="1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c4352614df4825" /><Relationship Type="http://schemas.openxmlformats.org/officeDocument/2006/relationships/theme" Target="/xl/theme/theme1.xml" Id="Rafd7486b12e34b0d" /><Relationship Type="http://schemas.openxmlformats.org/officeDocument/2006/relationships/sharedStrings" Target="/xl/sharedStrings.xml" Id="Rf785899f35e24e56" /><Relationship Type="http://schemas.openxmlformats.org/officeDocument/2006/relationships/worksheet" Target="/xl/worksheets/sheet1.xml" Id="R0e90110e5c2d414c" /><Relationship Type="http://schemas.openxmlformats.org/officeDocument/2006/relationships/worksheet" Target="/xl/worksheets/sheet2.xml" Id="R61700c25ea1a426b" /><Relationship Type="http://schemas.openxmlformats.org/officeDocument/2006/relationships/worksheet" Target="/xl/worksheets/sheet3.xml" Id="R9a9b129d5c9e488e" /><Relationship Type="http://schemas.openxmlformats.org/officeDocument/2006/relationships/worksheet" Target="/xl/worksheets/sheet4.xml" Id="R7b669505a9f849a0" /><Relationship Type="http://schemas.openxmlformats.org/officeDocument/2006/relationships/worksheet" Target="/xl/worksheets/sheet5.xml" Id="R14ce4c5c79f7418c" /><Relationship Type="http://schemas.openxmlformats.org/officeDocument/2006/relationships/worksheet" Target="/xl/worksheets/sheet6.xml" Id="R08774b0f72dd40c8" /><Relationship Type="http://schemas.openxmlformats.org/officeDocument/2006/relationships/worksheet" Target="/xl/worksheets/sheet7.xml" Id="Rcc0813cfcb5a4014" /><Relationship Type="http://schemas.openxmlformats.org/officeDocument/2006/relationships/worksheet" Target="/xl/worksheets/sheet8.xml" Id="Rb98e909c80844fc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3" hidden="0" customWidth="1"/>
    <x:col min="2" max="2" width="33" hidden="0" customWidth="1"/>
    <x:col min="3" max="3" width="33" hidden="0" customWidth="1"/>
    <x:col min="4" max="4" width="35" hidden="0" customWidth="1"/>
    <x:col min="5" max="5" width="42" hidden="0" customWidth="1"/>
    <x:col min="6" max="6" width="30" hidden="0" customWidth="1"/>
    <x:col min="7" max="7" width="30" hidden="0" customWidth="1"/>
    <x:col min="8" max="8" width="65" hidden="0" customWidth="1"/>
  </x:cols>
  <x:sheetData>
    <x:row r="1" ht="24" customHeight="1">
      <x:c r="A1" s="12"/>
      <x:c r="B1" s="12"/>
      <x:c r="C1" s="12"/>
      <x:c r="D1" s="12"/>
      <x:c r="E1" s="12"/>
      <x:c r="F1" s="12"/>
      <x:c r="G1" s="12"/>
      <x:c r="H1" s="12"/>
    </x:row>
    <x:row r="2" ht="24" customHeight="1">
      <x:c r="A2" s="12" t="str">
        <x:v>六地历史服务复盘优先序</x:v>
      </x:c>
      <x:c r="B2" s="12"/>
      <x:c r="C2" s="12"/>
      <x:c r="D2" s="12"/>
      <x:c r="E2" s="12"/>
      <x:c r="F2" s="12"/>
      <x:c r="G2" s="12"/>
      <x:c r="H2" s="12"/>
    </x:row>
    <x:row r="3" ht="24" customHeight="1">
      <x:c r="A3" s="12"/>
      <x:c r="B3" s="12"/>
      <x:c r="C3" s="12"/>
      <x:c r="D3" s="12"/>
      <x:c r="E3" s="12"/>
      <x:c r="F3" s="12"/>
      <x:c r="G3" s="12"/>
      <x:c r="H3" s="12"/>
    </x:row>
    <x:row r="4" ht="24" customHeight="1">
      <x:c r="A4" s="12"/>
      <x:c r="B4" s="12"/>
      <x:c r="C4" s="12"/>
      <x:c r="D4" s="12"/>
      <x:c r="E4" s="12"/>
      <x:c r="F4" s="12"/>
      <x:c r="G4" s="12"/>
      <x:c r="H4" s="12"/>
    </x:row>
    <x:row r="5" ht="40" customHeight="1">
      <x:c r="A5" s="16" t="str">
        <x:v>UTLA</x:v>
      </x:c>
      <x:c r="B5" s="16" t="str">
        <x:v>病例数下界（例）</x:v>
      </x:c>
      <x:c r="C5" s="16" t="str">
        <x:v>病例数上界（例）</x:v>
      </x:c>
      <x:c r="D5" s="16" t="str">
        <x:v>5y MMR2记录缺口（人）</x:v>
      </x:c>
      <x:c r="E5" s="16" t="str">
        <x:v>5y MMR2覆盖率（%）</x:v>
      </x:c>
      <x:c r="F5" s="16" t="str">
        <x:v>病例负担次序</x:v>
      </x:c>
      <x:c r="G5" s="16" t="str">
        <x:v>记录缺口工作量次序</x:v>
      </x:c>
      <x:c r="H5" s="16" t="str">
        <x:v>目标及解释</x:v>
      </x:c>
    </x:row>
    <x:row r="6" ht="24" customHeight="1">
      <x:c r="A6" s="13" t="str">
        <x:v>Birmingham</x:v>
      </x:c>
      <x:c r="B6" s="13" t="n">
        <x:f>'六地监测'!D6</x:f>
        <x:v>364</x:v>
      </x:c>
      <x:c r="C6" s="13" t="n">
        <x:f>'六地监测'!E6</x:f>
        <x:v>364</x:v>
      </x:c>
      <x:c r="D6" s="13" t="n">
        <x:f>'六地儿童覆盖率'!G8</x:f>
        <x:v>940</x:v>
      </x:c>
      <x:c r="E6" s="14" t="n">
        <x:f>'六地儿童覆盖率'!F8</x:f>
        <x:v>76.22059195547686</x:v>
      </x:c>
      <x:c r="F6" s="13" t="n">
        <x:f>COUNTIFS($C$6:$C$11,"&gt;"&amp;C6)+1</x:f>
        <x:v>1</x:v>
      </x:c>
      <x:c r="G6" s="13" t="n">
        <x:f>COUNTIFS($D$6:$D$11,"&gt;"&amp;D6)+1</x:f>
        <x:v>1</x:v>
      </x:c>
      <x:c r="H6" s="13" t="str">
        <x:v>病例负担按计数上界排序；缺口工作量按5y MMR2记录缺口排序</x:v>
      </x:c>
    </x:row>
    <x:row r="7" ht="24" customHeight="1">
      <x:c r="A7" s="13" t="str">
        <x:v>Solihull</x:v>
      </x:c>
      <x:c r="B7" s="13" t="n">
        <x:f>'六地监测'!D7</x:f>
        <x:v>16</x:v>
      </x:c>
      <x:c r="C7" s="13" t="n">
        <x:f>'六地监测'!E7</x:f>
        <x:v>16</x:v>
      </x:c>
      <x:c r="D7" s="13" t="n">
        <x:f>'六地儿童覆盖率'!G11</x:f>
        <x:v>86</x:v>
      </x:c>
      <x:c r="E7" s="14" t="n">
        <x:f>'六地儿童覆盖率'!F11</x:f>
        <x:v>85.59463986599664</x:v>
      </x:c>
      <x:c r="F7" s="13" t="n">
        <x:f>COUNTIFS($C$6:$C$11,"&gt;"&amp;C7)+1</x:f>
        <x:v>5</x:v>
      </x:c>
      <x:c r="G7" s="13" t="n">
        <x:f>COUNTIFS($D$6:$D$11,"&gt;"&amp;D7)+1</x:f>
        <x:v>6</x:v>
      </x:c>
      <x:c r="H7" s="13" t="str">
        <x:v>病例负担按计数上界排序；缺口工作量按5y MMR2记录缺口排序</x:v>
      </x:c>
    </x:row>
    <x:row r="8" ht="24" customHeight="1">
      <x:c r="A8" s="13" t="str">
        <x:v>Dudley</x:v>
      </x:c>
      <x:c r="B8" s="13" t="n">
        <x:f>'六地监测'!D8</x:f>
        <x:v>0</x:v>
      </x:c>
      <x:c r="C8" s="13" t="n">
        <x:f>'六地监测'!E8</x:f>
        <x:v>9</x:v>
      </x:c>
      <x:c r="D8" s="13" t="n">
        <x:f>'六地儿童覆盖率'!G14</x:f>
        <x:v>106</x:v>
      </x:c>
      <x:c r="E8" s="14" t="n">
        <x:f>'六地儿童覆盖率'!F14</x:f>
        <x:v>88.28729281767956</x:v>
      </x:c>
      <x:c r="F8" s="13" t="n">
        <x:f>COUNTIFS($C$6:$C$11,"&gt;"&amp;C8)+1</x:f>
        <x:v>6</x:v>
      </x:c>
      <x:c r="G8" s="13" t="n">
        <x:f>COUNTIFS($D$6:$D$11,"&gt;"&amp;D8)+1</x:f>
        <x:v>5</x:v>
      </x:c>
      <x:c r="H8" s="13" t="str">
        <x:v>病例负担按计数上界排序；缺口工作量按5y MMR2记录缺口排序</x:v>
      </x:c>
    </x:row>
    <x:row r="9" ht="24" customHeight="1">
      <x:c r="A9" s="13" t="str">
        <x:v>Sandwell</x:v>
      </x:c>
      <x:c r="B9" s="13" t="n">
        <x:f>'六地监测'!D9</x:f>
        <x:v>31</x:v>
      </x:c>
      <x:c r="C9" s="13" t="n">
        <x:f>'六地监测'!E9</x:f>
        <x:v>31</x:v>
      </x:c>
      <x:c r="D9" s="13" t="n">
        <x:f>'六地儿童覆盖率'!G17</x:f>
        <x:v>211</x:v>
      </x:c>
      <x:c r="E9" s="14" t="n">
        <x:f>'六地儿童覆盖率'!F17</x:f>
        <x:v>81.19429590017825</x:v>
      </x:c>
      <x:c r="F9" s="13" t="n">
        <x:f>COUNTIFS($C$6:$C$11,"&gt;"&amp;C9)+1</x:f>
        <x:v>3</x:v>
      </x:c>
      <x:c r="G9" s="13" t="n">
        <x:f>COUNTIFS($D$6:$D$11,"&gt;"&amp;D9)+1</x:f>
        <x:v>2</x:v>
      </x:c>
      <x:c r="H9" s="13" t="str">
        <x:v>病例负担按计数上界排序；缺口工作量按5y MMR2记录缺口排序</x:v>
      </x:c>
    </x:row>
    <x:row r="10" ht="24" customHeight="1">
      <x:c r="A10" s="13" t="str">
        <x:v>Walsall</x:v>
      </x:c>
      <x:c r="B10" s="13" t="n">
        <x:f>'六地监测'!D10</x:f>
        <x:v>55</x:v>
      </x:c>
      <x:c r="C10" s="13" t="n">
        <x:f>'六地监测'!E10</x:f>
        <x:v>55</x:v>
      </x:c>
      <x:c r="D10" s="13" t="n">
        <x:f>'六地儿童覆盖率'!G20</x:f>
        <x:v>143</x:v>
      </x:c>
      <x:c r="E10" s="14" t="n">
        <x:f>'六地儿童覆盖率'!F20</x:f>
        <x:v>85.01048218029351</x:v>
      </x:c>
      <x:c r="F10" s="13" t="n">
        <x:f>COUNTIFS($C$6:$C$11,"&gt;"&amp;C10)+1</x:f>
        <x:v>2</x:v>
      </x:c>
      <x:c r="G10" s="13" t="n">
        <x:f>COUNTIFS($D$6:$D$11,"&gt;"&amp;D10)+1</x:f>
        <x:v>4</x:v>
      </x:c>
      <x:c r="H10" s="13" t="str">
        <x:v>病例负担按计数上界排序；缺口工作量按5y MMR2记录缺口排序</x:v>
      </x:c>
    </x:row>
    <x:row r="11" ht="24" customHeight="1">
      <x:c r="A11" s="13" t="str">
        <x:v>Wolverhampton</x:v>
      </x:c>
      <x:c r="B11" s="13" t="n">
        <x:f>'六地监测'!D11</x:f>
        <x:v>22</x:v>
      </x:c>
      <x:c r="C11" s="13" t="n">
        <x:f>'六地监测'!E11</x:f>
        <x:v>22</x:v>
      </x:c>
      <x:c r="D11" s="13" t="n">
        <x:f>'六地儿童覆盖率'!G23</x:f>
        <x:v>190</x:v>
      </x:c>
      <x:c r="E11" s="14" t="n">
        <x:f>'六地儿童覆盖率'!F23</x:f>
        <x:v>79.54790096878364</x:v>
      </x:c>
      <x:c r="F11" s="13" t="n">
        <x:f>COUNTIFS($C$6:$C$11,"&gt;"&amp;C11)+1</x:f>
        <x:v>4</x:v>
      </x:c>
      <x:c r="G11" s="13" t="n">
        <x:f>COUNTIFS($D$6:$D$11,"&gt;"&amp;D11)+1</x:f>
        <x:v>3</x:v>
      </x:c>
      <x:c r="H11" s="13" t="str">
        <x:v>病例负担按计数上界排序；缺口工作量按5y MMR2记录缺口排序</x:v>
      </x:c>
    </x:row>
    <x:row r="12" ht="24" customHeight="1">
      <x:c r="A12" s="12"/>
      <x:c r="B12" s="12"/>
      <x:c r="C12" s="12"/>
      <x:c r="D12" s="12"/>
      <x:c r="E12" s="12"/>
      <x:c r="F12" s="12"/>
      <x:c r="G12" s="12"/>
      <x:c r="H12" s="12"/>
    </x:row>
    <x:row r="13" ht="24" customHeight="1">
      <x:c r="A13" s="12"/>
      <x:c r="B13" s="12"/>
      <x:c r="C13" s="12"/>
      <x:c r="D13" s="12"/>
      <x:c r="E13" s="12"/>
      <x:c r="F13" s="12"/>
      <x:c r="G13" s="12"/>
      <x:c r="H13" s="12"/>
    </x:row>
    <x:row r="14" ht="24" customHeight="1">
      <x:c r="A14" s="12"/>
      <x:c r="B14" s="12"/>
      <x:c r="C14" s="12"/>
      <x:c r="D14" s="12"/>
      <x:c r="E14" s="12"/>
      <x:c r="F14" s="12"/>
      <x:c r="G14" s="12"/>
      <x:c r="H14" s="12"/>
    </x:row>
    <x:row r="15" ht="24" customHeight="1">
      <x:c r="A15" s="12"/>
      <x:c r="B15" s="12"/>
      <x:c r="C15" s="12"/>
      <x:c r="D15" s="12"/>
      <x:c r="E15" s="12"/>
      <x:c r="F15" s="12"/>
      <x:c r="G15" s="12"/>
      <x:c r="H15" s="12"/>
    </x:row>
    <x:row r="16" ht="24" customHeight="1">
      <x:c r="A16" s="12" t="str">
        <x:v>服务目标与稳定优先结论</x:v>
      </x:c>
      <x:c r="B16" s="12"/>
      <x:c r="C16" s="12"/>
      <x:c r="D16" s="12"/>
      <x:c r="E16" s="12"/>
      <x:c r="F16" s="12"/>
      <x:c r="G16" s="12"/>
      <x:c r="H16" s="12"/>
    </x:row>
    <x:row r="17" ht="24" customHeight="1">
      <x:c r="A17" s="16" t="str">
        <x:v>业务目标</x:v>
      </x:c>
      <x:c r="B17" s="16" t="str">
        <x:v>六地</x:v>
      </x:c>
      <x:c r="C17" s="16" t="str">
        <x:v>两个ICB</x:v>
      </x:c>
      <x:c r="D17" s="16" t="str">
        <x:v>年龄组</x:v>
      </x:c>
      <x:c r="E17" s="16" t="str">
        <x:v>取整或披露范围内的稳定性</x:v>
      </x:c>
      <x:c r="F17" s="16"/>
      <x:c r="G17" s="16"/>
      <x:c r="H17" s="16"/>
    </x:row>
    <x:row r="18" ht="39" customHeight="1">
      <x:c r="A18" s="13" t="str">
        <x:v>减少历史病例负担</x:v>
      </x:c>
      <x:c r="B18" s="13" t="str">
        <x:v>Birmingham、Walsall、Sandwell、Wolverhampton、Solihull、Dudley</x:v>
      </x:c>
      <x:c r="C18" s="13" t="str">
        <x:v>Birmingham为首要地方工作对象；QHL先行接种记录核对</x:v>
      </x:c>
      <x:c r="D18" s="13" t="str">
        <x:v>突出儿童覆盖与传播控制，保留全部年龄来源</x:v>
      </x:c>
      <x:c r="E18" s="13" t="str">
        <x:v>Dudley 0–9例不会超过Solihull；病例顺序稳定</x:v>
      </x:c>
      <x:c r="F18" s="12"/>
      <x:c r="G18" s="12"/>
      <x:c r="H18" s="12"/>
    </x:row>
    <x:row r="19" ht="39" customHeight="1">
      <x:c r="A19" s="13" t="str">
        <x:v>减少记录缺口工作量</x:v>
      </x:c>
      <x:c r="B19" s="13" t="str">
        <x:v>Birmingham、Sandwell、Wolverhampton、Walsall、Dudley、Solihull</x:v>
      </x:c>
      <x:c r="C19" s="13" t="str">
        <x:v>QHL固定队列期末缺口更大；不能因QUA公布年度上升而跳过核对</x:v>
      </x:c>
      <x:c r="D19" s="13" t="str">
        <x:v>12–25y期末未记录MMR2绝对人数最大；最年轻组的记录缺口闭合比例更高</x:v>
      </x:c>
      <x:c r="E19" s="13" t="str">
        <x:v>地区顺序随目标改变；双ICB面板均下降稳定，下降幅度排序不稳健</x:v>
      </x:c>
      <x:c r="F19" s="12"/>
      <x:c r="G19" s="12"/>
      <x:c r="H19" s="12"/>
    </x:row>
    <x:row r="20" ht="39" customHeight="1">
      <x:c r="A20" s="13" t="str">
        <x:v>兼顾低覆盖比例与GP缺口</x:v>
      </x:c>
      <x:c r="B20" s="13" t="str">
        <x:v>以现期核对为实施前置条件</x:v>
      </x:c>
      <x:c r="C20" s="13" t="str">
        <x:v>QHL三家及QUA一家稳健非劣诊所进入名单</x:v>
      </x:c>
      <x:c r="D20" s="13" t="str">
        <x:v>GP生日队列与活动固定年龄队列分别解释</x:v>
      </x:c>
      <x:c r="E20" s="13" t="str">
        <x:v>四家在取整包络内均必然非劣；M85722缺口名次17–18</x:v>
      </x:c>
      <x:c r="F20" s="12"/>
      <x:c r="G20" s="12"/>
      <x:c r="H20" s="12"/>
    </x:row>
  </x:sheetData>
  <x:mergeCells>
    <x:mergeCell ref="A2:F2"/>
    <x:mergeCell ref="A16:E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22" hidden="0" customWidth="1"/>
    <x:col min="7" max="7" width="25" hidden="0" customWidth="1"/>
    <x:col min="8" max="8" width="25" hidden="0" customWidth="1"/>
    <x:col min="9" max="9" width="88" hidden="0" customWidth="1"/>
  </x:cols>
  <x:sheetData>
    <x:row r="1" ht="24" customHeight="1">
      <x:c r="A1" s="12"/>
      <x:c r="B1" s="12"/>
      <x:c r="C1" s="12"/>
      <x:c r="D1" s="12"/>
      <x:c r="E1" s="12"/>
      <x:c r="F1" s="12"/>
      <x:c r="G1" s="12"/>
      <x:c r="H1" s="12"/>
      <x:c r="I1" s="12"/>
    </x:row>
    <x:row r="2" ht="24" customHeight="1">
      <x:c r="A2" s="12" t="str">
        <x:v>六地2024年病例负担与全龄粗率</x:v>
      </x:c>
      <x:c r="B2" s="12"/>
      <x:c r="C2" s="12"/>
      <x:c r="D2" s="12"/>
      <x:c r="E2" s="12"/>
      <x:c r="F2" s="12"/>
      <x:c r="G2" s="12"/>
      <x:c r="H2" s="12"/>
      <x:c r="I2" s="12"/>
    </x:row>
    <x:row r="3" ht="24" customHeight="1">
      <x:c r="A3" s="12"/>
      <x:c r="B3" s="12"/>
      <x:c r="C3" s="12"/>
      <x:c r="D3" s="12"/>
      <x:c r="E3" s="12"/>
      <x:c r="F3" s="12"/>
      <x:c r="G3" s="12"/>
      <x:c r="H3" s="12"/>
      <x:c r="I3" s="12"/>
    </x:row>
    <x:row r="4" ht="24" customHeight="1">
      <x:c r="A4" s="12"/>
      <x:c r="B4" s="12"/>
      <x:c r="C4" s="12"/>
      <x:c r="D4" s="12"/>
      <x:c r="E4" s="12"/>
      <x:c r="F4" s="12"/>
      <x:c r="G4" s="12"/>
      <x:c r="H4" s="12"/>
      <x:c r="I4" s="12"/>
    </x:row>
    <x:row r="5" ht="40" customHeight="1">
      <x:c r="A5" s="16" t="str">
        <x:v>UTLA</x:v>
      </x:c>
      <x:c r="B5" s="16" t="str">
        <x:v>中文名称</x:v>
      </x:c>
      <x:c r="C5" s="16" t="str">
        <x:v>年中居民人口（人）</x:v>
      </x:c>
      <x:c r="D5" s="16" t="str">
        <x:v>病例下界（例）</x:v>
      </x:c>
      <x:c r="E5" s="16" t="str">
        <x:v>病例上界（例）</x:v>
      </x:c>
      <x:c r="F5" s="16" t="str">
        <x:v>计数状态</x:v>
      </x:c>
      <x:c r="G5" s="16" t="str">
        <x:v>粗率下界（例/10万人）</x:v>
      </x:c>
      <x:c r="H5" s="16" t="str">
        <x:v>粗率上界（例/10万人）</x:v>
      </x:c>
      <x:c r="I5" s="16" t="str">
        <x:v>人口及出处</x:v>
      </x:c>
    </x:row>
    <x:row r="6" ht="39" customHeight="1">
      <x:c r="A6" s="13" t="str">
        <x:v>Birmingham</x:v>
      </x:c>
      <x:c r="B6" s="13" t="str">
        <x:v>伯明翰</x:v>
      </x:c>
      <x:c r="C6" s="13" t="n">
        <x:v>1183618</x:v>
      </x:c>
      <x:c r="D6" s="13" t="n">
        <x:v>364</x:v>
      </x:c>
      <x:c r="E6" s="13" t="n">
        <x:v>364</x:v>
      </x:c>
      <x:c r="F6" s="13" t="str">
        <x:v>原披露计数</x:v>
      </x:c>
      <x:c r="G6" s="14" t="n">
        <x:f>D6/C6*100000</x:f>
        <x:v>30.75316529488399</x:v>
      </x:c>
      <x:c r="H6" s="14" t="n">
        <x:f>E6/C6*100000</x:f>
        <x:v>30.75316529488399</x:v>
      </x:c>
      <x:c r="I6" s="13" t="str">
        <x:v>2024年中；mye24tablesuk.xlsx｜MYE2 - Persons!D145；I01 物理页4–7，Table 2，Birmingham行，Total cases列</x:v>
      </x:c>
    </x:row>
    <x:row r="7" ht="39" customHeight="1">
      <x:c r="A7" s="13" t="str">
        <x:v>Solihull</x:v>
      </x:c>
      <x:c r="B7" s="13" t="str">
        <x:v>索利哈尔</x:v>
      </x:c>
      <x:c r="C7" s="13" t="n">
        <x:v>221242</x:v>
      </x:c>
      <x:c r="D7" s="13" t="n">
        <x:v>16</x:v>
      </x:c>
      <x:c r="E7" s="13" t="n">
        <x:v>16</x:v>
      </x:c>
      <x:c r="F7" s="13" t="str">
        <x:v>原披露计数</x:v>
      </x:c>
      <x:c r="G7" s="14" t="n">
        <x:f>D7/C7*100000</x:f>
        <x:v>7.231899910505239</x:v>
      </x:c>
      <x:c r="H7" s="14" t="n">
        <x:f>E7/C7*100000</x:f>
        <x:v>7.231899910505239</x:v>
      </x:c>
      <x:c r="I7" s="13" t="str">
        <x:v>2024年中；mye24tablesuk.xlsx｜MYE2 - Persons!D149；I01 物理页4–7，Table 2，Solihull行，Total cases列</x:v>
      </x:c>
    </x:row>
    <x:row r="8" ht="24" customHeight="1">
      <x:c r="A8" s="13" t="str">
        <x:v>Dudley</x:v>
      </x:c>
      <x:c r="B8" s="13" t="str">
        <x:v>达德利</x:v>
      </x:c>
      <x:c r="C8" s="13" t="n">
        <x:v>331930</x:v>
      </x:c>
      <x:c r="D8" s="13" t="n">
        <x:v>0</x:v>
      </x:c>
      <x:c r="E8" s="13" t="n">
        <x:v>9</x:v>
      </x:c>
      <x:c r="F8" s="13" t="str">
        <x:v>未披露</x:v>
      </x:c>
      <x:c r="G8" s="14" t="n">
        <x:f>D8/C8*100000</x:f>
        <x:v>0</x:v>
      </x:c>
      <x:c r="H8" s="14" t="n">
        <x:f>CEILING(E8/C8*100000,0.01)</x:f>
        <x:v>2.72</x:v>
      </x:c>
      <x:c r="I8" s="13" t="str">
        <x:v>2024年中；mye24tablesuk.xlsx｜MYE2 - Persons!D147；I01 物理页2，Summary；物理页7，Note 4</x:v>
      </x:c>
    </x:row>
    <x:row r="9" ht="39" customHeight="1">
      <x:c r="A9" s="13" t="str">
        <x:v>Sandwell</x:v>
      </x:c>
      <x:c r="B9" s="13" t="str">
        <x:v>桑德韦尔</x:v>
      </x:c>
      <x:c r="C9" s="13" t="n">
        <x:v>353860</x:v>
      </x:c>
      <x:c r="D9" s="13" t="n">
        <x:v>31</x:v>
      </x:c>
      <x:c r="E9" s="13" t="n">
        <x:v>31</x:v>
      </x:c>
      <x:c r="F9" s="13" t="str">
        <x:v>原披露计数</x:v>
      </x:c>
      <x:c r="G9" s="14" t="n">
        <x:f>D9/C9*100000</x:f>
        <x:v>8.760526761996271</x:v>
      </x:c>
      <x:c r="H9" s="14" t="n">
        <x:f>E9/C9*100000</x:f>
        <x:v>8.760526761996271</x:v>
      </x:c>
      <x:c r="I9" s="13" t="str">
        <x:v>2024年中；mye24tablesuk.xlsx｜MYE2 - Persons!D148；I01 物理页4–7，Table 2，Sandwell行，Total cases列</x:v>
      </x:c>
    </x:row>
    <x:row r="10" ht="39" customHeight="1">
      <x:c r="A10" s="13" t="str">
        <x:v>Walsall</x:v>
      </x:c>
      <x:c r="B10" s="13" t="str">
        <x:v>沃尔索尔</x:v>
      </x:c>
      <x:c r="C10" s="13" t="n">
        <x:v>295678</x:v>
      </x:c>
      <x:c r="D10" s="13" t="n">
        <x:v>55</x:v>
      </x:c>
      <x:c r="E10" s="13" t="n">
        <x:v>55</x:v>
      </x:c>
      <x:c r="F10" s="13" t="str">
        <x:v>原披露计数</x:v>
      </x:c>
      <x:c r="G10" s="14" t="n">
        <x:f>D10/C10*100000</x:f>
        <x:v>18.60131629678231</x:v>
      </x:c>
      <x:c r="H10" s="14" t="n">
        <x:f>E10/C10*100000</x:f>
        <x:v>18.60131629678231</x:v>
      </x:c>
      <x:c r="I10" s="13" t="str">
        <x:v>2024年中；mye24tablesuk.xlsx｜MYE2 - Persons!D150；I01 物理页4–7，Table 2，Walsall行，Total cases列</x:v>
      </x:c>
    </x:row>
    <x:row r="11" ht="39" customHeight="1">
      <x:c r="A11" s="13" t="str">
        <x:v>Wolverhampton</x:v>
      </x:c>
      <x:c r="B11" s="13" t="str">
        <x:v>伍尔弗汉普顿</x:v>
      </x:c>
      <x:c r="C11" s="13" t="n">
        <x:v>281251</x:v>
      </x:c>
      <x:c r="D11" s="13" t="n">
        <x:v>22</x:v>
      </x:c>
      <x:c r="E11" s="13" t="n">
        <x:v>22</x:v>
      </x:c>
      <x:c r="F11" s="13" t="str">
        <x:v>原披露计数</x:v>
      </x:c>
      <x:c r="G11" s="14" t="n">
        <x:f>D11/C11*100000</x:f>
        <x:v>7.822194409975432</x:v>
      </x:c>
      <x:c r="H11" s="14" t="n">
        <x:f>E11/C11*100000</x:f>
        <x:v>7.822194409975432</x:v>
      </x:c>
      <x:c r="I11" s="13" t="str">
        <x:v>2024年中；mye24tablesuk.xlsx｜MYE2 - Persons!D151；I01 物理页4–7，Table 2，Wolverhampton行，Total cases列</x:v>
      </x:c>
    </x:row>
    <x:row r="12" ht="24" customHeight="1">
      <x:c r="A12" s="13" t="str">
        <x:v>六地合计</x:v>
      </x:c>
      <x:c r="B12" s="13" t="str">
        <x:v>六地汇总</x:v>
      </x:c>
      <x:c r="C12" s="13" t="n">
        <x:f>SUM(C6:C11)</x:f>
        <x:v>2667579</x:v>
      </x:c>
      <x:c r="D12" s="13" t="n">
        <x:f>SUM(D6:D11)</x:f>
        <x:v>488</x:v>
      </x:c>
      <x:c r="E12" s="13" t="n">
        <x:f>SUM(E6:E11)</x:f>
        <x:v>497</x:v>
      </x:c>
      <x:c r="F12" s="13" t="str">
        <x:v>受抑制区间</x:v>
      </x:c>
      <x:c r="G12" s="14" t="n">
        <x:f>FLOOR(D12/C12*100000,0.01)</x:f>
        <x:v>18.29</x:v>
      </x:c>
      <x:c r="H12" s="14" t="n">
        <x:f>CEILING(E12/C12*100000,0.01)</x:f>
        <x:v>18.64</x:v>
      </x:c>
      <x:c r="I12" s="13" t="str">
        <x:v>区域曲线不可替代此六地合计</x:v>
      </x:c>
    </x:row>
    <x:row r="13" ht="24" customHeight="1">
      <x:c r="A13" s="12"/>
      <x:c r="B13" s="12"/>
      <x:c r="C13" s="12"/>
      <x:c r="D13" s="12"/>
      <x:c r="E13" s="12"/>
      <x:c r="F13" s="12"/>
      <x:c r="G13" s="12"/>
      <x:c r="H13" s="12"/>
      <x:c r="I13" s="12"/>
    </x:row>
    <x:row r="14" ht="24" customHeight="1">
      <x:c r="A14" s="12"/>
      <x:c r="B14" s="12"/>
      <x:c r="C14" s="12"/>
      <x:c r="D14" s="12"/>
      <x:c r="E14" s="12"/>
      <x:c r="F14" s="12"/>
      <x:c r="G14" s="12"/>
      <x:c r="H14" s="12"/>
      <x:c r="I14" s="12"/>
    </x:row>
    <x:row r="15" ht="24" customHeight="1">
      <x:c r="A15" s="12"/>
      <x:c r="B15" s="12"/>
      <x:c r="C15" s="12"/>
      <x:c r="D15" s="12"/>
      <x:c r="E15" s="12"/>
      <x:c r="F15" s="12"/>
      <x:c r="G15" s="12"/>
      <x:c r="H15" s="12"/>
      <x:c r="I15" s="12"/>
    </x:row>
    <x:row r="16" ht="24" customHeight="1">
      <x:c r="A16" s="12" t="str">
        <x:v>英格兰2024年原分龄构成（I01物理页3–4，Table 1）</x:v>
      </x:c>
      <x:c r="B16" s="12"/>
      <x:c r="C16" s="12"/>
      <x:c r="D16" s="12"/>
      <x:c r="E16" s="12"/>
      <x:c r="F16" s="12"/>
      <x:c r="G16" s="12"/>
      <x:c r="H16" s="12"/>
      <x:c r="I16" s="12"/>
    </x:row>
    <x:row r="17" ht="24" customHeight="1">
      <x:c r="A17" s="16" t="str">
        <x:v>原年龄组</x:v>
      </x:c>
      <x:c r="B17" s="16" t="str">
        <x:v>中文年龄组</x:v>
      </x:c>
      <x:c r="C17" s="16" t="str">
        <x:v>确诊（例）</x:v>
      </x:c>
      <x:c r="D17" s="16" t="str">
        <x:v>同版总数（例）</x:v>
      </x:c>
      <x:c r="E17" s="16" t="str">
        <x:v>构成（%）</x:v>
      </x:c>
      <x:c r="F17" s="16"/>
      <x:c r="G17" s="16"/>
      <x:c r="H17" s="16"/>
      <x:c r="I17" s="16"/>
    </x:row>
    <x:row r="18" ht="24" customHeight="1">
      <x:c r="A18" s="13" t="str">
        <x:v>less   than 1 year</x:v>
      </x:c>
      <x:c r="B18" s="13" t="str">
        <x:v>不足1岁</x:v>
      </x:c>
      <x:c r="C18" s="13" t="n">
        <x:v>332</x:v>
      </x:c>
      <x:c r="D18" s="13" t="n">
        <x:v>2911</x:v>
      </x:c>
      <x:c r="E18" s="14" t="n">
        <x:f>C18/D18*100</x:f>
        <x:v>11.40501545860529</x:v>
      </x:c>
      <x:c r="F18" s="12"/>
      <x:c r="G18" s="12"/>
      <x:c r="H18" s="12"/>
      <x:c r="I18" s="12"/>
    </x:row>
    <x:row r="19" ht="24" customHeight="1">
      <x:c r="A19" s="13" t="str">
        <x:v>1 to 4   years</x:v>
      </x:c>
      <x:c r="B19" s="13" t="str">
        <x:v>1至4岁</x:v>
      </x:c>
      <x:c r="C19" s="13" t="n">
        <x:v>710</x:v>
      </x:c>
      <x:c r="D19" s="13" t="n">
        <x:v>2911</x:v>
      </x:c>
      <x:c r="E19" s="14" t="n">
        <x:f>C19/D19*100</x:f>
        <x:v>24.390243902439025</x:v>
      </x:c>
      <x:c r="F19" s="12"/>
      <x:c r="G19" s="12"/>
      <x:c r="H19" s="12"/>
      <x:c r="I19" s="12"/>
    </x:row>
    <x:row r="20" ht="24" customHeight="1">
      <x:c r="A20" s="13" t="str">
        <x:v>5 to 10   years</x:v>
      </x:c>
      <x:c r="B20" s="13" t="str">
        <x:v>5至10岁</x:v>
      </x:c>
      <x:c r="C20" s="13" t="n">
        <x:v>730</x:v>
      </x:c>
      <x:c r="D20" s="13" t="n">
        <x:v>2911</x:v>
      </x:c>
      <x:c r="E20" s="14" t="n">
        <x:f>C20/D20*100</x:f>
        <x:v>25.077293026451393</x:v>
      </x:c>
      <x:c r="F20" s="12"/>
      <x:c r="G20" s="12"/>
      <x:c r="H20" s="12"/>
      <x:c r="I20" s="12"/>
    </x:row>
    <x:row r="21" ht="24" customHeight="1">
      <x:c r="A21" s="13" t="str">
        <x:v>11 to   14 years</x:v>
      </x:c>
      <x:c r="B21" s="13" t="str">
        <x:v>11至14岁</x:v>
      </x:c>
      <x:c r="C21" s="13" t="n">
        <x:v>210</x:v>
      </x:c>
      <x:c r="D21" s="13" t="n">
        <x:v>2911</x:v>
      </x:c>
      <x:c r="E21" s="14" t="n">
        <x:f>C21/D21*100</x:f>
        <x:v>7.214015802129853</x:v>
      </x:c>
      <x:c r="F21" s="12"/>
      <x:c r="G21" s="12"/>
      <x:c r="H21" s="12"/>
      <x:c r="I21" s="12"/>
    </x:row>
    <x:row r="22" ht="24" customHeight="1">
      <x:c r="A22" s="13" t="str">
        <x:v>15 to 24 years</x:v>
      </x:c>
      <x:c r="B22" s="13" t="str">
        <x:v>15至24岁</x:v>
      </x:c>
      <x:c r="C22" s="13" t="n">
        <x:v>328</x:v>
      </x:c>
      <x:c r="D22" s="13" t="n">
        <x:v>2911</x:v>
      </x:c>
      <x:c r="E22" s="14" t="n">
        <x:f>C22/D22*100</x:f>
        <x:v>11.267605633802818</x:v>
      </x:c>
      <x:c r="F22" s="12"/>
      <x:c r="G22" s="12"/>
      <x:c r="H22" s="12"/>
      <x:c r="I22" s="12"/>
    </x:row>
    <x:row r="23" ht="24" customHeight="1">
      <x:c r="A23" s="13" t="str">
        <x:v>25 to 34 years</x:v>
      </x:c>
      <x:c r="B23" s="13" t="str">
        <x:v>25至34岁</x:v>
      </x:c>
      <x:c r="C23" s="13" t="n">
        <x:v>322</x:v>
      </x:c>
      <x:c r="D23" s="13" t="n">
        <x:v>2911</x:v>
      </x:c>
      <x:c r="E23" s="14" t="n">
        <x:f>C23/D23*100</x:f>
        <x:v>11.061490896599107</x:v>
      </x:c>
      <x:c r="F23" s="12"/>
      <x:c r="G23" s="12"/>
      <x:c r="H23" s="12"/>
      <x:c r="I23" s="12"/>
    </x:row>
    <x:row r="24" ht="24" customHeight="1">
      <x:c r="A24" s="13" t="str">
        <x:v>35   years and older</x:v>
      </x:c>
      <x:c r="B24" s="13" t="str">
        <x:v>35岁及以上</x:v>
      </x:c>
      <x:c r="C24" s="13" t="n">
        <x:v>279</x:v>
      </x:c>
      <x:c r="D24" s="13" t="n">
        <x:v>2911</x:v>
      </x:c>
      <x:c r="E24" s="14" t="n">
        <x:f>C24/D24*100</x:f>
        <x:v>9.584335279972517</x:v>
      </x:c>
      <x:c r="F24" s="12"/>
      <x:c r="G24" s="12"/>
      <x:c r="H24" s="12"/>
      <x:c r="I24" s="12"/>
    </x:row>
    <x:row r="25" ht="24" customHeight="1">
      <x:c r="A25" s="12"/>
      <x:c r="B25" s="12"/>
      <x:c r="C25" s="12"/>
      <x:c r="D25" s="12"/>
      <x:c r="E25" s="12"/>
      <x:c r="F25" s="12"/>
      <x:c r="G25" s="12"/>
      <x:c r="H25" s="12"/>
      <x:c r="I25" s="12"/>
    </x:row>
    <x:row r="26" ht="24" customHeight="1">
      <x:c r="A26" s="12"/>
      <x:c r="B26" s="12"/>
      <x:c r="C26" s="12"/>
      <x:c r="D26" s="12"/>
      <x:c r="E26" s="12"/>
      <x:c r="F26" s="12"/>
      <x:c r="G26" s="12"/>
      <x:c r="H26" s="12"/>
      <x:c r="I26" s="12"/>
    </x:row>
    <x:row r="27" ht="24" customHeight="1">
      <x:c r="A27" s="12" t="str">
        <x:v>2024年公历季度口腔液途径（I02物理页6，季度表）</x:v>
      </x:c>
      <x:c r="B27" s="12"/>
      <x:c r="C27" s="12"/>
      <x:c r="D27" s="12"/>
      <x:c r="E27" s="12"/>
      <x:c r="F27" s="12"/>
      <x:c r="G27" s="12"/>
      <x:c r="H27" s="12"/>
      <x:c r="I27" s="12"/>
    </x:row>
    <x:row r="28" ht="24" customHeight="1">
      <x:c r="A28" s="16" t="str">
        <x:v>年</x:v>
      </x:c>
      <x:c r="B28" s="16" t="str">
        <x:v>公历季度</x:v>
      </x:c>
      <x:c r="C28" s="16" t="str">
        <x:v>通知数（例）</x:v>
      </x:c>
      <x:c r="D28" s="16" t="str">
        <x:v>检测数</x:v>
      </x:c>
      <x:c r="E28" s="16" t="str">
        <x:v>阳性数</x:v>
      </x:c>
      <x:c r="F28" s="16" t="str">
        <x:v>检测覆盖率（%）</x:v>
      </x:c>
      <x:c r="G28" s="16" t="str">
        <x:v>阳性比例（%）</x:v>
      </x:c>
      <x:c r="H28" s="16" t="str">
        <x:v>解释范围</x:v>
      </x:c>
      <x:c r="I28" s="16"/>
    </x:row>
    <x:row r="29" ht="39" customHeight="1">
      <x:c r="A29" s="21" t="n">
        <x:v>2024</x:v>
      </x:c>
      <x:c r="B29" s="21" t="n">
        <x:v>1</x:v>
      </x:c>
      <x:c r="C29" s="13" t="n">
        <x:v>7273</x:v>
      </x:c>
      <x:c r="D29" s="13" t="n">
        <x:v>3312</x:v>
      </x:c>
      <x:c r="E29" s="13" t="n">
        <x:v>608</x:v>
      </x:c>
      <x:c r="F29" s="14" t="n">
        <x:f>D29/C29*100</x:f>
        <x:v>45.53829231403822</x:v>
      </x:c>
      <x:c r="G29" s="14" t="n">
        <x:f>E29/D29*100</x:f>
        <x:v>18.357487922705314</x:v>
      </x:c>
      <x:c r="H29" s="13" t="str">
        <x:v>口腔液途径；通知暂定，非全系统检测完整性</x:v>
      </x:c>
      <x:c r="I29" s="12"/>
    </x:row>
    <x:row r="30" ht="39" customHeight="1">
      <x:c r="A30" s="21" t="n">
        <x:v>2024</x:v>
      </x:c>
      <x:c r="B30" s="21" t="n">
        <x:v>2</x:v>
      </x:c>
      <x:c r="C30" s="13" t="n">
        <x:v>4724</x:v>
      </x:c>
      <x:c r="D30" s="13" t="n">
        <x:v>2018</x:v>
      </x:c>
      <x:c r="E30" s="13" t="n">
        <x:v>884</x:v>
      </x:c>
      <x:c r="F30" s="14" t="n">
        <x:f>D30/C30*100</x:f>
        <x:v>42.71803556308213</x:v>
      </x:c>
      <x:c r="G30" s="14" t="n">
        <x:f>E30/D30*100</x:f>
        <x:v>43.80574826560951</x:v>
      </x:c>
      <x:c r="H30" s="13" t="str">
        <x:v>口腔液途径；通知暂定，非全系统检测完整性</x:v>
      </x:c>
      <x:c r="I30" s="12"/>
    </x:row>
    <x:row r="31" ht="39" customHeight="1">
      <x:c r="A31" s="21" t="n">
        <x:v>2024</x:v>
      </x:c>
      <x:c r="B31" s="21" t="n">
        <x:v>3</x:v>
      </x:c>
      <x:c r="C31" s="13" t="n">
        <x:v>1871</x:v>
      </x:c>
      <x:c r="D31" s="13" t="n">
        <x:v>648</x:v>
      </x:c>
      <x:c r="E31" s="13" t="n">
        <x:v>549</x:v>
      </x:c>
      <x:c r="F31" s="14" t="n">
        <x:f>D31/C31*100</x:f>
        <x:v>34.63388562266168</x:v>
      </x:c>
      <x:c r="G31" s="14" t="n">
        <x:f>E31/D31*100</x:f>
        <x:v>84.72222222222221</x:v>
      </x:c>
      <x:c r="H31" s="13" t="str">
        <x:v>口腔液途径；通知暂定，非全系统检测完整性</x:v>
      </x:c>
      <x:c r="I31" s="12"/>
    </x:row>
    <x:row r="32" ht="39" customHeight="1">
      <x:c r="A32" s="21" t="n">
        <x:v>2024</x:v>
      </x:c>
      <x:c r="B32" s="21" t="n">
        <x:v>4</x:v>
      </x:c>
      <x:c r="C32" s="13" t="n">
        <x:v>1011</x:v>
      </x:c>
      <x:c r="D32" s="13" t="n">
        <x:v>389</x:v>
      </x:c>
      <x:c r="E32" s="13" t="n">
        <x:v>252</x:v>
      </x:c>
      <x:c r="F32" s="14" t="n">
        <x:f>D32/C32*100</x:f>
        <x:v>38.47675568743818</x:v>
      </x:c>
      <x:c r="G32" s="14" t="n">
        <x:f>E32/D32*100</x:f>
        <x:v>64.78149100257069</x:v>
      </x:c>
      <x:c r="H32" s="13" t="str">
        <x:v>口腔液途径；通知暂定，非全系统检测完整性</x:v>
      </x:c>
      <x:c r="I32" s="12"/>
    </x:row>
  </x:sheetData>
  <x:mergeCells>
    <x:mergeCell ref="A2:F2"/>
    <x:mergeCell ref="A16:E16"/>
    <x:mergeCell ref="A27:H2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23" hidden="0" customWidth="1"/>
    <x:col min="3" max="3" width="23" hidden="0" customWidth="1"/>
    <x:col min="4" max="4" width="23" hidden="0" customWidth="1"/>
    <x:col min="5" max="5" width="22" hidden="0" customWidth="1"/>
    <x:col min="6" max="6" width="24" hidden="0" customWidth="1"/>
    <x:col min="7" max="7" width="24" hidden="0" customWidth="1"/>
    <x:col min="8" max="8" width="88" hidden="0" customWidth="1"/>
  </x:cols>
  <x:sheetData>
    <x:row r="1" ht="24" customHeight="1">
      <x:c r="A1" s="12"/>
      <x:c r="B1" s="12"/>
      <x:c r="C1" s="12"/>
      <x:c r="D1" s="12"/>
      <x:c r="E1" s="12"/>
      <x:c r="F1" s="12"/>
      <x:c r="G1" s="12"/>
      <x:c r="H1" s="12"/>
    </x:row>
    <x:row r="2" ht="24" customHeight="1">
      <x:c r="A2" s="12" t="str">
        <x:v>2024年1至3月CHIS生日队列</x:v>
      </x:c>
      <x:c r="B2" s="12"/>
      <x:c r="C2" s="12"/>
      <x:c r="D2" s="12"/>
      <x:c r="E2" s="12"/>
      <x:c r="F2" s="12"/>
      <x:c r="G2" s="12"/>
      <x:c r="H2" s="12"/>
    </x:row>
    <x:row r="3" ht="24" customHeight="1">
      <x:c r="A3" s="12"/>
      <x:c r="B3" s="12"/>
      <x:c r="C3" s="12"/>
      <x:c r="D3" s="12"/>
      <x:c r="E3" s="12"/>
      <x:c r="F3" s="12"/>
      <x:c r="G3" s="12"/>
      <x:c r="H3" s="12"/>
    </x:row>
    <x:row r="4" ht="24" customHeight="1">
      <x:c r="A4" s="12"/>
      <x:c r="B4" s="12"/>
      <x:c r="C4" s="12"/>
      <x:c r="D4" s="12"/>
      <x:c r="E4" s="12"/>
      <x:c r="F4" s="12"/>
      <x:c r="G4" s="12"/>
      <x:c r="H4" s="12"/>
    </x:row>
    <x:row r="5" ht="40" customHeight="1">
      <x:c r="A5" s="16" t="str">
        <x:v>UTLA</x:v>
      </x:c>
      <x:c r="B5" s="16" t="str">
        <x:v>中文名称</x:v>
      </x:c>
      <x:c r="C5" s="16" t="str">
        <x:v>年龄剂次</x:v>
      </x:c>
      <x:c r="D5" s="16" t="str">
        <x:v>对应分母（人）</x:v>
      </x:c>
      <x:c r="E5" s="16" t="str">
        <x:v>原分子（人）</x:v>
      </x:c>
      <x:c r="F5" s="16" t="str">
        <x:v>重算覆盖率（%）</x:v>
      </x:c>
      <x:c r="G5" s="16" t="str">
        <x:v>记录缺口（人）</x:v>
      </x:c>
      <x:c r="H5" s="16" t="str">
        <x:v>人群及时期</x:v>
      </x:c>
    </x:row>
    <x:row r="6" ht="24" customHeight="1">
      <x:c r="A6" s="13" t="str">
        <x:v>Birmingham</x:v>
      </x:c>
      <x:c r="B6" s="13" t="str">
        <x:v>伯明翰</x:v>
      </x:c>
      <x:c r="C6" s="13" t="str">
        <x:v>24m MMR1</x:v>
      </x:c>
      <x:c r="D6" s="13" t="n">
        <x:v>3698</x:v>
      </x:c>
      <x:c r="E6" s="13" t="n">
        <x:v>2914</x:v>
      </x:c>
      <x:c r="F6" s="14" t="n">
        <x:f>E6/D6*100</x:f>
        <x:v>78.79935100054082</x:v>
      </x:c>
      <x:c r="G6" s="13" t="n">
        <x:f>D6-E6</x:f>
        <x:v>784</x:v>
      </x:c>
      <x:c r="H6" s="13" t="str">
        <x:v>负责人口生日队列；2024年1–3月；分母 I12 Data_file!Y135；分子 I12 Data_file!X135</x:v>
      </x:c>
    </x:row>
    <x:row r="7" ht="24" customHeight="1">
      <x:c r="A7" s="13" t="str">
        <x:v>Birmingham</x:v>
      </x:c>
      <x:c r="B7" s="13" t="str">
        <x:v>伯明翰</x:v>
      </x:c>
      <x:c r="C7" s="13" t="str">
        <x:v>5y MMR1</x:v>
      </x:c>
      <x:c r="D7" s="13" t="n">
        <x:v>3953</x:v>
      </x:c>
      <x:c r="E7" s="13" t="n">
        <x:v>3423</x:v>
      </x:c>
      <x:c r="F7" s="14" t="n">
        <x:f>E7/D7*100</x:f>
        <x:v>86.59246142170504</x:v>
      </x:c>
      <x:c r="G7" s="13" t="n">
        <x:f>D7-E7</x:f>
        <x:v>530</x:v>
      </x:c>
      <x:c r="H7" s="13" t="str">
        <x:v>负责人口生日队列；2024年1–3月；分母 I12 Data_file!AJ135；分子 I12 Data_file!AI135</x:v>
      </x:c>
    </x:row>
    <x:row r="8" ht="24" customHeight="1">
      <x:c r="A8" s="13" t="str">
        <x:v>Birmingham</x:v>
      </x:c>
      <x:c r="B8" s="13" t="str">
        <x:v>伯明翰</x:v>
      </x:c>
      <x:c r="C8" s="13" t="str">
        <x:v>5y MMR2</x:v>
      </x:c>
      <x:c r="D8" s="13" t="n">
        <x:v>3953</x:v>
      </x:c>
      <x:c r="E8" s="13" t="n">
        <x:v>3013</x:v>
      </x:c>
      <x:c r="F8" s="14" t="n">
        <x:f>E8/D8*100</x:f>
        <x:v>76.22059195547686</x:v>
      </x:c>
      <x:c r="G8" s="13" t="n">
        <x:f>D8-E8</x:f>
        <x:v>940</x:v>
      </x:c>
      <x:c r="H8" s="13" t="str">
        <x:v>负责人口生日队列；2024年1–3月；分母 I12 Data_file!AP135；分子 I12 Data_file!AO135</x:v>
      </x:c>
    </x:row>
    <x:row r="9" ht="24" customHeight="1">
      <x:c r="A9" s="13" t="str">
        <x:v>Solihull</x:v>
      </x:c>
      <x:c r="B9" s="13" t="str">
        <x:v>索利哈尔</x:v>
      </x:c>
      <x:c r="C9" s="13" t="str">
        <x:v>24m MMR1</x:v>
      </x:c>
      <x:c r="D9" s="13" t="n">
        <x:v>521</x:v>
      </x:c>
      <x:c r="E9" s="13" t="n">
        <x:v>460</x:v>
      </x:c>
      <x:c r="F9" s="14" t="n">
        <x:f>E9/D9*100</x:f>
        <x:v>88.29174664107485</x:v>
      </x:c>
      <x:c r="G9" s="13" t="n">
        <x:f>D9-E9</x:f>
        <x:v>61</x:v>
      </x:c>
      <x:c r="H9" s="13" t="str">
        <x:v>负责人口生日队列；2024年1–3月；分母 I12 Data_file!Y137；分子 I12 Data_file!X137</x:v>
      </x:c>
    </x:row>
    <x:row r="10" ht="24" customHeight="1">
      <x:c r="A10" s="13" t="str">
        <x:v>Solihull</x:v>
      </x:c>
      <x:c r="B10" s="13" t="str">
        <x:v>索利哈尔</x:v>
      </x:c>
      <x:c r="C10" s="13" t="str">
        <x:v>5y MMR1</x:v>
      </x:c>
      <x:c r="D10" s="13" t="n">
        <x:v>597</x:v>
      </x:c>
      <x:c r="E10" s="13" t="n">
        <x:v>572</x:v>
      </x:c>
      <x:c r="F10" s="14" t="n">
        <x:f>E10/D10*100</x:f>
        <x:v>95.81239530988275</x:v>
      </x:c>
      <x:c r="G10" s="13" t="n">
        <x:f>D10-E10</x:f>
        <x:v>25</x:v>
      </x:c>
      <x:c r="H10" s="13" t="str">
        <x:v>负责人口生日队列；2024年1–3月；分母 I12 Data_file!AJ137；分子 I12 Data_file!AI137</x:v>
      </x:c>
    </x:row>
    <x:row r="11" ht="24" customHeight="1">
      <x:c r="A11" s="13" t="str">
        <x:v>Solihull</x:v>
      </x:c>
      <x:c r="B11" s="13" t="str">
        <x:v>索利哈尔</x:v>
      </x:c>
      <x:c r="C11" s="13" t="str">
        <x:v>5y MMR2</x:v>
      </x:c>
      <x:c r="D11" s="13" t="n">
        <x:v>597</x:v>
      </x:c>
      <x:c r="E11" s="13" t="n">
        <x:v>511</x:v>
      </x:c>
      <x:c r="F11" s="14" t="n">
        <x:f>E11/D11*100</x:f>
        <x:v>85.59463986599664</x:v>
      </x:c>
      <x:c r="G11" s="13" t="n">
        <x:f>D11-E11</x:f>
        <x:v>86</x:v>
      </x:c>
      <x:c r="H11" s="13" t="str">
        <x:v>负责人口生日队列；2024年1–3月；分母 I12 Data_file!AP137；分子 I12 Data_file!AO137</x:v>
      </x:c>
    </x:row>
    <x:row r="12" ht="24" customHeight="1">
      <x:c r="A12" s="13" t="str">
        <x:v>Dudley</x:v>
      </x:c>
      <x:c r="B12" s="13" t="str">
        <x:v>达德利</x:v>
      </x:c>
      <x:c r="C12" s="13" t="str">
        <x:v>24m MMR1</x:v>
      </x:c>
      <x:c r="D12" s="13" t="n">
        <x:v>893</x:v>
      </x:c>
      <x:c r="E12" s="13" t="n">
        <x:v>826</x:v>
      </x:c>
      <x:c r="F12" s="14" t="n">
        <x:f>E12/D12*100</x:f>
        <x:v>92.49720044792834</x:v>
      </x:c>
      <x:c r="G12" s="13" t="n">
        <x:f>D12-E12</x:f>
        <x:v>67</x:v>
      </x:c>
      <x:c r="H12" s="13" t="str">
        <x:v>负责人口生日队列；2024年1–3月；分母 I12 Data_file!Y131；分子 I12 Data_file!X131</x:v>
      </x:c>
    </x:row>
    <x:row r="13" ht="24" customHeight="1">
      <x:c r="A13" s="13" t="str">
        <x:v>Dudley</x:v>
      </x:c>
      <x:c r="B13" s="13" t="str">
        <x:v>达德利</x:v>
      </x:c>
      <x:c r="C13" s="13" t="str">
        <x:v>5y MMR1</x:v>
      </x:c>
      <x:c r="D13" s="13" t="n">
        <x:v>905</x:v>
      </x:c>
      <x:c r="E13" s="13" t="n">
        <x:v>866</x:v>
      </x:c>
      <x:c r="F13" s="14" t="n">
        <x:f>E13/D13*100</x:f>
        <x:v>95.69060773480663</x:v>
      </x:c>
      <x:c r="G13" s="13" t="n">
        <x:f>D13-E13</x:f>
        <x:v>39</x:v>
      </x:c>
      <x:c r="H13" s="13" t="str">
        <x:v>负责人口生日队列；2024年1–3月；分母 I12 Data_file!AJ131；分子 I12 Data_file!AI131</x:v>
      </x:c>
    </x:row>
    <x:row r="14" ht="24" customHeight="1">
      <x:c r="A14" s="13" t="str">
        <x:v>Dudley</x:v>
      </x:c>
      <x:c r="B14" s="13" t="str">
        <x:v>达德利</x:v>
      </x:c>
      <x:c r="C14" s="13" t="str">
        <x:v>5y MMR2</x:v>
      </x:c>
      <x:c r="D14" s="13" t="n">
        <x:v>905</x:v>
      </x:c>
      <x:c r="E14" s="13" t="n">
        <x:v>799</x:v>
      </x:c>
      <x:c r="F14" s="14" t="n">
        <x:f>E14/D14*100</x:f>
        <x:v>88.28729281767956</x:v>
      </x:c>
      <x:c r="G14" s="13" t="n">
        <x:f>D14-E14</x:f>
        <x:v>106</x:v>
      </x:c>
      <x:c r="H14" s="13" t="str">
        <x:v>负责人口生日队列；2024年1–3月；分母 I12 Data_file!AP131；分子 I12 Data_file!AO131</x:v>
      </x:c>
    </x:row>
    <x:row r="15" ht="24" customHeight="1">
      <x:c r="A15" s="13" t="str">
        <x:v>Sandwell</x:v>
      </x:c>
      <x:c r="B15" s="13" t="str">
        <x:v>桑德韦尔</x:v>
      </x:c>
      <x:c r="C15" s="13" t="str">
        <x:v>24m MMR1</x:v>
      </x:c>
      <x:c r="D15" s="13" t="n">
        <x:v>1073</x:v>
      </x:c>
      <x:c r="E15" s="13" t="n">
        <x:v>945</x:v>
      </x:c>
      <x:c r="F15" s="14" t="n">
        <x:f>E15/D15*100</x:f>
        <x:v>88.0708294501398</x:v>
      </x:c>
      <x:c r="G15" s="13" t="n">
        <x:f>D15-E15</x:f>
        <x:v>128</x:v>
      </x:c>
      <x:c r="H15" s="13" t="str">
        <x:v>负责人口生日队列；2024年1–3月；分母 I12 Data_file!Y139；分子 I12 Data_file!X139</x:v>
      </x:c>
    </x:row>
    <x:row r="16" ht="24" customHeight="1">
      <x:c r="A16" s="13" t="str">
        <x:v>Sandwell</x:v>
      </x:c>
      <x:c r="B16" s="13" t="str">
        <x:v>桑德韦尔</x:v>
      </x:c>
      <x:c r="C16" s="13" t="str">
        <x:v>5y MMR1</x:v>
      </x:c>
      <x:c r="D16" s="13" t="n">
        <x:v>1122</x:v>
      </x:c>
      <x:c r="E16" s="13" t="n">
        <x:v>1018</x:v>
      </x:c>
      <x:c r="F16" s="14" t="n">
        <x:f>E16/D16*100</x:f>
        <x:v>90.73083778966132</x:v>
      </x:c>
      <x:c r="G16" s="13" t="n">
        <x:f>D16-E16</x:f>
        <x:v>104</x:v>
      </x:c>
      <x:c r="H16" s="13" t="str">
        <x:v>负责人口生日队列；2024年1–3月；分母 I12 Data_file!AJ139；分子 I12 Data_file!AI139</x:v>
      </x:c>
    </x:row>
    <x:row r="17" ht="24" customHeight="1">
      <x:c r="A17" s="13" t="str">
        <x:v>Sandwell</x:v>
      </x:c>
      <x:c r="B17" s="13" t="str">
        <x:v>桑德韦尔</x:v>
      </x:c>
      <x:c r="C17" s="13" t="str">
        <x:v>5y MMR2</x:v>
      </x:c>
      <x:c r="D17" s="13" t="n">
        <x:v>1122</x:v>
      </x:c>
      <x:c r="E17" s="13" t="n">
        <x:v>911</x:v>
      </x:c>
      <x:c r="F17" s="14" t="n">
        <x:f>E17/D17*100</x:f>
        <x:v>81.19429590017825</x:v>
      </x:c>
      <x:c r="G17" s="13" t="n">
        <x:f>D17-E17</x:f>
        <x:v>211</x:v>
      </x:c>
      <x:c r="H17" s="13" t="str">
        <x:v>负责人口生日队列；2024年1–3月；分母 I12 Data_file!AP139；分子 I12 Data_file!AO139</x:v>
      </x:c>
    </x:row>
    <x:row r="18" ht="24" customHeight="1">
      <x:c r="A18" s="13" t="str">
        <x:v>Walsall</x:v>
      </x:c>
      <x:c r="B18" s="13" t="str">
        <x:v>沃尔索尔</x:v>
      </x:c>
      <x:c r="C18" s="13" t="str">
        <x:v>24m MMR1</x:v>
      </x:c>
      <x:c r="D18" s="13" t="n">
        <x:v>873</x:v>
      </x:c>
      <x:c r="E18" s="13" t="n">
        <x:v>773</x:v>
      </x:c>
      <x:c r="F18" s="14" t="n">
        <x:f>E18/D18*100</x:f>
        <x:v>88.54524627720504</x:v>
      </x:c>
      <x:c r="G18" s="13" t="n">
        <x:f>D18-E18</x:f>
        <x:v>100</x:v>
      </x:c>
      <x:c r="H18" s="13" t="str">
        <x:v>负责人口生日队列；2024年1–3月；分母 I12 Data_file!Y138；分子 I12 Data_file!X138</x:v>
      </x:c>
    </x:row>
    <x:row r="19" ht="24" customHeight="1">
      <x:c r="A19" s="13" t="str">
        <x:v>Walsall</x:v>
      </x:c>
      <x:c r="B19" s="13" t="str">
        <x:v>沃尔索尔</x:v>
      </x:c>
      <x:c r="C19" s="13" t="str">
        <x:v>5y MMR1</x:v>
      </x:c>
      <x:c r="D19" s="13" t="n">
        <x:v>954</x:v>
      </x:c>
      <x:c r="E19" s="13" t="n">
        <x:v>884</x:v>
      </x:c>
      <x:c r="F19" s="14" t="n">
        <x:f>E19/D19*100</x:f>
        <x:v>92.66247379454927</x:v>
      </x:c>
      <x:c r="G19" s="13" t="n">
        <x:f>D19-E19</x:f>
        <x:v>70</x:v>
      </x:c>
      <x:c r="H19" s="13" t="str">
        <x:v>负责人口生日队列；2024年1–3月；分母 I12 Data_file!AJ138；分子 I12 Data_file!AI138</x:v>
      </x:c>
    </x:row>
    <x:row r="20" ht="24" customHeight="1">
      <x:c r="A20" s="13" t="str">
        <x:v>Walsall</x:v>
      </x:c>
      <x:c r="B20" s="13" t="str">
        <x:v>沃尔索尔</x:v>
      </x:c>
      <x:c r="C20" s="13" t="str">
        <x:v>5y MMR2</x:v>
      </x:c>
      <x:c r="D20" s="13" t="n">
        <x:v>954</x:v>
      </x:c>
      <x:c r="E20" s="13" t="n">
        <x:v>811</x:v>
      </x:c>
      <x:c r="F20" s="14" t="n">
        <x:f>E20/D20*100</x:f>
        <x:v>85.01048218029351</x:v>
      </x:c>
      <x:c r="G20" s="13" t="n">
        <x:f>D20-E20</x:f>
        <x:v>143</x:v>
      </x:c>
      <x:c r="H20" s="13" t="str">
        <x:v>负责人口生日队列；2024年1–3月；分母 I12 Data_file!AP138；分子 I12 Data_file!AO138</x:v>
      </x:c>
    </x:row>
    <x:row r="21" ht="24" customHeight="1">
      <x:c r="A21" s="13" t="str">
        <x:v>Wolverhampton</x:v>
      </x:c>
      <x:c r="B21" s="13" t="str">
        <x:v>伍尔弗汉普顿</x:v>
      </x:c>
      <x:c r="C21" s="13" t="str">
        <x:v>24m MMR1</x:v>
      </x:c>
      <x:c r="D21" s="13" t="n">
        <x:v>848</x:v>
      </x:c>
      <x:c r="E21" s="13" t="n">
        <x:v>740</x:v>
      </x:c>
      <x:c r="F21" s="14" t="n">
        <x:f>E21/D21*100</x:f>
        <x:v>87.26415094339622</x:v>
      </x:c>
      <x:c r="G21" s="13" t="n">
        <x:f>D21-E21</x:f>
        <x:v>108</x:v>
      </x:c>
      <x:c r="H21" s="13" t="str">
        <x:v>负责人口生日队列；2024年1–3月；分母 I12 Data_file!Y134；分子 I12 Data_file!X134</x:v>
      </x:c>
    </x:row>
    <x:row r="22" ht="24" customHeight="1">
      <x:c r="A22" s="13" t="str">
        <x:v>Wolverhampton</x:v>
      </x:c>
      <x:c r="B22" s="13" t="str">
        <x:v>伍尔弗汉普顿</x:v>
      </x:c>
      <x:c r="C22" s="13" t="str">
        <x:v>5y MMR1</x:v>
      </x:c>
      <x:c r="D22" s="13" t="n">
        <x:v>929</x:v>
      </x:c>
      <x:c r="E22" s="13" t="n">
        <x:v>852</x:v>
      </x:c>
      <x:c r="F22" s="14" t="n">
        <x:f>E22/D22*100</x:f>
        <x:v>91.71151776103336</x:v>
      </x:c>
      <x:c r="G22" s="13" t="n">
        <x:f>D22-E22</x:f>
        <x:v>77</x:v>
      </x:c>
      <x:c r="H22" s="13" t="str">
        <x:v>负责人口生日队列；2024年1–3月；分母 I12 Data_file!AJ134；分子 I12 Data_file!AI134</x:v>
      </x:c>
    </x:row>
    <x:row r="23" ht="24" customHeight="1">
      <x:c r="A23" s="13" t="str">
        <x:v>Wolverhampton</x:v>
      </x:c>
      <x:c r="B23" s="13" t="str">
        <x:v>伍尔弗汉普顿</x:v>
      </x:c>
      <x:c r="C23" s="13" t="str">
        <x:v>5y MMR2</x:v>
      </x:c>
      <x:c r="D23" s="13" t="n">
        <x:v>929</x:v>
      </x:c>
      <x:c r="E23" s="13" t="n">
        <x:v>739</x:v>
      </x:c>
      <x:c r="F23" s="14" t="n">
        <x:f>E23/D23*100</x:f>
        <x:v>79.54790096878364</x:v>
      </x:c>
      <x:c r="G23" s="13" t="n">
        <x:f>D23-E23</x:f>
        <x:v>190</x:v>
      </x:c>
      <x:c r="H23" s="13" t="str">
        <x:v>负责人口生日队列；2024年1–3月；分母 I12 Data_file!AP134；分子 I12 Data_file!AO134</x:v>
      </x:c>
    </x:row>
  </x:sheetData>
  <x:mergeCells>
    <x:mergeCell ref="A2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23" hidden="0" customWidth="1"/>
    <x:col min="3" max="3" width="23" hidden="0" customWidth="1"/>
    <x:col min="4" max="4" width="22" hidden="0" customWidth="1"/>
    <x:col min="5" max="5" width="22" hidden="0" customWidth="1"/>
    <x:col min="6" max="6" width="22" hidden="0" customWidth="1"/>
    <x:col min="7" max="7" width="20" hidden="0" customWidth="1"/>
    <x:col min="8" max="8" width="50" hidden="0" customWidth="1"/>
    <x:col min="9" max="9" width="22" hidden="0" customWidth="1"/>
    <x:col min="10" max="10" width="22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55" hidden="0" customWidth="1"/>
  </x:cols>
  <x:sheetData>
    <x:row r="1" ht="24" customHeight="1">
      <x:c r="A1" s="12"/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  <x:c r="M1" s="12"/>
      <x:c r="N1" s="12"/>
      <x:c r="O1" s="12"/>
    </x:row>
    <x:row r="2" ht="24" customHeight="1">
      <x:c r="A2" s="12" t="str">
        <x:v>相邻年度及季度覆盖率变化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</x:row>
    <x:row r="3" ht="39" customHeight="1">
      <x:c r="A3" s="12" t="str">
        <x:v>取整半宽（百分点）</x:v>
      </x:c>
      <x:c r="B3" s="12" t="n">
        <x:v>0.05</x:v>
      </x:c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</x:row>
    <x:row r="4" ht="24" customHeight="1">
      <x:c r="A4" s="12"/>
      <x:c r="B4" s="12"/>
      <x:c r="C4" s="12"/>
      <x:c r="D4" s="12"/>
      <x:c r="E4" s="12"/>
      <x:c r="F4" s="12"/>
      <x:c r="G4" s="12"/>
      <x:c r="H4" s="12"/>
      <x:c r="I4" s="12"/>
      <x:c r="J4" s="12"/>
      <x:c r="K4" s="12"/>
      <x:c r="L4" s="12"/>
      <x:c r="M4" s="12"/>
      <x:c r="N4" s="12"/>
      <x:c r="O4" s="12"/>
    </x:row>
    <x:row r="5" ht="40" customHeight="1">
      <x:c r="A5" s="16" t="str">
        <x:v>ICB原码</x:v>
      </x:c>
      <x:c r="B5" s="16" t="str">
        <x:v>中文名称</x:v>
      </x:c>
      <x:c r="C5" s="16" t="str">
        <x:v>期间比较</x:v>
      </x:c>
      <x:c r="D5" s="16" t="str">
        <x:v>年龄剂次</x:v>
      </x:c>
      <x:c r="E5" s="16" t="str">
        <x:v>前期原覆盖率（%）</x:v>
      </x:c>
      <x:c r="F5" s="16" t="str">
        <x:v>后期原覆盖率（%）</x:v>
      </x:c>
      <x:c r="G5" s="16" t="str">
        <x:v>差值（百分点）</x:v>
      </x:c>
      <x:c r="H5" s="16" t="str">
        <x:v>计算口径</x:v>
      </x:c>
      <x:c r="I5" s="16"/>
      <x:c r="J5" s="16"/>
      <x:c r="K5" s="16"/>
      <x:c r="L5" s="16"/>
      <x:c r="M5" s="16"/>
      <x:c r="N5" s="16"/>
      <x:c r="O5" s="16"/>
    </x:row>
    <x:row r="6" ht="39" customHeight="1">
      <x:c r="A6" s="13" t="str">
        <x:v>QHL</x:v>
      </x:c>
      <x:c r="B6" s="13" t="str">
        <x:v>伯明翰与索利哈尔 ICB</x:v>
      </x:c>
      <x:c r="C6" s="13" t="str">
        <x:v>年度2022/23至2023/24</x:v>
      </x:c>
      <x:c r="D6" s="13" t="str">
        <x:v>24m MMR1</x:v>
      </x:c>
      <x:c r="E6" s="30" t="n">
        <x:v>82.150430335537</x:v>
      </x:c>
      <x:c r="F6" s="30" t="n">
        <x:v>80.1</x:v>
      </x:c>
      <x:c r="G6" s="14" t="n">
        <x:f>ROUND(F6,1)-ROUND(E6,1)</x:f>
        <x:v>-2.1000000000000085</x:v>
      </x:c>
      <x:c r="H6" s="13" t="str">
        <x:v>不同生日队列；按公布显示精度计算差值；前 I03 ICB_Code!J10；后 I04 Table_2!K10</x:v>
      </x:c>
      <x:c r="I6" s="12"/>
      <x:c r="J6" s="12"/>
      <x:c r="K6" s="12"/>
      <x:c r="L6" s="12"/>
      <x:c r="M6" s="12"/>
      <x:c r="N6" s="12"/>
      <x:c r="O6" s="12"/>
    </x:row>
    <x:row r="7" ht="39" customHeight="1">
      <x:c r="A7" s="13" t="str">
        <x:v>QHL</x:v>
      </x:c>
      <x:c r="B7" s="13" t="str">
        <x:v>伯明翰与索利哈尔 ICB</x:v>
      </x:c>
      <x:c r="C7" s="13" t="str">
        <x:v>季度2023年10–12月至2024年1–3月</x:v>
      </x:c>
      <x:c r="D7" s="13" t="str">
        <x:v>24m MMR1</x:v>
      </x:c>
      <x:c r="E7" s="30" t="n">
        <x:v>81.3410454155955</x:v>
      </x:c>
      <x:c r="F7" s="30" t="n">
        <x:v>79.1572780531771</x:v>
      </x:c>
      <x:c r="G7" s="14" t="n">
        <x:f>ROUND(F7,1)-ROUND(E7,1)</x:f>
        <x:v>-2.0999999999999943</x:v>
      </x:c>
      <x:c r="H7" s="13" t="str">
        <x:v>不同生日队列；按公布显示精度计算差值；前 I05 ICB_Code!J7；后 I06 ICB_Code!J7</x:v>
      </x:c>
      <x:c r="I7" s="12"/>
      <x:c r="J7" s="12"/>
      <x:c r="K7" s="12"/>
      <x:c r="L7" s="12"/>
      <x:c r="M7" s="12"/>
      <x:c r="N7" s="12"/>
      <x:c r="O7" s="12"/>
    </x:row>
    <x:row r="8" ht="39" customHeight="1">
      <x:c r="A8" s="13" t="str">
        <x:v>QHL</x:v>
      </x:c>
      <x:c r="B8" s="13" t="str">
        <x:v>伯明翰与索利哈尔 ICB</x:v>
      </x:c>
      <x:c r="C8" s="13" t="str">
        <x:v>年度2022/23至2023/24</x:v>
      </x:c>
      <x:c r="D8" s="13" t="str">
        <x:v>5y MMR1</x:v>
      </x:c>
      <x:c r="E8" s="30" t="n">
        <x:v>87.9525254714936</x:v>
      </x:c>
      <x:c r="F8" s="30" t="n">
        <x:v>86.8</x:v>
      </x:c>
      <x:c r="G8" s="14" t="n">
        <x:f>ROUND(F8,1)-ROUND(E8,1)</x:f>
        <x:v>-1.2000000000000028</x:v>
      </x:c>
      <x:c r="H8" s="13" t="str">
        <x:v>不同生日队列；按公布显示精度计算差值；前 I03 ICB_Code!R10；后 I04 Table_2!S10</x:v>
      </x:c>
      <x:c r="I8" s="12"/>
      <x:c r="J8" s="12"/>
      <x:c r="K8" s="12"/>
      <x:c r="L8" s="12"/>
      <x:c r="M8" s="12"/>
      <x:c r="N8" s="12"/>
      <x:c r="O8" s="12"/>
    </x:row>
    <x:row r="9" ht="39" customHeight="1">
      <x:c r="A9" s="13" t="str">
        <x:v>QHL</x:v>
      </x:c>
      <x:c r="B9" s="13" t="str">
        <x:v>伯明翰与索利哈尔 ICB</x:v>
      </x:c>
      <x:c r="C9" s="13" t="str">
        <x:v>季度2023年10–12月至2024年1–3月</x:v>
      </x:c>
      <x:c r="D9" s="13" t="str">
        <x:v>5y MMR1</x:v>
      </x:c>
      <x:c r="E9" s="30" t="n">
        <x:v>87.9883945841393</x:v>
      </x:c>
      <x:c r="F9" s="30" t="n">
        <x:v>86.8541666666667</x:v>
      </x:c>
      <x:c r="G9" s="14" t="n">
        <x:f>ROUND(F9,1)-ROUND(E9,1)</x:f>
        <x:v>-1.0999999999999943</x:v>
      </x:c>
      <x:c r="H9" s="13" t="str">
        <x:v>不同生日队列；按公布显示精度计算差值；前 I05 ICB_Code!R7；后 I06 ICB_Code!R7</x:v>
      </x:c>
      <x:c r="I9" s="12"/>
      <x:c r="J9" s="12"/>
      <x:c r="K9" s="12"/>
      <x:c r="L9" s="12"/>
      <x:c r="M9" s="12"/>
      <x:c r="N9" s="12"/>
      <x:c r="O9" s="12"/>
    </x:row>
    <x:row r="10" ht="39" customHeight="1">
      <x:c r="A10" s="13" t="str">
        <x:v>QHL</x:v>
      </x:c>
      <x:c r="B10" s="13" t="str">
        <x:v>伯明翰与索利哈尔 ICB</x:v>
      </x:c>
      <x:c r="C10" s="13" t="str">
        <x:v>年度2022/23至2023/24</x:v>
      </x:c>
      <x:c r="D10" s="13" t="str">
        <x:v>5y MMR2</x:v>
      </x:c>
      <x:c r="E10" s="30" t="n">
        <x:v>75.2221981357035</x:v>
      </x:c>
      <x:c r="F10" s="30" t="n">
        <x:v>74.5</x:v>
      </x:c>
      <x:c r="G10" s="14" t="n">
        <x:f>ROUND(F10,1)-ROUND(E10,1)</x:f>
        <x:v>-0.7000000000000028</x:v>
      </x:c>
      <x:c r="H10" s="13" t="str">
        <x:v>不同生日队列；按公布显示精度计算差值；前 I03 ICB_Code!S10；后 I04 Table_2!T10</x:v>
      </x:c>
      <x:c r="I10" s="12"/>
      <x:c r="J10" s="12"/>
      <x:c r="K10" s="12"/>
      <x:c r="L10" s="12"/>
      <x:c r="M10" s="12"/>
      <x:c r="N10" s="12"/>
      <x:c r="O10" s="12"/>
    </x:row>
    <x:row r="11" ht="39" customHeight="1">
      <x:c r="A11" s="13" t="str">
        <x:v>QHL</x:v>
      </x:c>
      <x:c r="B11" s="13" t="str">
        <x:v>伯明翰与索利哈尔 ICB</x:v>
      </x:c>
      <x:c r="C11" s="13" t="str">
        <x:v>季度2023年10–12月至2024年1–3月</x:v>
      </x:c>
      <x:c r="D11" s="13" t="str">
        <x:v>5y MMR2</x:v>
      </x:c>
      <x:c r="E11" s="30" t="n">
        <x:v>75.705996131528</x:v>
      </x:c>
      <x:c r="F11" s="30" t="n">
        <x:v>75.9375</x:v>
      </x:c>
      <x:c r="G11" s="14" t="n">
        <x:f>ROUND(F11,1)-ROUND(E11,1)</x:f>
        <x:v>0.20000000000000284</x:v>
      </x:c>
      <x:c r="H11" s="13" t="str">
        <x:v>不同生日队列；按公布显示精度计算差值；前 I05 ICB_Code!S7；后 I06 ICB_Code!S7</x:v>
      </x:c>
      <x:c r="I11" s="12"/>
      <x:c r="J11" s="12"/>
      <x:c r="K11" s="12"/>
      <x:c r="L11" s="12"/>
      <x:c r="M11" s="12"/>
      <x:c r="N11" s="12"/>
      <x:c r="O11" s="12"/>
    </x:row>
    <x:row r="12" ht="39" customHeight="1">
      <x:c r="A12" s="13" t="str">
        <x:v>QUA</x:v>
      </x:c>
      <x:c r="B12" s="13" t="str">
        <x:v>黑乡 ICB</x:v>
      </x:c>
      <x:c r="C12" s="13" t="str">
        <x:v>年度2022/23至2023/24</x:v>
      </x:c>
      <x:c r="D12" s="13" t="str">
        <x:v>24m MMR1</x:v>
      </x:c>
      <x:c r="E12" s="30" t="n">
        <x:v>86.9317841528418</x:v>
      </x:c>
      <x:c r="F12" s="30" t="n">
        <x:v>88.3</x:v>
      </x:c>
      <x:c r="G12" s="14" t="n">
        <x:f>ROUND(F12,1)-ROUND(E12,1)</x:f>
        <x:v>1.3999999999999915</x:v>
      </x:c>
      <x:c r="H12" s="13" t="str">
        <x:v>不同生日队列；按公布显示精度计算差值；前 I03 ICB_Code!J38；后 I04 Table_2!K11</x:v>
      </x:c>
      <x:c r="I12" s="12"/>
      <x:c r="J12" s="12"/>
      <x:c r="K12" s="12"/>
      <x:c r="L12" s="12"/>
      <x:c r="M12" s="12"/>
      <x:c r="N12" s="12"/>
      <x:c r="O12" s="12"/>
    </x:row>
    <x:row r="13" ht="39" customHeight="1">
      <x:c r="A13" s="13" t="str">
        <x:v>QUA</x:v>
      </x:c>
      <x:c r="B13" s="13" t="str">
        <x:v>黑乡 ICB</x:v>
      </x:c>
      <x:c r="C13" s="13" t="str">
        <x:v>季度2023年10–12月至2024年1–3月</x:v>
      </x:c>
      <x:c r="D13" s="13" t="str">
        <x:v>24m MMR1</x:v>
      </x:c>
      <x:c r="E13" s="30" t="n">
        <x:v>88.5267275097784</x:v>
      </x:c>
      <x:c r="F13" s="30" t="n">
        <x:v>89.3634610085423</x:v>
      </x:c>
      <x:c r="G13" s="14" t="n">
        <x:f>ROUND(F13,1)-ROUND(E13,1)</x:f>
        <x:v>0.9000000000000057</x:v>
      </x:c>
      <x:c r="H13" s="13" t="str">
        <x:v>不同生日队列；按公布显示精度计算差值；前 I05 ICB_Code!J8；后 I06 ICB_Code!J8</x:v>
      </x:c>
      <x:c r="I13" s="12"/>
      <x:c r="J13" s="12"/>
      <x:c r="K13" s="12"/>
      <x:c r="L13" s="12"/>
      <x:c r="M13" s="12"/>
      <x:c r="N13" s="12"/>
      <x:c r="O13" s="12"/>
    </x:row>
    <x:row r="14" ht="39" customHeight="1">
      <x:c r="A14" s="13" t="str">
        <x:v>QUA</x:v>
      </x:c>
      <x:c r="B14" s="13" t="str">
        <x:v>黑乡 ICB</x:v>
      </x:c>
      <x:c r="C14" s="13" t="str">
        <x:v>年度2022/23至2023/24</x:v>
      </x:c>
      <x:c r="D14" s="13" t="str">
        <x:v>5y MMR1</x:v>
      </x:c>
      <x:c r="E14" s="30" t="n">
        <x:v>91.5256047418166</x:v>
      </x:c>
      <x:c r="F14" s="30" t="n">
        <x:v>91.6</x:v>
      </x:c>
      <x:c r="G14" s="14" t="n">
        <x:f>ROUND(F14,1)-ROUND(E14,1)</x:f>
        <x:v>0.09999999999999432</x:v>
      </x:c>
      <x:c r="H14" s="13" t="str">
        <x:v>不同生日队列；按公布显示精度计算差值；前 I03 ICB_Code!R38；后 I04 Table_2!S11</x:v>
      </x:c>
      <x:c r="I14" s="12"/>
      <x:c r="J14" s="12"/>
      <x:c r="K14" s="12"/>
      <x:c r="L14" s="12"/>
      <x:c r="M14" s="12"/>
      <x:c r="N14" s="12"/>
      <x:c r="O14" s="12"/>
    </x:row>
    <x:row r="15" ht="39" customHeight="1">
      <x:c r="A15" s="13" t="str">
        <x:v>QUA</x:v>
      </x:c>
      <x:c r="B15" s="13" t="str">
        <x:v>黑乡 ICB</x:v>
      </x:c>
      <x:c r="C15" s="13" t="str">
        <x:v>季度2023年10–12月至2024年1–3月</x:v>
      </x:c>
      <x:c r="D15" s="13" t="str">
        <x:v>5y MMR1</x:v>
      </x:c>
      <x:c r="E15" s="30" t="n">
        <x:v>92.6437358774793</x:v>
      </x:c>
      <x:c r="F15" s="30" t="n">
        <x:v>92.6501035196687</x:v>
      </x:c>
      <x:c r="G15" s="14" t="n">
        <x:f>ROUND(F15,1)-ROUND(E15,1)</x:f>
        <x:v>0.10000000000000853</x:v>
      </x:c>
      <x:c r="H15" s="13" t="str">
        <x:v>不同生日队列；按公布显示精度计算差值；前 I05 ICB_Code!R8；后 I06 ICB_Code!R8</x:v>
      </x:c>
      <x:c r="I15" s="12"/>
      <x:c r="J15" s="12"/>
      <x:c r="K15" s="12"/>
      <x:c r="L15" s="12"/>
      <x:c r="M15" s="12"/>
      <x:c r="N15" s="12"/>
      <x:c r="O15" s="12"/>
    </x:row>
    <x:row r="16" ht="39" customHeight="1">
      <x:c r="A16" s="13" t="str">
        <x:v>QUA</x:v>
      </x:c>
      <x:c r="B16" s="13" t="str">
        <x:v>黑乡 ICB</x:v>
      </x:c>
      <x:c r="C16" s="13" t="str">
        <x:v>年度2022/23至2023/24</x:v>
      </x:c>
      <x:c r="D16" s="13" t="str">
        <x:v>5y MMR2</x:v>
      </x:c>
      <x:c r="E16" s="30" t="n">
        <x:v>81.6041010305975</x:v>
      </x:c>
      <x:c r="F16" s="30" t="n">
        <x:v>82.1</x:v>
      </x:c>
      <x:c r="G16" s="14" t="n">
        <x:f>ROUND(F16,1)-ROUND(E16,1)</x:f>
        <x:v>0.5</x:v>
      </x:c>
      <x:c r="H16" s="13" t="str">
        <x:v>不同生日队列；按公布显示精度计算差值；前 I03 ICB_Code!S38；后 I04 Table_2!T11</x:v>
      </x:c>
      <x:c r="I16" s="12"/>
      <x:c r="J16" s="12"/>
      <x:c r="K16" s="12"/>
      <x:c r="L16" s="12"/>
      <x:c r="M16" s="12"/>
      <x:c r="N16" s="12"/>
      <x:c r="O16" s="12"/>
    </x:row>
    <x:row r="17" ht="39" customHeight="1">
      <x:c r="A17" s="13" t="str">
        <x:v>QUA</x:v>
      </x:c>
      <x:c r="B17" s="13" t="str">
        <x:v>黑乡 ICB</x:v>
      </x:c>
      <x:c r="C17" s="13" t="str">
        <x:v>季度2023年10–12月至2024年1–3月</x:v>
      </x:c>
      <x:c r="D17" s="13" t="str">
        <x:v>5y MMR2</x:v>
      </x:c>
      <x:c r="E17" s="30" t="n">
        <x:v>83.7559628420788</x:v>
      </x:c>
      <x:c r="F17" s="30" t="n">
        <x:v>83.3592132505176</x:v>
      </x:c>
      <x:c r="G17" s="14" t="n">
        <x:f>ROUND(F17,1)-ROUND(E17,1)</x:f>
        <x:v>-0.3999999999999915</x:v>
      </x:c>
      <x:c r="H17" s="13" t="str">
        <x:v>不同生日队列；按公布显示精度计算差值；前 I05 ICB_Code!S8；后 I06 ICB_Code!S8</x:v>
      </x:c>
      <x:c r="I17" s="12"/>
      <x:c r="J17" s="12"/>
      <x:c r="K17" s="12"/>
      <x:c r="L17" s="12"/>
      <x:c r="M17" s="12"/>
      <x:c r="N17" s="12"/>
      <x:c r="O17" s="12"/>
    </x:row>
    <x:row r="18" ht="24" customHeight="1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</x:row>
    <x:row r="19" ht="24" customHeight="1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</x:row>
    <x:row r="20" ht="24" customHeight="1">
      <x:c r="A20" s="12" t="str">
        <x:v>同码同ICB的5y MMR2年度可比集合</x:v>
      </x:c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</x:row>
    <x:row r="21" ht="24" customHeight="1">
      <x:c r="A21" s="16" t="str">
        <x:v>ICB</x:v>
      </x:c>
      <x:c r="B21" s="16" t="str">
        <x:v>诊所数</x:v>
      </x:c>
      <x:c r="C21" s="16" t="str">
        <x:v>前分母（人）</x:v>
      </x:c>
      <x:c r="D21" s="16" t="str">
        <x:v>后分母（人）</x:v>
      </x:c>
      <x:c r="E21" s="16" t="str">
        <x:v>前覆盖率（%）</x:v>
      </x:c>
      <x:c r="F21" s="16" t="str">
        <x:v>后覆盖率（%）</x:v>
      </x:c>
      <x:c r="G21" s="16" t="str">
        <x:v>集合变化（百分点）</x:v>
      </x:c>
      <x:c r="H21" s="16" t="str">
        <x:v>公布变化（百分点）</x:v>
      </x:c>
      <x:c r="I21" s="16" t="str">
        <x:v>诊所内分量</x:v>
      </x:c>
      <x:c r="J21" s="16" t="str">
        <x:v>构成分量</x:v>
      </x:c>
      <x:c r="K21" s="16" t="str">
        <x:v>衔接差额</x:v>
      </x:c>
      <x:c r="L21" s="16" t="str">
        <x:v>分解残差</x:v>
      </x:c>
      <x:c r="M21" s="16"/>
      <x:c r="N21" s="16"/>
      <x:c r="O21" s="16"/>
    </x:row>
    <x:row r="22" ht="24" customHeight="1">
      <x:c r="A22" s="13" t="str">
        <x:v>QHL</x:v>
      </x:c>
      <x:c r="B22" s="13" t="n">
        <x:f>COUNTA(B40:B195)</x:f>
        <x:v>156</x:v>
      </x:c>
      <x:c r="C22" s="13" t="n">
        <x:f>SUM(C40:C195)</x:f>
        <x:v>17496</x:v>
      </x:c>
      <x:c r="D22" s="13" t="n">
        <x:f>SUM(E40:E195)</x:f>
        <x:v>17159</x:v>
      </x:c>
      <x:c r="E22" s="14" t="n">
        <x:f>SUMPRODUCT(C40:C195,D40:D195)/C22</x:f>
        <x:v>78.61084819387294</x:v>
      </x:c>
      <x:c r="F22" s="14" t="n">
        <x:f>SUMPRODUCT(E40:E195,F40:F195)/D22</x:f>
        <x:v>77.85880878839093</x:v>
      </x:c>
      <x:c r="G22" s="14" t="n">
        <x:f>F22-E22</x:f>
        <x:v>-0.7520394054820088</x:v>
      </x:c>
      <x:c r="H22" s="14" t="n">
        <x:f>G10</x:f>
        <x:v>-0.7000000000000028</x:v>
      </x:c>
      <x:c r="I22" s="14" t="n">
        <x:f>SUM(I40:I195)</x:f>
        <x:v>-0.7348780529669332</x:v>
      </x:c>
      <x:c r="J22" s="14" t="n">
        <x:f>SUM(J40:J195)</x:f>
        <x:v>-0.017161352515019407</x:v>
      </x:c>
      <x:c r="K22" s="14" t="n">
        <x:f>H22-G22</x:f>
        <x:v>0.05203940548200592</x:v>
      </x:c>
      <x:c r="L22" s="14" t="n">
        <x:f>G22-I22-J22</x:f>
        <x:v>-5.614952947041729e-14</x:v>
      </x:c>
      <x:c r="M22" s="12"/>
      <x:c r="N22" s="12"/>
      <x:c r="O22" s="12"/>
    </x:row>
    <x:row r="23" ht="24" customHeight="1">
      <x:c r="A23" s="13" t="str">
        <x:v>QUA</x:v>
      </x:c>
      <x:c r="B23" s="13" t="n">
        <x:f>COUNTA(B196:B369)</x:f>
        <x:v>174</x:v>
      </x:c>
      <x:c r="C23" s="13" t="n">
        <x:f>SUM(C196:C369)</x:f>
        <x:v>15738</x:v>
      </x:c>
      <x:c r="D23" s="13" t="n">
        <x:f>SUM(E196:E369)</x:f>
        <x:v>16164</x:v>
      </x:c>
      <x:c r="E23" s="14" t="n">
        <x:f>SUMPRODUCT(C196:C369,D196:D369)/C23</x:f>
        <x:v>82.99208921082726</x:v>
      </x:c>
      <x:c r="F23" s="14" t="n">
        <x:f>SUMPRODUCT(E196:E369,F196:F369)/D23</x:f>
        <x:v>82.06602326156894</x:v>
      </x:c>
      <x:c r="G23" s="14" t="n">
        <x:f>F23-E23</x:f>
        <x:v>-0.9260659492583159</x:v>
      </x:c>
      <x:c r="H23" s="14" t="n">
        <x:f>G16</x:f>
        <x:v>0.5</x:v>
      </x:c>
      <x:c r="I23" s="14" t="n">
        <x:f>SUM(I196:I369)</x:f>
        <x:v>-0.8748014938002513</x:v>
      </x:c>
      <x:c r="J23" s="14" t="n">
        <x:f>SUM(J196:J369)</x:f>
        <x:v>-0.05126445545812555</x:v>
      </x:c>
      <x:c r="K23" s="14" t="n">
        <x:f>H23-G23</x:f>
        <x:v>1.4260659492583159</x:v>
      </x:c>
      <x:c r="L23" s="14" t="n">
        <x:f>G23-I23-J23</x:f>
        <x:v>6.097899962753672e-14</x:v>
      </x:c>
      <x:c r="M23" s="12"/>
      <x:c r="N23" s="12"/>
      <x:c r="O23" s="12"/>
    </x:row>
    <x:row r="24" ht="24" customHeight="1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</x:row>
    <x:row r="25" ht="24" customHeight="1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</x:row>
    <x:row r="26" ht="24" customHeight="1">
      <x:c r="A26" s="12" t="str">
        <x:v>相容取整区间及稳健结论</x:v>
      </x:c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</x:row>
    <x:row r="27" ht="24" customHeight="1">
      <x:c r="A27" s="16" t="str">
        <x:v>对象</x:v>
      </x:c>
      <x:c r="B27" s="16" t="str">
        <x:v>量</x:v>
      </x:c>
      <x:c r="C27" s="16" t="str">
        <x:v>显示值结果</x:v>
      </x:c>
      <x:c r="D27" s="16" t="str">
        <x:v>相容下界（核验）</x:v>
      </x:c>
      <x:c r="E27" s="16" t="str">
        <x:v>相容上界（核验）</x:v>
      </x:c>
      <x:c r="F27" s="16" t="str">
        <x:v>单位</x:v>
      </x:c>
      <x:c r="G27" s="16" t="str">
        <x:v>判定依据</x:v>
      </x:c>
      <x:c r="H27" s="16"/>
      <x:c r="I27" s="16"/>
      <x:c r="J27" s="16"/>
      <x:c r="K27" s="16"/>
      <x:c r="L27" s="16"/>
      <x:c r="M27" s="16"/>
      <x:c r="N27" s="16"/>
      <x:c r="O27" s="16"/>
    </x:row>
    <x:row r="28" ht="24" customHeight="1">
      <x:c r="A28" s="13" t="str">
        <x:v>QHL</x:v>
      </x:c>
      <x:c r="B28" s="13" t="str">
        <x:v>诊所内变化</x:v>
      </x:c>
      <x:c r="C28" s="14" t="n">
        <x:f>I22</x:f>
        <x:v>-0.7348780529669332</x:v>
      </x:c>
      <x:c r="D28" s="31" t="n">
        <x:f>FLOOR(SUM(K40:K195),0.000001)</x:f>
        <x:v>-0.834803</x:v>
      </x:c>
      <x:c r="E28" s="31" t="n">
        <x:f>CEILING(SUM(L40:L195),0.000001)</x:f>
        <x:v>-0.6348779999999999</x:v>
      </x:c>
      <x:c r="F28" s="13" t="str">
        <x:v>百分点</x:v>
      </x:c>
      <x:c r="G28" s="13" t="str">
        <x:v>线性分量逐GP取相容端点</x:v>
      </x:c>
      <x:c r="H28" s="12"/>
      <x:c r="I28" s="12"/>
      <x:c r="J28" s="12"/>
      <x:c r="K28" s="12"/>
      <x:c r="L28" s="12"/>
      <x:c r="M28" s="12"/>
      <x:c r="N28" s="12"/>
      <x:c r="O28" s="12"/>
    </x:row>
    <x:row r="29" ht="54" customHeight="1">
      <x:c r="A29" s="13" t="str">
        <x:v>QHL</x:v>
      </x:c>
      <x:c r="B29" s="13" t="str">
        <x:v>分母构成变化</x:v>
      </x:c>
      <x:c r="C29" s="14" t="n">
        <x:f>J22</x:f>
        <x:v>-0.017161352515019407</x:v>
      </x:c>
      <x:c r="D29" s="31" t="n">
        <x:f>FLOOR(SUM(M40:M195),0.000001)</x:f>
        <x:v>-0.022652</x:v>
      </x:c>
      <x:c r="E29" s="31" t="n">
        <x:f>CEILING(SUM(N40:N195),0.000001)</x:f>
        <x:v>-0.011678</x:v>
      </x:c>
      <x:c r="F29" s="13" t="str">
        <x:v>百分点</x:v>
      </x:c>
      <x:c r="G29" s="13" t="str">
        <x:v>权重差正负决定端点；不能将两个分量边界直接相加</x:v>
      </x:c>
      <x:c r="H29" s="12"/>
      <x:c r="I29" s="12"/>
      <x:c r="J29" s="12"/>
      <x:c r="K29" s="12"/>
      <x:c r="L29" s="12"/>
      <x:c r="M29" s="12"/>
      <x:c r="N29" s="12"/>
      <x:c r="O29" s="12"/>
    </x:row>
    <x:row r="30" ht="39" customHeight="1">
      <x:c r="A30" s="13" t="str">
        <x:v>QHL</x:v>
      </x:c>
      <x:c r="B30" s="13" t="str">
        <x:v>集合年度变化</x:v>
      </x:c>
      <x:c r="C30" s="14" t="n">
        <x:f>G22</x:f>
        <x:v>-0.7520394054820088</x:v>
      </x:c>
      <x:c r="D30" s="31" t="n">
        <x:f>FLOOR(SUMPRODUCT(E40:E195,F40:F195)/D22-SUMPRODUCT(C40:C195,D40:D195)/C22-$B$3*2+SUMIF(D40:D195,100,C40:C195)/C22*$B$3,0.000001)</x:f>
        <x:v>-0.8519709999999999</x:v>
      </x:c>
      <x:c r="E30" s="31" t="n">
        <x:f>CEILING(SUMPRODUCT(E40:E195,F40:F195)/D22-SUMPRODUCT(C40:C195,D40:D195)/C22+$B$3*2-SUMIF(F40:F195,100,E40:E195)/D22*$B$3,0.000001)</x:f>
        <x:v>-0.6520389999999999</x:v>
      </x:c>
      <x:c r="F30" s="13" t="str">
        <x:v>百分点</x:v>
      </x:c>
      <x:c r="G30" s="13" t="str">
        <x:v>本集合没有公布0%记录；100%处截断至100</x:v>
      </x:c>
      <x:c r="H30" s="12"/>
      <x:c r="I30" s="12"/>
      <x:c r="J30" s="12"/>
      <x:c r="K30" s="12"/>
      <x:c r="L30" s="12"/>
      <x:c r="M30" s="12"/>
      <x:c r="N30" s="12"/>
      <x:c r="O30" s="12"/>
    </x:row>
    <x:row r="31" ht="24" customHeight="1">
      <x:c r="A31" s="13" t="str">
        <x:v>QUA</x:v>
      </x:c>
      <x:c r="B31" s="13" t="str">
        <x:v>诊所内变化</x:v>
      </x:c>
      <x:c r="C31" s="14" t="n">
        <x:f>I23</x:f>
        <x:v>-0.8748014938002513</x:v>
      </x:c>
      <x:c r="D31" s="31" t="n">
        <x:f>FLOOR(SUM(K196:K369),0.000001)</x:f>
        <x:v>-0.9743839999999999</x:v>
      </x:c>
      <x:c r="E31" s="31" t="n">
        <x:f>CEILING(SUM(L196:L369),0.000001)</x:f>
        <x:v>-0.774864</x:v>
      </x:c>
      <x:c r="F31" s="13" t="str">
        <x:v>百分点</x:v>
      </x:c>
      <x:c r="G31" s="13" t="str">
        <x:v>线性分量逐GP取相容端点</x:v>
      </x:c>
      <x:c r="H31" s="12"/>
      <x:c r="I31" s="12"/>
      <x:c r="J31" s="12"/>
      <x:c r="K31" s="12"/>
      <x:c r="L31" s="12"/>
      <x:c r="M31" s="12"/>
      <x:c r="N31" s="12"/>
      <x:c r="O31" s="12"/>
    </x:row>
    <x:row r="32" ht="54" customHeight="1">
      <x:c r="A32" s="13" t="str">
        <x:v>QUA</x:v>
      </x:c>
      <x:c r="B32" s="13" t="str">
        <x:v>分母构成变化</x:v>
      </x:c>
      <x:c r="C32" s="14" t="n">
        <x:f>J23</x:f>
        <x:v>-0.05126445545812555</x:v>
      </x:c>
      <x:c r="D32" s="31" t="n">
        <x:f>FLOOR(SUM(M196:M369),0.000001)</x:f>
        <x:v>-0.058462</x:v>
      </x:c>
      <x:c r="E32" s="31" t="n">
        <x:f>CEILING(SUM(N196:N369),0.000001)</x:f>
        <x:v>-0.044101999999999995</x:v>
      </x:c>
      <x:c r="F32" s="13" t="str">
        <x:v>百分点</x:v>
      </x:c>
      <x:c r="G32" s="13" t="str">
        <x:v>权重差正负决定端点；不能将两个分量边界直接相加</x:v>
      </x:c>
      <x:c r="H32" s="12"/>
      <x:c r="I32" s="12"/>
      <x:c r="J32" s="12"/>
      <x:c r="K32" s="12"/>
      <x:c r="L32" s="12"/>
      <x:c r="M32" s="12"/>
      <x:c r="N32" s="12"/>
      <x:c r="O32" s="12"/>
    </x:row>
    <x:row r="33" ht="39" customHeight="1">
      <x:c r="A33" s="13" t="str">
        <x:v>QUA</x:v>
      </x:c>
      <x:c r="B33" s="13" t="str">
        <x:v>集合年度变化</x:v>
      </x:c>
      <x:c r="C33" s="14" t="n">
        <x:f>G23</x:f>
        <x:v>-0.9260659492583159</x:v>
      </x:c>
      <x:c r="D33" s="31" t="n">
        <x:f>FLOOR(SUMPRODUCT(E196:E369,F196:F369)/D23-SUMPRODUCT(C196:C369,D196:D369)/C23-$B$3*2+SUMIF(D196:D369,100,C196:C369)/C23*$B$3,0.000001)</x:f>
        <x:v>-1.025692</x:v>
      </x:c>
      <x:c r="E33" s="31" t="n">
        <x:f>CEILING(SUMPRODUCT(E196:E369,F196:F369)/D23-SUMPRODUCT(C196:C369,D196:D369)/C23+$B$3*2-SUMIF(F196:F369,100,E196:E369)/D23*$B$3,0.000001)</x:f>
        <x:v>-0.826121</x:v>
      </x:c>
      <x:c r="F33" s="13" t="str">
        <x:v>百分点</x:v>
      </x:c>
      <x:c r="G33" s="13" t="str">
        <x:v>本集合没有公布0%记录；100%处截断至100</x:v>
      </x:c>
      <x:c r="H33" s="12"/>
      <x:c r="I33" s="12"/>
      <x:c r="J33" s="12"/>
      <x:c r="K33" s="12"/>
      <x:c r="L33" s="12"/>
      <x:c r="M33" s="12"/>
      <x:c r="N33" s="12"/>
      <x:c r="O33" s="12"/>
    </x:row>
    <x:row r="34" ht="39" customHeight="1">
      <x:c r="A34" s="13" t="str">
        <x:v>QUA−QHL</x:v>
      </x:c>
      <x:c r="B34" s="13" t="str">
        <x:v>诊所内变化之差</x:v>
      </x:c>
      <x:c r="C34" s="14" t="n">
        <x:f>I23-I22</x:f>
        <x:v>-0.1399234408333181</x:v>
      </x:c>
      <x:c r="D34" s="31" t="n">
        <x:f>FLOOR(SUM(K196:K369)-SUM(L40:L195),0.000001)</x:f>
        <x:v>-0.339506</x:v>
      </x:c>
      <x:c r="E34" s="31" t="n">
        <x:f>CEILING(SUM(L196:L369)-SUM(K40:K195),0.000001)</x:f>
        <x:v>0.059939</x:v>
      </x:c>
      <x:c r="F34" s="13" t="str">
        <x:v>百分点</x:v>
      </x:c>
      <x:c r="G34" s="13" t="str">
        <x:v>区间跨零；不能按诊所内下降幅度作稳健排序</x:v>
      </x:c>
      <x:c r="H34" s="12"/>
      <x:c r="I34" s="12"/>
      <x:c r="J34" s="12"/>
      <x:c r="K34" s="12"/>
      <x:c r="L34" s="12"/>
      <x:c r="M34" s="12"/>
      <x:c r="N34" s="12"/>
      <x:c r="O34" s="12"/>
    </x:row>
    <x:row r="35" ht="54" customHeight="1">
      <x:c r="A35" s="13" t="str">
        <x:v>QUA−QHL</x:v>
      </x:c>
      <x:c r="B35" s="13" t="str">
        <x:v>集合年度变化之差</x:v>
      </x:c>
      <x:c r="C35" s="14" t="n">
        <x:f>G23-G22</x:f>
        <x:v>-0.1740265437763071</x:v>
      </x:c>
      <x:c r="D35" s="31" t="n">
        <x:f>FLOOR((SUMPRODUCT(E196:E369,F196:F369)/D23-SUMPRODUCT(C196:C369,D196:D369)/C23-$B$3*2+SUMIF(D196:D369,100,C196:C369)/C23*$B$3)-(SUMPRODUCT(E40:E195,F40:F195)/D22-SUMPRODUCT(C40:C195,D40:D195)/C22+$B$3*2-SUMIF(F40:F195,100,E40:E195)/D22*$B$3),0.000001)</x:f>
        <x:v>-0.373652</x:v>
      </x:c>
      <x:c r="E35" s="31" t="n">
        <x:f>CEILING((SUMPRODUCT(E196:E369,F196:F369)/D23-SUMPRODUCT(C196:C369,D196:D369)/C23+$B$3*2-SUMIF(F196:F369,100,E196:E369)/D23*$B$3)-(SUMPRODUCT(E40:E195,F40:F195)/D22-SUMPRODUCT(C40:C195,D40:D195)/C22-$B$3*2+SUMIF(D40:D195,100,C40:C195)/C22*$B$3),0.000001)</x:f>
        <x:v>0.025849999999999998</x:v>
      </x:c>
      <x:c r="F35" s="13" t="str">
        <x:v>百分点</x:v>
      </x:c>
      <x:c r="G35" s="13" t="str">
        <x:v>区间跨零；两ICB均下降成立，下降幅度先后不稳健</x:v>
      </x:c>
      <x:c r="H35" s="12"/>
      <x:c r="I35" s="12"/>
      <x:c r="J35" s="12"/>
      <x:c r="K35" s="12"/>
      <x:c r="L35" s="12"/>
      <x:c r="M35" s="12"/>
      <x:c r="N35" s="12"/>
      <x:c r="O35" s="12"/>
    </x:row>
    <x:row r="36" ht="24" customHeight="1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</x:row>
    <x:row r="37" ht="24" customHeight="1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</x:row>
    <x:row r="38" ht="24" customHeight="1">
      <x:c r="A38" s="12" t="str">
        <x:v>全部可比GP分解明细</x:v>
      </x:c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</x:row>
    <x:row r="39" ht="24" customHeight="1">
      <x:c r="A39" s="16" t="str">
        <x:v>ICB</x:v>
      </x:c>
      <x:c r="B39" s="16" t="str">
        <x:v>GP编码</x:v>
      </x:c>
      <x:c r="C39" s="16" t="str">
        <x:v>前n5</x:v>
      </x:c>
      <x:c r="D39" s="16" t="str">
        <x:v>前MMR2（%）</x:v>
      </x:c>
      <x:c r="E39" s="16" t="str">
        <x:v>后n5</x:v>
      </x:c>
      <x:c r="F39" s="16" t="str">
        <x:v>后MMR2（%）</x:v>
      </x:c>
      <x:c r="G39" s="16" t="str">
        <x:v>前权重</x:v>
      </x:c>
      <x:c r="H39" s="16" t="str">
        <x:v>后权重</x:v>
      </x:c>
      <x:c r="I39" s="16" t="str">
        <x:v>诊所内分量</x:v>
      </x:c>
      <x:c r="J39" s="16" t="str">
        <x:v>构成分量</x:v>
      </x:c>
      <x:c r="K39" s="16" t="str">
        <x:v>诊所内下界</x:v>
      </x:c>
      <x:c r="L39" s="16" t="str">
        <x:v>诊所内上界</x:v>
      </x:c>
      <x:c r="M39" s="16" t="str">
        <x:v>构成下界</x:v>
      </x:c>
      <x:c r="N39" s="16" t="str">
        <x:v>构成上界</x:v>
      </x:c>
      <x:c r="O39" s="16" t="str">
        <x:v>原记录定位</x:v>
      </x:c>
    </x:row>
    <x:row r="40" ht="24" customHeight="1">
      <x:c r="A40" s="13" t="str">
        <x:v>QHL</x:v>
      </x:c>
      <x:c r="B40" s="13" t="str">
        <x:v>M81062</x:v>
      </x:c>
      <x:c r="C40" s="13" t="n">
        <x:f>D374</x:f>
        <x:v>33</x:v>
      </x:c>
      <x:c r="D40" s="30" t="n">
        <x:f>E374</x:f>
        <x:v>72.7</x:v>
      </x:c>
      <x:c r="E40" s="13" t="n">
        <x:f>D738</x:f>
        <x:v>33</x:v>
      </x:c>
      <x:c r="F40" s="30" t="n">
        <x:f>E738</x:f>
        <x:v>81.8</x:v>
      </x:c>
      <x:c r="G40" s="31" t="n">
        <x:f>C40/$C$22</x:f>
        <x:v>0.0018861454046639231</x:v>
      </x:c>
      <x:c r="H40" s="31" t="n">
        <x:f>E40/$D$22</x:f>
        <x:v>0.0019231889970277988</x:v>
      </x:c>
      <x:c r="I40" s="31" t="n">
        <x:f>(G40+H40)/2*(F40-D40)</x:f>
        <x:v>0.017332471527697322</x:v>
      </x:c>
      <x:c r="J40" s="31" t="n">
        <x:f>(H40-G40)/2*(F40+D40)</x:f>
        <x:v>0.002861617510109396</x:v>
      </x:c>
      <x:c r="K40" s="31" t="n">
        <x:f>(G40+H40)/2*(MAX(0,F40-$B$3)-MIN(100,D40+$B$3))</x:f>
        <x:v>0.017142004807612746</x:v>
      </x:c>
      <x:c r="L40" s="31" t="n">
        <x:f>(G40+H40)/2*(MIN(100,F40+$B$3)-MAX(0,D40-$B$3))</x:f>
        <x:v>0.017522938247781897</x:v>
      </x:c>
      <x:c r="M40" s="31" t="n">
        <x:f>IF(H40&gt;=G40,(H40-G40)/2*(MAX(0,D40-$B$3)+MAX(0,F40-$B$3)),(H40-G40)/2*(MIN(100,D40+$B$3)+MIN(100,F40+$B$3)))</x:f>
        <x:v>0.0028597653304912023</x:v>
      </x:c>
      <x:c r="N40" s="31" t="n">
        <x:f>IF(H40&gt;=G40,(H40-G40)/2*(MIN(100,D40+$B$3)+MIN(100,F40+$B$3)),(H40-G40)/2*(MAX(0,D40-$B$3)+MAX(0,F40-$B$3)))</x:f>
        <x:v>0.0028634696897275897</x:v>
      </x:c>
      <x:c r="O40" s="13" t="str">
        <x:v>I03 GP_Code!P2595/U2595; I04 Table_1!P698/U698</x:v>
      </x:c>
    </x:row>
    <x:row r="41" ht="24" customHeight="1">
      <x:c r="A41" s="13" t="str">
        <x:v>QHL</x:v>
      </x:c>
      <x:c r="B41" s="13" t="str">
        <x:v>M85001</x:v>
      </x:c>
      <x:c r="C41" s="13" t="n">
        <x:f>D375</x:f>
        <x:v>78</x:v>
      </x:c>
      <x:c r="D41" s="30" t="n">
        <x:f>E375</x:f>
        <x:v>70.5</x:v>
      </x:c>
      <x:c r="E41" s="13" t="n">
        <x:f>D739</x:f>
        <x:v>67</x:v>
      </x:c>
      <x:c r="F41" s="30" t="n">
        <x:f>E739</x:f>
        <x:v>64.2</x:v>
      </x:c>
      <x:c r="G41" s="31" t="n">
        <x:f>C41/$C$22</x:f>
        <x:v>0.004458161865569273</x:v>
      </x:c>
      <x:c r="H41" s="31" t="n">
        <x:f>E41/$D$22</x:f>
        <x:v>0.0039046564485109856</x:v>
      </x:c>
      <x:c r="I41" s="31" t="n">
        <x:f>(G41+H41)/2*(F41-D41)</x:f>
        <x:v>-0.026342877689352805</x:v>
      </x:c>
      <x:c r="J41" s="31" t="n">
        <x:f>(H41-G41)/2*(F41+D41)</x:f>
        <x:v>-0.03727858983887565</x:v>
      </x:c>
      <x:c r="K41" s="31" t="n">
        <x:f>(G41+H41)/2*(MAX(0,F41-$B$3)-MIN(100,D41+$B$3))</x:f>
        <x:v>-0.026761018605056794</x:v>
      </x:c>
      <x:c r="L41" s="31" t="n">
        <x:f>(G41+H41)/2*(MIN(100,F41+$B$3)-MAX(0,D41-$B$3))</x:f>
        <x:v>-0.025924736773648815</x:v>
      </x:c>
      <x:c r="M41" s="31" t="n">
        <x:f>IF(H41&gt;=G41,(H41-G41)/2*(MAX(0,D41-$B$3)+MAX(0,F41-$B$3)),(H41-G41)/2*(MIN(100,D41+$B$3)+MIN(100,F41+$B$3)))</x:f>
        <x:v>-0.03730626510972857</x:v>
      </x:c>
      <x:c r="N41" s="31" t="n">
        <x:f>IF(H41&gt;=G41,(H41-G41)/2*(MIN(100,D41+$B$3)+MIN(100,F41+$B$3)),(H41-G41)/2*(MAX(0,D41-$B$3)+MAX(0,F41-$B$3)))</x:f>
        <x:v>-0.03725091456802274</x:v>
      </x:c>
      <x:c r="O41" s="13" t="str">
        <x:v>I03 GP_Code!P2596/U2596; I04 Table_1!P699/U699</x:v>
      </x:c>
    </x:row>
    <x:row r="42" ht="24" customHeight="1">
      <x:c r="A42" s="13" t="str">
        <x:v>QHL</x:v>
      </x:c>
      <x:c r="B42" s="13" t="str">
        <x:v>M85005</x:v>
      </x:c>
      <x:c r="C42" s="13" t="n">
        <x:f>D376</x:f>
        <x:v>124</x:v>
      </x:c>
      <x:c r="D42" s="30" t="n">
        <x:f>E376</x:f>
        <x:v>75.8</x:v>
      </x:c>
      <x:c r="E42" s="13" t="n">
        <x:f>D741</x:f>
        <x:v>95</x:v>
      </x:c>
      <x:c r="F42" s="30" t="n">
        <x:f>E741</x:f>
        <x:v>64.2</x:v>
      </x:c>
      <x:c r="G42" s="31" t="n">
        <x:f>C42/$C$22</x:f>
        <x:v>0.007087334247828075</x:v>
      </x:c>
      <x:c r="H42" s="31" t="n">
        <x:f>E42/$D$22</x:f>
        <x:v>0.005536453173261845</x:v>
      </x:c>
      <x:c r="I42" s="31" t="n">
        <x:f>(G42+H42)/2*(F42-D42)</x:f>
        <x:v>-0.0732179670423215</x:v>
      </x:c>
      <x:c r="J42" s="31" t="n">
        <x:f>(H42-G42)/2*(F42+D42)</x:f>
        <x:v>-0.10856167521963607</x:v>
      </x:c>
      <x:c r="K42" s="31" t="n">
        <x:f>(G42+H42)/2*(MAX(0,F42-$B$3)-MIN(100,D42+$B$3))</x:f>
        <x:v>-0.07384915641337597</x:v>
      </x:c>
      <x:c r="L42" s="31" t="n">
        <x:f>(G42+H42)/2*(MIN(100,F42+$B$3)-MAX(0,D42-$B$3))</x:f>
        <x:v>-0.07258677767126705</x:v>
      </x:c>
      <x:c r="M42" s="31" t="n">
        <x:f>IF(H42&gt;=G42,(H42-G42)/2*(MAX(0,D42-$B$3)+MAX(0,F42-$B$3)),(H42-G42)/2*(MIN(100,D42+$B$3)+MIN(100,F42+$B$3)))</x:f>
        <x:v>-0.10863921927336437</x:v>
      </x:c>
      <x:c r="N42" s="31" t="n">
        <x:f>IF(H42&gt;=G42,(H42-G42)/2*(MIN(100,D42+$B$3)+MIN(100,F42+$B$3)),(H42-G42)/2*(MAX(0,D42-$B$3)+MAX(0,F42-$B$3)))</x:f>
        <x:v>-0.10848413116590776</x:v>
      </x:c>
      <x:c r="O42" s="13" t="str">
        <x:v>I03 GP_Code!P2597/U2597; I04 Table_1!P701/U701</x:v>
      </x:c>
    </x:row>
    <x:row r="43" ht="24" customHeight="1">
      <x:c r="A43" s="13" t="str">
        <x:v>QHL</x:v>
      </x:c>
      <x:c r="B43" s="13" t="str">
        <x:v>M85006</x:v>
      </x:c>
      <x:c r="C43" s="13" t="n">
        <x:f>D377</x:f>
        <x:v>118</x:v>
      </x:c>
      <x:c r="D43" s="30" t="n">
        <x:f>E377</x:f>
        <x:v>78</x:v>
      </x:c>
      <x:c r="E43" s="13" t="n">
        <x:f>D742</x:f>
        <x:v>148</x:v>
      </x:c>
      <x:c r="F43" s="30" t="n">
        <x:f>E742</x:f>
        <x:v>74.3</x:v>
      </x:c>
      <x:c r="G43" s="31" t="n">
        <x:f>C43/$C$22</x:f>
        <x:v>0.006744398719707362</x:v>
      </x:c>
      <x:c r="H43" s="31" t="n">
        <x:f>E43/$D$22</x:f>
        <x:v>0.0086252112593974</x:v>
      </x:c>
      <x:c r="I43" s="31" t="n">
        <x:f>(G43+H43)/2*(F43-D43)</x:f>
        <x:v>-0.02843377846134383</x:v>
      </x:c>
      <x:c r="J43" s="31" t="n">
        <x:f>(H43-G43)/2*(F43+D43)</x:f>
        <x:v>0.14322387489739644</x:v>
      </x:c>
      <x:c r="K43" s="31" t="n">
        <x:f>(G43+H43)/2*(MAX(0,F43-$B$3)-MIN(100,D43+$B$3))</x:f>
        <x:v>-0.029202258960299026</x:v>
      </x:c>
      <x:c r="L43" s="31" t="n">
        <x:f>(G43+H43)/2*(MIN(100,F43+$B$3)-MAX(0,D43-$B$3))</x:f>
        <x:v>-0.027665297962388636</x:v>
      </x:c>
      <x:c r="M43" s="31" t="n">
        <x:f>IF(H43&gt;=G43,(H43-G43)/2*(MAX(0,D43-$B$3)+MAX(0,F43-$B$3)),(H43-G43)/2*(MIN(100,D43+$B$3)+MIN(100,F43+$B$3)))</x:f>
        <x:v>0.1431298342704119</x:v>
      </x:c>
      <x:c r="N43" s="31" t="n">
        <x:f>IF(H43&gt;=G43,(H43-G43)/2*(MIN(100,D43+$B$3)+MIN(100,F43+$B$3)),(H43-G43)/2*(MAX(0,D43-$B$3)+MAX(0,F43-$B$3)))</x:f>
        <x:v>0.1433179155243809</x:v>
      </x:c>
      <x:c r="O43" s="13" t="str">
        <x:v>I03 GP_Code!P2598/U2598; I04 Table_1!P702/U702</x:v>
      </x:c>
    </x:row>
    <x:row r="44" ht="24" customHeight="1">
      <x:c r="A44" s="13" t="str">
        <x:v>QHL</x:v>
      </x:c>
      <x:c r="B44" s="13" t="str">
        <x:v>M85007</x:v>
      </x:c>
      <x:c r="C44" s="13" t="n">
        <x:f>D378</x:f>
        <x:v>188</x:v>
      </x:c>
      <x:c r="D44" s="30" t="n">
        <x:f>E378</x:f>
        <x:v>77.7</x:v>
      </x:c>
      <x:c r="E44" s="13" t="n">
        <x:f>D743</x:f>
        <x:v>197</x:v>
      </x:c>
      <x:c r="F44" s="30" t="n">
        <x:f>E743</x:f>
        <x:v>84.8</x:v>
      </x:c>
      <x:c r="G44" s="31" t="n">
        <x:f>C44/$C$22</x:f>
        <x:v>0.010745313214449017</x:v>
      </x:c>
      <x:c r="H44" s="31" t="n">
        <x:f>E44/$D$22</x:f>
        <x:v>0.011480855527711406</x:v>
      </x:c>
      <x:c r="I44" s="31" t="n">
        <x:f>(G44+H44)/2*(F44-D44)</x:f>
        <x:v>0.07890289903466943</x:v>
      </x:c>
      <x:c r="J44" s="31" t="n">
        <x:f>(H44-G44)/2*(F44+D44)</x:f>
        <x:v>0.059762812952569085</x:v>
      </x:c>
      <x:c r="K44" s="31" t="n">
        <x:f>(G44+H44)/2*(MAX(0,F44-$B$3)-MIN(100,D44+$B$3))</x:f>
        <x:v>0.07779159059756147</x:v>
      </x:c>
      <x:c r="L44" s="31" t="n">
        <x:f>(G44+H44)/2*(MIN(100,F44+$B$3)-MAX(0,D44-$B$3))</x:f>
        <x:v>0.08001420747177738</x:v>
      </x:c>
      <x:c r="M44" s="31" t="n">
        <x:f>IF(H44&gt;=G44,(H44-G44)/2*(MAX(0,D44-$B$3)+MAX(0,F44-$B$3)),(H44-G44)/2*(MIN(100,D44+$B$3)+MIN(100,F44+$B$3)))</x:f>
        <x:v>0.059726035836905965</x:v>
      </x:c>
      <x:c r="N44" s="31" t="n">
        <x:f>IF(H44&gt;=G44,(H44-G44)/2*(MIN(100,D44+$B$3)+MIN(100,F44+$B$3)),(H44-G44)/2*(MAX(0,D44-$B$3)+MAX(0,F44-$B$3)))</x:f>
        <x:v>0.059799590068232204</x:v>
      </x:c>
      <x:c r="O44" s="13" t="str">
        <x:v>I03 GP_Code!P2599/U2599; I04 Table_1!P703/U703</x:v>
      </x:c>
    </x:row>
    <x:row r="45" ht="24" customHeight="1">
      <x:c r="A45" s="13" t="str">
        <x:v>QHL</x:v>
      </x:c>
      <x:c r="B45" s="13" t="str">
        <x:v>M85011</x:v>
      </x:c>
      <x:c r="C45" s="13" t="n">
        <x:f>D380</x:f>
        <x:v>94</x:v>
      </x:c>
      <x:c r="D45" s="30" t="n">
        <x:f>E380</x:f>
        <x:v>68.1</x:v>
      </x:c>
      <x:c r="E45" s="13" t="n">
        <x:f>D745</x:f>
        <x:v>86</x:v>
      </x:c>
      <x:c r="F45" s="30" t="n">
        <x:f>E745</x:f>
        <x:v>62.8</x:v>
      </x:c>
      <x:c r="G45" s="31" t="n">
        <x:f>C45/$C$22</x:f>
        <x:v>0.0053726566072245085</x:v>
      </x:c>
      <x:c r="H45" s="31" t="n">
        <x:f>E45/$D$22</x:f>
        <x:v>0.005011947083163355</x:v>
      </x:c>
      <x:c r="I45" s="31" t="n">
        <x:f>(G45+H45)/2*(F45-D45)</x:f>
        <x:v>-0.027519199779527825</x:v>
      </x:c>
      <x:c r="J45" s="31" t="n">
        <x:f>(H45-G45)/2*(F45+D45)</x:f>
        <x:v>-0.023608438349802505</x:v>
      </x:c>
      <x:c r="K45" s="31" t="n">
        <x:f>(G45+H45)/2*(MAX(0,F45-$B$3)-MIN(100,D45+$B$3))</x:f>
        <x:v>-0.02803842996404719</x:v>
      </x:c>
      <x:c r="L45" s="31" t="n">
        <x:f>(G45+H45)/2*(MIN(100,F45+$B$3)-MAX(0,D45-$B$3))</x:f>
        <x:v>-0.02699996959500846</x:v>
      </x:c>
      <x:c r="M45" s="31" t="n">
        <x:f>IF(H45&gt;=G45,(H45-G45)/2*(MAX(0,D45-$B$3)+MAX(0,F45-$B$3)),(H45-G45)/2*(MIN(100,D45+$B$3)+MIN(100,F45+$B$3)))</x:f>
        <x:v>-0.023626473826005568</x:v>
      </x:c>
      <x:c r="N45" s="31" t="n">
        <x:f>IF(H45&gt;=G45,(H45-G45)/2*(MIN(100,D45+$B$3)+MIN(100,F45+$B$3)),(H45-G45)/2*(MAX(0,D45-$B$3)+MAX(0,F45-$B$3)))</x:f>
        <x:v>-0.023590402873599453</x:v>
      </x:c>
      <x:c r="O45" s="13" t="str">
        <x:v>I03 GP_Code!P2601/U2601; I04 Table_1!P705/U705</x:v>
      </x:c>
    </x:row>
    <x:row r="46" ht="24" customHeight="1">
      <x:c r="A46" s="13" t="str">
        <x:v>QHL</x:v>
      </x:c>
      <x:c r="B46" s="13" t="str">
        <x:v>M85013</x:v>
      </x:c>
      <x:c r="C46" s="13" t="n">
        <x:f>D381</x:f>
        <x:v>33</x:v>
      </x:c>
      <x:c r="D46" s="30" t="n">
        <x:f>E381</x:f>
        <x:v>84.8</x:v>
      </x:c>
      <x:c r="E46" s="13" t="n">
        <x:f>D746</x:f>
        <x:v>44</x:v>
      </x:c>
      <x:c r="F46" s="30" t="n">
        <x:f>E746</x:f>
        <x:v>84.1</x:v>
      </x:c>
      <x:c r="G46" s="31" t="n">
        <x:f>C46/$C$22</x:f>
        <x:v>0.0018861454046639231</x:v>
      </x:c>
      <x:c r="H46" s="31" t="n">
        <x:f>E46/$D$22</x:f>
        <x:v>0.002564251996037065</x:v>
      </x:c>
      <x:c r="I46" s="31" t="n">
        <x:f>(G46+H46)/2*(F46-D46)</x:f>
        <x:v>-0.0015576390902453522</x:v>
      </x:c>
      <x:c r="J46" s="31" t="n">
        <x:f>(H46-G46)/2*(F46+D46)</x:f>
        <x:v>0.057266101641461814</x:v>
      </x:c>
      <x:c r="K46" s="31" t="n">
        <x:f>(G46+H46)/2*(MAX(0,F46-$B$3)-MIN(100,D46+$B$3))</x:f>
        <x:v>-0.0017801589602803888</x:v>
      </x:c>
      <x:c r="L46" s="31" t="n">
        <x:f>(G46+H46)/2*(MIN(100,F46+$B$3)-MAX(0,D46-$B$3))</x:f>
        <x:v>-0.0013351192202103153</x:v>
      </x:c>
      <x:c r="M46" s="31" t="n">
        <x:f>IF(H46&gt;=G46,(H46-G46)/2*(MAX(0,D46-$B$3)+MAX(0,F46-$B$3)),(H46-G46)/2*(MIN(100,D46+$B$3)+MIN(100,F46+$B$3)))</x:f>
        <x:v>0.05723219631189317</x:v>
      </x:c>
      <x:c r="N46" s="31" t="n">
        <x:f>IF(H46&gt;=G46,(H46-G46)/2*(MIN(100,D46+$B$3)+MIN(100,F46+$B$3)),(H46-G46)/2*(MAX(0,D46-$B$3)+MAX(0,F46-$B$3)))</x:f>
        <x:v>0.05730000697103048</x:v>
      </x:c>
      <x:c r="O46" s="13" t="str">
        <x:v>I03 GP_Code!P2602/U2602; I04 Table_1!P706/U706</x:v>
      </x:c>
    </x:row>
    <x:row r="47" ht="24" customHeight="1">
      <x:c r="A47" s="13" t="str">
        <x:v>QHL</x:v>
      </x:c>
      <x:c r="B47" s="13" t="str">
        <x:v>M85014</x:v>
      </x:c>
      <x:c r="C47" s="13" t="n">
        <x:f>D382</x:f>
        <x:v>37</x:v>
      </x:c>
      <x:c r="D47" s="30" t="n">
        <x:f>E382</x:f>
        <x:v>89.2</x:v>
      </x:c>
      <x:c r="E47" s="13" t="n">
        <x:f>D747</x:f>
        <x:v>47</x:v>
      </x:c>
      <x:c r="F47" s="30" t="n">
        <x:f>E747</x:f>
        <x:v>87.2</x:v>
      </x:c>
      <x:c r="G47" s="31" t="n">
        <x:f>C47/$C$22</x:f>
        <x:v>0.002114769090077732</x:v>
      </x:c>
      <x:c r="H47" s="31" t="n">
        <x:f>E47/$D$22</x:f>
        <x:v>0.002739087359403229</x:v>
      </x:c>
      <x:c r="I47" s="31" t="n">
        <x:f>(G47+H47)/2*(F47-D47)</x:f>
        <x:v>-0.004853856449480961</x:v>
      </x:c>
      <x:c r="J47" s="31" t="n">
        <x:f>(H47-G47)/2*(F47+D47)</x:f>
        <x:v>0.05506487135450882</x:v>
      </x:c>
      <x:c r="K47" s="31" t="n">
        <x:f>(G47+H47)/2*(MAX(0,F47-$B$3)-MIN(100,D47+$B$3))</x:f>
        <x:v>-0.0050965492719549955</x:v>
      </x:c>
      <x:c r="L47" s="31" t="n">
        <x:f>(G47+H47)/2*(MIN(100,F47+$B$3)-MAX(0,D47-$B$3))</x:f>
        <x:v>-0.004611163627006927</x:v>
      </x:c>
      <x:c r="M47" s="31" t="n">
        <x:f>IF(H47&gt;=G47,(H47-G47)/2*(MAX(0,D47-$B$3)+MAX(0,F47-$B$3)),(H47-G47)/2*(MIN(100,D47+$B$3)+MIN(100,F47+$B$3)))</x:f>
        <x:v>0.05503365544104255</x:v>
      </x:c>
      <x:c r="N47" s="31" t="n">
        <x:f>IF(H47&gt;=G47,(H47-G47)/2*(MIN(100,D47+$B$3)+MIN(100,F47+$B$3)),(H47-G47)/2*(MAX(0,D47-$B$3)+MAX(0,F47-$B$3)))</x:f>
        <x:v>0.055096087267975095</x:v>
      </x:c>
      <x:c r="O47" s="13" t="str">
        <x:v>I03 GP_Code!P2603/U2603; I04 Table_1!P707/U707</x:v>
      </x:c>
    </x:row>
    <x:row r="48" ht="24" customHeight="1">
      <x:c r="A48" s="13" t="str">
        <x:v>QHL</x:v>
      </x:c>
      <x:c r="B48" s="13" t="str">
        <x:v>M85016</x:v>
      </x:c>
      <x:c r="C48" s="13" t="n">
        <x:f>D383</x:f>
        <x:v>79</x:v>
      </x:c>
      <x:c r="D48" s="30" t="n">
        <x:f>E383</x:f>
        <x:v>79.7</x:v>
      </x:c>
      <x:c r="E48" s="13" t="n">
        <x:f>D748</x:f>
        <x:v>66</x:v>
      </x:c>
      <x:c r="F48" s="30" t="n">
        <x:f>E748</x:f>
        <x:v>71.2</x:v>
      </x:c>
      <x:c r="G48" s="31" t="n">
        <x:f>C48/$C$22</x:f>
        <x:v>0.004515317786922725</x:v>
      </x:c>
      <x:c r="H48" s="31" t="n">
        <x:f>E48/$D$22</x:f>
        <x:v>0.0038463779940555976</x:v>
      </x:c>
      <x:c r="I48" s="31" t="n">
        <x:f>(G48+H48)/2*(F48-D48)</x:f>
        <x:v>-0.03553720706915787</x:v>
      </x:c>
      <x:c r="J48" s="31" t="n">
        <x:f>(H48-G48)/2*(F48+D48)</x:f>
        <x:v>-0.05047150737182479</x:v>
      </x:c>
      <x:c r="K48" s="31" t="n">
        <x:f>(G48+H48)/2*(MAX(0,F48-$B$3)-MIN(100,D48+$B$3))</x:f>
        <x:v>-0.03595529185820676</x:v>
      </x:c>
      <x:c r="L48" s="31" t="n">
        <x:f>(G48+H48)/2*(MIN(100,F48+$B$3)-MAX(0,D48-$B$3))</x:f>
        <x:v>-0.03511912228010898</x:v>
      </x:c>
      <x:c r="M48" s="31" t="n">
        <x:f>IF(H48&gt;=G48,(H48-G48)/2*(MAX(0,D48-$B$3)+MAX(0,F48-$B$3)),(H48-G48)/2*(MIN(100,D48+$B$3)+MIN(100,F48+$B$3)))</x:f>
        <x:v>-0.050504954361468145</x:v>
      </x:c>
      <x:c r="N48" s="31" t="n">
        <x:f>IF(H48&gt;=G48,(H48-G48)/2*(MIN(100,D48+$B$3)+MIN(100,F48+$B$3)),(H48-G48)/2*(MAX(0,D48-$B$3)+MAX(0,F48-$B$3)))</x:f>
        <x:v>-0.05043806038218144</x:v>
      </x:c>
      <x:c r="O48" s="13" t="str">
        <x:v>I03 GP_Code!P2604/U2604; I04 Table_1!P708/U708</x:v>
      </x:c>
    </x:row>
    <x:row r="49" ht="24" customHeight="1">
      <x:c r="A49" s="13" t="str">
        <x:v>QHL</x:v>
      </x:c>
      <x:c r="B49" s="13" t="str">
        <x:v>M85018</x:v>
      </x:c>
      <x:c r="C49" s="13" t="n">
        <x:f>D384</x:f>
        <x:v>136</x:v>
      </x:c>
      <x:c r="D49" s="30" t="n">
        <x:f>E384</x:f>
        <x:v>91.2</x:v>
      </x:c>
      <x:c r="E49" s="13" t="n">
        <x:f>D749</x:f>
        <x:v>125</x:v>
      </x:c>
      <x:c r="F49" s="30" t="n">
        <x:f>E749</x:f>
        <x:v>74.4</x:v>
      </x:c>
      <x:c r="G49" s="31" t="n">
        <x:f>C49/$C$22</x:f>
        <x:v>0.007773205304069501</x:v>
      </x:c>
      <x:c r="H49" s="31" t="n">
        <x:f>E49/$D$22</x:f>
        <x:v>0.007284806806923481</x:v>
      </x:c>
      <x:c r="I49" s="31" t="n">
        <x:f>(G49+H49)/2*(F49-D49)</x:f>
        <x:v>-0.12648730173234102</x:v>
      </x:c>
      <x:c r="J49" s="31" t="n">
        <x:f>(H49-G49)/2*(F49+D49)</x:f>
        <x:v>-0.040439395563690514</x:v>
      </x:c>
      <x:c r="K49" s="31" t="n">
        <x:f>(G49+H49)/2*(MAX(0,F49-$B$3)-MIN(100,D49+$B$3))</x:f>
        <x:v>-0.12724020233789063</x:v>
      </x:c>
      <x:c r="L49" s="31" t="n">
        <x:f>(G49+H49)/2*(MIN(100,F49+$B$3)-MAX(0,D49-$B$3))</x:f>
        <x:v>-0.1257344011267914</x:v>
      </x:c>
      <x:c r="M49" s="31" t="n">
        <x:f>IF(H49&gt;=G49,(H49-G49)/2*(MAX(0,D49-$B$3)+MAX(0,F49-$B$3)),(H49-G49)/2*(MIN(100,D49+$B$3)+MIN(100,F49+$B$3)))</x:f>
        <x:v>-0.04046381548854781</x:v>
      </x:c>
      <x:c r="N49" s="31" t="n">
        <x:f>IF(H49&gt;=G49,(H49-G49)/2*(MIN(100,D49+$B$3)+MIN(100,F49+$B$3)),(H49-G49)/2*(MAX(0,D49-$B$3)+MAX(0,F49-$B$3)))</x:f>
        <x:v>-0.04041497563883321</x:v>
      </x:c>
      <x:c r="O49" s="13" t="str">
        <x:v>I03 GP_Code!P2605/U2605; I04 Table_1!P709/U709</x:v>
      </x:c>
    </x:row>
    <x:row r="50" ht="24" customHeight="1">
      <x:c r="A50" s="13" t="str">
        <x:v>QHL</x:v>
      </x:c>
      <x:c r="B50" s="13" t="str">
        <x:v>M85021</x:v>
      </x:c>
      <x:c r="C50" s="13" t="n">
        <x:f>D385</x:f>
        <x:v>33</x:v>
      </x:c>
      <x:c r="D50" s="30" t="n">
        <x:f>E385</x:f>
        <x:v>78.8</x:v>
      </x:c>
      <x:c r="E50" s="13" t="n">
        <x:f>D752</x:f>
        <x:v>34</x:v>
      </x:c>
      <x:c r="F50" s="30" t="n">
        <x:f>E752</x:f>
        <x:v>67.6</x:v>
      </x:c>
      <x:c r="G50" s="31" t="n">
        <x:f>C50/$C$22</x:f>
        <x:v>0.0018861454046639231</x:v>
      </x:c>
      <x:c r="H50" s="31" t="n">
        <x:f>E50/$D$22</x:f>
        <x:v>0.0019814674514831866</x:v>
      </x:c>
      <x:c r="I50" s="31" t="n">
        <x:f>(G50+H50)/2*(F50-D50)</x:f>
        <x:v>-0.02165863199442382</x:v>
      </x:c>
      <x:c r="J50" s="31" t="n">
        <x:f>(H50-G50)/2*(F50+D50)</x:f>
        <x:v>0.0069775738271700815</x:v>
      </x:c>
      <x:c r="K50" s="31" t="n">
        <x:f>(G50+H50)/2*(MAX(0,F50-$B$3)-MIN(100,D50+$B$3))</x:f>
        <x:v>-0.021852012637231164</x:v>
      </x:c>
      <x:c r="L50" s="31" t="n">
        <x:f>(G50+H50)/2*(MIN(100,F50+$B$3)-MAX(0,D50-$B$3))</x:f>
        <x:v>-0.021465251351616477</x:v>
      </x:c>
      <x:c r="M50" s="31" t="n">
        <x:f>IF(H50&gt;=G50,(H50-G50)/2*(MAX(0,D50-$B$3)+MAX(0,F50-$B$3)),(H50-G50)/2*(MIN(100,D50+$B$3)+MIN(100,F50+$B$3)))</x:f>
        <x:v>0.0069728077248291205</x:v>
      </x:c>
      <x:c r="N50" s="31" t="n">
        <x:f>IF(H50&gt;=G50,(H50-G50)/2*(MIN(100,D50+$B$3)+MIN(100,F50+$B$3)),(H50-G50)/2*(MAX(0,D50-$B$3)+MAX(0,F50-$B$3)))</x:f>
        <x:v>0.006982339929511046</x:v>
      </x:c>
      <x:c r="O50" s="13" t="str">
        <x:v>I03 GP_Code!P2606/U2606; I04 Table_1!P712/U712</x:v>
      </x:c>
    </x:row>
    <x:row r="51" ht="24" customHeight="1">
      <x:c r="A51" s="13" t="str">
        <x:v>QHL</x:v>
      </x:c>
      <x:c r="B51" s="13" t="str">
        <x:v>M85023</x:v>
      </x:c>
      <x:c r="C51" s="13" t="n">
        <x:f>D386</x:f>
        <x:v>137</x:v>
      </x:c>
      <x:c r="D51" s="30" t="n">
        <x:f>E386</x:f>
        <x:v>73.7</x:v>
      </x:c>
      <x:c r="E51" s="13" t="n">
        <x:f>D753</x:f>
        <x:v>112</x:v>
      </x:c>
      <x:c r="F51" s="30" t="n">
        <x:f>E753</x:f>
        <x:v>64.3</x:v>
      </x:c>
      <x:c r="G51" s="31" t="n">
        <x:f>C51/$C$22</x:f>
        <x:v>0.007830361225422954</x:v>
      </x:c>
      <x:c r="H51" s="31" t="n">
        <x:f>E51/$D$22</x:f>
        <x:v>0.0065271868990034385</x:v>
      </x:c>
      <x:c r="I51" s="31" t="n">
        <x:f>(G51+H51)/2*(F51-D51)</x:f>
        <x:v>-0.06748047618480409</x:v>
      </x:c>
      <x:c r="J51" s="31" t="n">
        <x:f>(H51-G51)/2*(F51+D51)</x:f>
        <x:v>-0.08991902852294656</x:v>
      </x:c>
      <x:c r="K51" s="31" t="n">
        <x:f>(G51+H51)/2*(MAX(0,F51-$B$3)-MIN(100,D51+$B$3))</x:f>
        <x:v>-0.06819835359102536</x:v>
      </x:c>
      <x:c r="L51" s="31" t="n">
        <x:f>(G51+H51)/2*(MIN(100,F51+$B$3)-MAX(0,D51-$B$3))</x:f>
        <x:v>-0.0667625987785828</x:v>
      </x:c>
      <x:c r="M51" s="31" t="n">
        <x:f>IF(H51&gt;=G51,(H51-G51)/2*(MAX(0,D51-$B$3)+MAX(0,F51-$B$3)),(H51-G51)/2*(MIN(100,D51+$B$3)+MIN(100,F51+$B$3)))</x:f>
        <x:v>-0.08998418723926753</x:v>
      </x:c>
      <x:c r="N51" s="31" t="n">
        <x:f>IF(H51&gt;=G51,(H51-G51)/2*(MIN(100,D51+$B$3)+MIN(100,F51+$B$3)),(H51-G51)/2*(MAX(0,D51-$B$3)+MAX(0,F51-$B$3)))</x:f>
        <x:v>-0.08985386980662559</x:v>
      </x:c>
      <x:c r="O51" s="13" t="str">
        <x:v>I03 GP_Code!P2607/U2607; I04 Table_1!P713/U713</x:v>
      </x:c>
    </x:row>
    <x:row r="52" ht="24" customHeight="1">
      <x:c r="A52" s="13" t="str">
        <x:v>QHL</x:v>
      </x:c>
      <x:c r="B52" s="13" t="str">
        <x:v>M85024</x:v>
      </x:c>
      <x:c r="C52" s="13" t="n">
        <x:f>D387</x:f>
        <x:v>106</x:v>
      </x:c>
      <x:c r="D52" s="30" t="n">
        <x:f>E387</x:f>
        <x:v>81.1</x:v>
      </x:c>
      <x:c r="E52" s="13" t="n">
        <x:f>D754</x:f>
        <x:v>97</x:v>
      </x:c>
      <x:c r="F52" s="30" t="n">
        <x:f>E754</x:f>
        <x:v>72.2</x:v>
      </x:c>
      <x:c r="G52" s="31" t="n">
        <x:f>C52/$C$22</x:f>
        <x:v>0.006058527663465935</x:v>
      </x:c>
      <x:c r="H52" s="31" t="n">
        <x:f>E52/$D$22</x:f>
        <x:v>0.005653010082172621</x:v>
      </x:c>
      <x:c r="I52" s="31" t="n">
        <x:f>(G52+H52)/2*(F52-D52)</x:f>
        <x:v>-0.05211634296809152</x:v>
      </x:c>
      <x:c r="J52" s="31" t="n">
        <x:f>(H52-G52)/2*(F52+D52)</x:f>
        <x:v>-0.03108292260613252</x:v>
      </x:c>
      <x:c r="K52" s="31" t="n">
        <x:f>(G52+H52)/2*(MAX(0,F52-$B$3)-MIN(100,D52+$B$3))</x:f>
        <x:v>-0.05270191985537342</x:v>
      </x:c>
      <x:c r="L52" s="31" t="n">
        <x:f>(G52+H52)/2*(MIN(100,F52+$B$3)-MAX(0,D52-$B$3))</x:f>
        <x:v>-0.05153076608080963</x:v>
      </x:c>
      <x:c r="M52" s="31" t="n">
        <x:f>IF(H52&gt;=G52,(H52-G52)/2*(MAX(0,D52-$B$3)+MAX(0,F52-$B$3)),(H52-G52)/2*(MIN(100,D52+$B$3)+MIN(100,F52+$B$3)))</x:f>
        <x:v>-0.031103198485197183</x:v>
      </x:c>
      <x:c r="N52" s="31" t="n">
        <x:f>IF(H52&gt;=G52,(H52-G52)/2*(MIN(100,D52+$B$3)+MIN(100,F52+$B$3)),(H52-G52)/2*(MAX(0,D52-$B$3)+MAX(0,F52-$B$3)))</x:f>
        <x:v>-0.031062646727067853</x:v>
      </x:c>
      <x:c r="O52" s="13" t="str">
        <x:v>I03 GP_Code!P2608/U2608; I04 Table_1!P714/U714</x:v>
      </x:c>
    </x:row>
    <x:row r="53" ht="24" customHeight="1">
      <x:c r="A53" s="13" t="str">
        <x:v>QHL</x:v>
      </x:c>
      <x:c r="B53" s="13" t="str">
        <x:v>M85025</x:v>
      </x:c>
      <x:c r="C53" s="13" t="n">
        <x:f>D388</x:f>
        <x:v>127</x:v>
      </x:c>
      <x:c r="D53" s="30" t="n">
        <x:f>E388</x:f>
        <x:v>72.4</x:v>
      </x:c>
      <x:c r="E53" s="13" t="n">
        <x:f>D755</x:f>
        <x:v>128</x:v>
      </x:c>
      <x:c r="F53" s="30" t="n">
        <x:f>E755</x:f>
        <x:v>75</x:v>
      </x:c>
      <x:c r="G53" s="31" t="n">
        <x:f>C53/$C$22</x:f>
        <x:v>0.007258802011888432</x:v>
      </x:c>
      <x:c r="H53" s="31" t="n">
        <x:f>E53/$D$22</x:f>
        <x:v>0.007459642170289644</x:v>
      </x:c>
      <x:c r="I53" s="31" t="n">
        <x:f>(G53+H53)/2*(F53-D53)</x:f>
        <x:v>0.019133977436831456</x:v>
      </x:c>
      <x:c r="J53" s="31" t="n">
        <x:f>(H53-G53)/2*(F53+D53)</x:f>
        <x:v>0.014801919674169337</x:v>
      </x:c>
      <x:c r="K53" s="31" t="n">
        <x:f>(G53+H53)/2*(MAX(0,F53-$B$3)-MIN(100,D53+$B$3))</x:f>
        <x:v>0.018398055227722594</x:v>
      </x:c>
      <x:c r="L53" s="31" t="n">
        <x:f>(G53+H53)/2*(MIN(100,F53+$B$3)-MAX(0,D53-$B$3))</x:f>
        <x:v>0.01986989964594032</x:v>
      </x:c>
      <x:c r="M53" s="31" t="n">
        <x:f>IF(H53&gt;=G53,(H53-G53)/2*(MAX(0,D53-$B$3)+MAX(0,F53-$B$3)),(H53-G53)/2*(MIN(100,D53+$B$3)+MIN(100,F53+$B$3)))</x:f>
        <x:v>0.014791877666249276</x:v>
      </x:c>
      <x:c r="N53" s="31" t="n">
        <x:f>IF(H53&gt;=G53,(H53-G53)/2*(MIN(100,D53+$B$3)+MIN(100,F53+$B$3)),(H53-G53)/2*(MAX(0,D53-$B$3)+MAX(0,F53-$B$3)))</x:f>
        <x:v>0.014811961682089397</x:v>
      </x:c>
      <x:c r="O53" s="13" t="str">
        <x:v>I03 GP_Code!P2609/U2609; I04 Table_1!P715/U715</x:v>
      </x:c>
    </x:row>
    <x:row r="54" ht="24" customHeight="1">
      <x:c r="A54" s="13" t="str">
        <x:v>QHL</x:v>
      </x:c>
      <x:c r="B54" s="13" t="str">
        <x:v>M85026</x:v>
      </x:c>
      <x:c r="C54" s="13" t="n">
        <x:f>D389</x:f>
        <x:v>133</x:v>
      </x:c>
      <x:c r="D54" s="30" t="n">
        <x:f>E389</x:f>
        <x:v>85</x:v>
      </x:c>
      <x:c r="E54" s="13" t="n">
        <x:f>D756</x:f>
        <x:v>149</x:v>
      </x:c>
      <x:c r="F54" s="30" t="n">
        <x:f>E756</x:f>
        <x:v>72.5</x:v>
      </x:c>
      <x:c r="G54" s="31" t="n">
        <x:f>C54/$C$22</x:f>
        <x:v>0.007601737540009145</x:v>
      </x:c>
      <x:c r="H54" s="31" t="n">
        <x:f>E54/$D$22</x:f>
        <x:v>0.008683489713852788</x:v>
      </x:c>
      <x:c r="I54" s="31" t="n">
        <x:f>(G54+H54)/2*(F54-D54)</x:f>
        <x:v>-0.10178267033663708</x:v>
      </x:c>
      <x:c r="J54" s="31" t="n">
        <x:f>(H54-G54)/2*(F54+D54)</x:f>
        <x:v>0.08518798369018693</x:v>
      </x:c>
      <x:c r="K54" s="31" t="n">
        <x:f>(G54+H54)/2*(MAX(0,F54-$B$3)-MIN(100,D54+$B$3))</x:f>
        <x:v>-0.10259693169933014</x:v>
      </x:c>
      <x:c r="L54" s="31" t="n">
        <x:f>(G54+H54)/2*(MIN(100,F54+$B$3)-MAX(0,D54-$B$3))</x:f>
        <x:v>-0.10096840897394403</x:v>
      </x:c>
      <x:c r="M54" s="31" t="n">
        <x:f>IF(H54&gt;=G54,(H54-G54)/2*(MAX(0,D54-$B$3)+MAX(0,F54-$B$3)),(H54-G54)/2*(MIN(100,D54+$B$3)+MIN(100,F54+$B$3)))</x:f>
        <x:v>0.08513389608149476</x:v>
      </x:c>
      <x:c r="N54" s="31" t="n">
        <x:f>IF(H54&gt;=G54,(H54-G54)/2*(MIN(100,D54+$B$3)+MIN(100,F54+$B$3)),(H54-G54)/2*(MAX(0,D54-$B$3)+MAX(0,F54-$B$3)))</x:f>
        <x:v>0.0852420712988791</x:v>
      </x:c>
      <x:c r="O54" s="13" t="str">
        <x:v>I03 GP_Code!P2610/U2610; I04 Table_1!P716/U716</x:v>
      </x:c>
    </x:row>
    <x:row r="55" ht="24" customHeight="1">
      <x:c r="A55" s="13" t="str">
        <x:v>QHL</x:v>
      </x:c>
      <x:c r="B55" s="13" t="str">
        <x:v>M85027</x:v>
      </x:c>
      <x:c r="C55" s="13" t="n">
        <x:f>D390</x:f>
        <x:v>89</x:v>
      </x:c>
      <x:c r="D55" s="30" t="n">
        <x:f>E390</x:f>
        <x:v>77.5</x:v>
      </x:c>
      <x:c r="E55" s="13" t="n">
        <x:f>D757</x:f>
        <x:v>96</x:v>
      </x:c>
      <x:c r="F55" s="30" t="n">
        <x:f>E757</x:f>
        <x:v>79.2</x:v>
      </x:c>
      <x:c r="G55" s="31" t="n">
        <x:f>C55/$C$22</x:f>
        <x:v>0.005086877000457247</x:v>
      </x:c>
      <x:c r="H55" s="31" t="n">
        <x:f>E55/$D$22</x:f>
        <x:v>0.005594731627717233</x:v>
      </x:c>
      <x:c r="I55" s="31" t="n">
        <x:f>(G55+H55)/2*(F55-D55)</x:f>
        <x:v>0.009079367333948324</x:v>
      </x:c>
      <x:c r="J55" s="31" t="n">
        <x:f>(H55-G55)/2*(F55+D55)</x:f>
        <x:v>0.03979041004581987</x:v>
      </x:c>
      <x:c r="K55" s="31" t="n">
        <x:f>(G55+H55)/2*(MAX(0,F55-$B$3)-MIN(100,D55+$B$3))</x:f>
        <x:v>0.008545286902539629</x:v>
      </x:c>
      <x:c r="L55" s="31" t="n">
        <x:f>(G55+H55)/2*(MIN(100,F55+$B$3)-MAX(0,D55-$B$3))</x:f>
        <x:v>0.009613447765357016</x:v>
      </x:c>
      <x:c r="M55" s="31" t="n">
        <x:f>IF(H55&gt;=G55,(H55-G55)/2*(MAX(0,D55-$B$3)+MAX(0,F55-$B$3)),(H55-G55)/2*(MIN(100,D55+$B$3)+MIN(100,F55+$B$3)))</x:f>
        <x:v>0.03976501731445688</x:v>
      </x:c>
      <x:c r="N55" s="31" t="n">
        <x:f>IF(H55&gt;=G55,(H55-G55)/2*(MIN(100,D55+$B$3)+MIN(100,F55+$B$3)),(H55-G55)/2*(MAX(0,D55-$B$3)+MAX(0,F55-$B$3)))</x:f>
        <x:v>0.03981580277718287</x:v>
      </x:c>
      <x:c r="O55" s="13" t="str">
        <x:v>I03 GP_Code!P2611/U2611; I04 Table_1!P717/U717</x:v>
      </x:c>
    </x:row>
    <x:row r="56" ht="24" customHeight="1">
      <x:c r="A56" s="13" t="str">
        <x:v>QHL</x:v>
      </x:c>
      <x:c r="B56" s="13" t="str">
        <x:v>M85028</x:v>
      </x:c>
      <x:c r="C56" s="13" t="n">
        <x:f>D391</x:f>
        <x:v>316</x:v>
      </x:c>
      <x:c r="D56" s="30" t="n">
        <x:f>E391</x:f>
        <x:v>76.9</x:v>
      </x:c>
      <x:c r="E56" s="13" t="n">
        <x:f>D758</x:f>
        <x:v>298</x:v>
      </x:c>
      <x:c r="F56" s="30" t="n">
        <x:f>E758</x:f>
        <x:v>65.8</x:v>
      </x:c>
      <x:c r="G56" s="31" t="n">
        <x:f>C56/$C$22</x:f>
        <x:v>0.0180612711476909</x:v>
      </x:c>
      <x:c r="H56" s="31" t="n">
        <x:f>E56/$D$22</x:f>
        <x:v>0.017366979427705577</x:v>
      </x:c>
      <x:c r="I56" s="31" t="n">
        <x:f>(G56+H56)/2*(F56-D56)</x:f>
        <x:v>-0.1966267906934506</x:v>
      </x:c>
      <x:c r="J56" s="31" t="n">
        <x:f>(H56-G56)/2*(F56+D56)</x:f>
        <x:v>-0.0495377142209529</x:v>
      </x:c>
      <x:c r="K56" s="31" t="n">
        <x:f>(G56+H56)/2*(MAX(0,F56-$B$3)-MIN(100,D56+$B$3))</x:f>
        <x:v>-0.19839820322222032</x:v>
      </x:c>
      <x:c r="L56" s="31" t="n">
        <x:f>(G56+H56)/2*(MIN(100,F56+$B$3)-MAX(0,D56-$B$3))</x:f>
        <x:v>-0.19485537816468088</x:v>
      </x:c>
      <x:c r="M56" s="31" t="n">
        <x:f>IF(H56&gt;=G56,(H56-G56)/2*(MAX(0,D56-$B$3)+MAX(0,F56-$B$3)),(H56-G56)/2*(MIN(100,D56+$B$3)+MIN(100,F56+$B$3)))</x:f>
        <x:v>-0.04957242880695217</x:v>
      </x:c>
      <x:c r="N56" s="31" t="n">
        <x:f>IF(H56&gt;=G56,(H56-G56)/2*(MIN(100,D56+$B$3)+MIN(100,F56+$B$3)),(H56-G56)/2*(MAX(0,D56-$B$3)+MAX(0,F56-$B$3)))</x:f>
        <x:v>-0.049502999634953644</x:v>
      </x:c>
      <x:c r="O56" s="13" t="str">
        <x:v>I03 GP_Code!P2612/U2612; I04 Table_1!P718/U718</x:v>
      </x:c>
    </x:row>
    <x:row r="57" ht="24" customHeight="1">
      <x:c r="A57" s="13" t="str">
        <x:v>QHL</x:v>
      </x:c>
      <x:c r="B57" s="13" t="str">
        <x:v>M85029</x:v>
      </x:c>
      <x:c r="C57" s="13" t="n">
        <x:f>D392</x:f>
        <x:v>171</x:v>
      </x:c>
      <x:c r="D57" s="30" t="n">
        <x:f>E392</x:f>
        <x:v>88.3</x:v>
      </x:c>
      <x:c r="E57" s="13" t="n">
        <x:f>D759</x:f>
        <x:v>179</x:v>
      </x:c>
      <x:c r="F57" s="30" t="n">
        <x:f>E759</x:f>
        <x:v>86.6</x:v>
      </x:c>
      <x:c r="G57" s="31" t="n">
        <x:f>C57/$C$22</x:f>
        <x:v>0.00977366255144033</x:v>
      </x:c>
      <x:c r="H57" s="31" t="n">
        <x:f>E57/$D$22</x:f>
        <x:v>0.010431843347514423</x:v>
      </x:c>
      <x:c r="I57" s="31" t="n">
        <x:f>(G57+H57)/2*(F57-D57)</x:f>
        <x:v>-0.017174680014111567</x:v>
      </x:c>
      <x:c r="J57" s="31" t="n">
        <x:f>(H57-G57)/2*(F57+D57)</x:f>
        <x:v>0.057557910616679454</x:v>
      </x:c>
      <x:c r="K57" s="31" t="n">
        <x:f>(G57+H57)/2*(MAX(0,F57-$B$3)-MIN(100,D57+$B$3))</x:f>
        <x:v>-0.01818495530905925</x:v>
      </x:c>
      <x:c r="L57" s="31" t="n">
        <x:f>(G57+H57)/2*(MIN(100,F57+$B$3)-MAX(0,D57-$B$3))</x:f>
        <x:v>-0.01616440471916389</x:v>
      </x:c>
      <x:c r="M57" s="31" t="n">
        <x:f>IF(H57&gt;=G57,(H57-G57)/2*(MAX(0,D57-$B$3)+MAX(0,F57-$B$3)),(H57-G57)/2*(MIN(100,D57+$B$3)+MIN(100,F57+$B$3)))</x:f>
        <x:v>0.05752500157687576</x:v>
      </x:c>
      <x:c r="N57" s="31" t="n">
        <x:f>IF(H57&gt;=G57,(H57-G57)/2*(MIN(100,D57+$B$3)+MIN(100,F57+$B$3)),(H57-G57)/2*(MAX(0,D57-$B$3)+MAX(0,F57-$B$3)))</x:f>
        <x:v>0.05759081965648317</x:v>
      </x:c>
      <x:c r="O57" s="13" t="str">
        <x:v>I03 GP_Code!P2613/U2613; I04 Table_1!P719/U719</x:v>
      </x:c>
    </x:row>
    <x:row r="58" ht="24" customHeight="1">
      <x:c r="A58" s="13" t="str">
        <x:v>QHL</x:v>
      </x:c>
      <x:c r="B58" s="13" t="str">
        <x:v>M85030</x:v>
      </x:c>
      <x:c r="C58" s="13" t="n">
        <x:f>D393</x:f>
        <x:v>226</x:v>
      </x:c>
      <x:c r="D58" s="30" t="n">
        <x:f>E393</x:f>
        <x:v>87.6</x:v>
      </x:c>
      <x:c r="E58" s="13" t="n">
        <x:f>D760</x:f>
        <x:v>217</x:v>
      </x:c>
      <x:c r="F58" s="30" t="n">
        <x:f>E760</x:f>
        <x:v>83.4</x:v>
      </x:c>
      <x:c r="G58" s="31" t="n">
        <x:f>C58/$C$22</x:f>
        <x:v>0.012917238225880201</x:v>
      </x:c>
      <x:c r="H58" s="31" t="n">
        <x:f>E58/$D$22</x:f>
        <x:v>0.012646424616819162</x:v>
      </x:c>
      <x:c r="I58" s="31" t="n">
        <x:f>(G58+H58)/2*(F58-D58)</x:f>
        <x:v>-0.05368369196966852</x:v>
      </x:c>
      <x:c r="J58" s="31" t="n">
        <x:f>(H58-G58)/2*(F58+D58)</x:f>
        <x:v>-0.02315456357471887</x:v>
      </x:c>
      <x:c r="K58" s="31" t="n">
        <x:f>(G58+H58)/2*(MAX(0,F58-$B$3)-MIN(100,D58+$B$3))</x:f>
        <x:v>-0.054961875111803414</x:v>
      </x:c>
      <x:c r="L58" s="31" t="n">
        <x:f>(G58+H58)/2*(MIN(100,F58+$B$3)-MAX(0,D58-$B$3))</x:f>
        <x:v>-0.05240550882753362</x:v>
      </x:c>
      <x:c r="M58" s="31" t="n">
        <x:f>IF(H58&gt;=G58,(H58-G58)/2*(MAX(0,D58-$B$3)+MAX(0,F58-$B$3)),(H58-G58)/2*(MIN(100,D58+$B$3)+MIN(100,F58+$B$3)))</x:f>
        <x:v>-0.02316810425517192</x:v>
      </x:c>
      <x:c r="N58" s="31" t="n">
        <x:f>IF(H58&gt;=G58,(H58-G58)/2*(MIN(100,D58+$B$3)+MIN(100,F58+$B$3)),(H58-G58)/2*(MAX(0,D58-$B$3)+MAX(0,F58-$B$3)))</x:f>
        <x:v>-0.02314102289426582</x:v>
      </x:c>
      <x:c r="O58" s="13" t="str">
        <x:v>I03 GP_Code!P2614/U2614; I04 Table_1!P720/U720</x:v>
      </x:c>
    </x:row>
    <x:row r="59" ht="24" customHeight="1">
      <x:c r="A59" s="13" t="str">
        <x:v>QHL</x:v>
      </x:c>
      <x:c r="B59" s="13" t="str">
        <x:v>M85031</x:v>
      </x:c>
      <x:c r="C59" s="13" t="n">
        <x:f>D394</x:f>
        <x:v>148</x:v>
      </x:c>
      <x:c r="D59" s="30" t="n">
        <x:f>E394</x:f>
        <x:v>79.7</x:v>
      </x:c>
      <x:c r="E59" s="13" t="n">
        <x:f>D761</x:f>
        <x:v>148</x:v>
      </x:c>
      <x:c r="F59" s="30" t="n">
        <x:f>E761</x:f>
        <x:v>79.1</x:v>
      </x:c>
      <x:c r="G59" s="31" t="n">
        <x:f>C59/$C$22</x:f>
        <x:v>0.008459076360310928</x:v>
      </x:c>
      <x:c r="H59" s="31" t="n">
        <x:f>E59/$D$22</x:f>
        <x:v>0.0086252112593974</x:v>
      </x:c>
      <x:c r="I59" s="31" t="n">
        <x:f>(G59+H59)/2*(F59-D59)</x:f>
        <x:v>-0.005125286285912572</x:v>
      </x:c>
      <x:c r="J59" s="31" t="n">
        <x:f>(H59-G59)/2*(F59+D59)</x:f>
        <x:v>0.013191110987465879</x:v>
      </x:c>
      <x:c r="K59" s="31" t="n">
        <x:f>(G59+H59)/2*(MAX(0,F59-$B$3)-MIN(100,D59+$B$3))</x:f>
        <x:v>-0.00597950066689794</x:v>
      </x:c>
      <x:c r="L59" s="31" t="n">
        <x:f>(G59+H59)/2*(MIN(100,F59+$B$3)-MAX(0,D59-$B$3))</x:f>
        <x:v>-0.004271071904927204</x:v>
      </x:c>
      <x:c r="M59" s="31" t="n">
        <x:f>IF(H59&gt;=G59,(H59-G59)/2*(MAX(0,D59-$B$3)+MAX(0,F59-$B$3)),(H59-G59)/2*(MIN(100,D59+$B$3)+MIN(100,F59+$B$3)))</x:f>
        <x:v>0.013182804242511554</x:v>
      </x:c>
      <x:c r="N59" s="31" t="n">
        <x:f>IF(H59&gt;=G59,(H59-G59)/2*(MIN(100,D59+$B$3)+MIN(100,F59+$B$3)),(H59-G59)/2*(MAX(0,D59-$B$3)+MAX(0,F59-$B$3)))</x:f>
        <x:v>0.013199417732420199</x:v>
      </x:c>
      <x:c r="O59" s="13" t="str">
        <x:v>I03 GP_Code!P2615/U2615; I04 Table_1!P721/U721</x:v>
      </x:c>
    </x:row>
    <x:row r="60" ht="24" customHeight="1">
      <x:c r="A60" s="13" t="str">
        <x:v>QHL</x:v>
      </x:c>
      <x:c r="B60" s="13" t="str">
        <x:v>M85033</x:v>
      </x:c>
      <x:c r="C60" s="13" t="n">
        <x:f>D395</x:f>
        <x:v>217</x:v>
      </x:c>
      <x:c r="D60" s="30" t="n">
        <x:f>E395</x:f>
        <x:v>96.8</x:v>
      </x:c>
      <x:c r="E60" s="13" t="n">
        <x:f>D762</x:f>
        <x:v>202</x:v>
      </x:c>
      <x:c r="F60" s="30" t="n">
        <x:f>E762</x:f>
        <x:v>89.6</x:v>
      </x:c>
      <x:c r="G60" s="31" t="n">
        <x:f>C60/$C$22</x:f>
        <x:v>0.012402834933699132</x:v>
      </x:c>
      <x:c r="H60" s="31" t="n">
        <x:f>E60/$D$22</x:f>
        <x:v>0.011772247799988344</x:v>
      </x:c>
      <x:c r="I60" s="31" t="n">
        <x:f>(G60+H60)/2*(F60-D60)</x:f>
        <x:v>-0.08703029784127495</x:v>
      </x:c>
      <x:c r="J60" s="31" t="n">
        <x:f>(H60-G60)/2*(F60+D60)</x:f>
        <x:v>-0.05877072086184538</x:v>
      </x:c>
      <x:c r="K60" s="31" t="n">
        <x:f>(G60+H60)/2*(MAX(0,F60-$B$3)-MIN(100,D60+$B$3))</x:f>
        <x:v>-0.08823905197795925</x:v>
      </x:c>
      <x:c r="L60" s="31" t="n">
        <x:f>(G60+H60)/2*(MIN(100,F60+$B$3)-MAX(0,D60-$B$3))</x:f>
        <x:v>-0.08582154370459064</x:v>
      </x:c>
      <x:c r="M60" s="31" t="n">
        <x:f>IF(H60&gt;=G60,(H60-G60)/2*(MAX(0,D60-$B$3)+MAX(0,F60-$B$3)),(H60-G60)/2*(MIN(100,D60+$B$3)+MIN(100,F60+$B$3)))</x:f>
        <x:v>-0.05880225021853092</x:v>
      </x:c>
      <x:c r="N60" s="31" t="n">
        <x:f>IF(H60&gt;=G60,(H60-G60)/2*(MIN(100,D60+$B$3)+MIN(100,F60+$B$3)),(H60-G60)/2*(MAX(0,D60-$B$3)+MAX(0,F60-$B$3)))</x:f>
        <x:v>-0.05873919150515985</x:v>
      </x:c>
      <x:c r="O60" s="13" t="str">
        <x:v>I03 GP_Code!P2616/U2616; I04 Table_1!P722/U722</x:v>
      </x:c>
    </x:row>
    <x:row r="61" ht="24" customHeight="1">
      <x:c r="A61" s="13" t="str">
        <x:v>QHL</x:v>
      </x:c>
      <x:c r="B61" s="13" t="str">
        <x:v>M85034</x:v>
      </x:c>
      <x:c r="C61" s="13" t="n">
        <x:f>D396</x:f>
        <x:v>277</x:v>
      </x:c>
      <x:c r="D61" s="30" t="n">
        <x:f>E396</x:f>
        <x:v>67.1</x:v>
      </x:c>
      <x:c r="E61" s="13" t="n">
        <x:f>D763</x:f>
        <x:v>279</x:v>
      </x:c>
      <x:c r="F61" s="30" t="n">
        <x:f>E763</x:f>
        <x:v>62</x:v>
      </x:c>
      <x:c r="G61" s="31" t="n">
        <x:f>C61/$C$22</x:f>
        <x:v>0.015832190214906266</x:v>
      </x:c>
      <x:c r="H61" s="31" t="n">
        <x:f>E61/$D$22</x:f>
        <x:v>0.016259688793053208</x:v>
      </x:c>
      <x:c r="I61" s="31" t="n">
        <x:f>(G61+H61)/2*(F61-D61)</x:f>
        <x:v>-0.08183429147029656</x:v>
      </x:c>
      <x:c r="J61" s="31" t="n">
        <x:f>(H61-G61)/2*(F61+D61)</x:f>
        <x:v>0.0275950332193851</x:v>
      </x:c>
      <x:c r="K61" s="31" t="n">
        <x:f>(G61+H61)/2*(MAX(0,F61-$B$3)-MIN(100,D61+$B$3))</x:f>
        <x:v>-0.08343888542069444</x:v>
      </x:c>
      <x:c r="L61" s="31" t="n">
        <x:f>(G61+H61)/2*(MIN(100,F61+$B$3)-MAX(0,D61-$B$3))</x:f>
        <x:v>-0.08022969751989867</x:v>
      </x:c>
      <x:c r="M61" s="31" t="n">
        <x:f>IF(H61&gt;=G61,(H61-G61)/2*(MAX(0,D61-$B$3)+MAX(0,F61-$B$3)),(H61-G61)/2*(MIN(100,D61+$B$3)+MIN(100,F61+$B$3)))</x:f>
        <x:v>0.027573658290477754</x:v>
      </x:c>
      <x:c r="N61" s="31" t="n">
        <x:f>IF(H61&gt;=G61,(H61-G61)/2*(MIN(100,D61+$B$3)+MIN(100,F61+$B$3)),(H61-G61)/2*(MAX(0,D61-$B$3)+MAX(0,F61-$B$3)))</x:f>
        <x:v>0.027616408148292443</x:v>
      </x:c>
      <x:c r="O61" s="13" t="str">
        <x:v>I03 GP_Code!P2617/U2617; I04 Table_1!P723/U723</x:v>
      </x:c>
    </x:row>
    <x:row r="62" ht="24" customHeight="1">
      <x:c r="A62" s="13" t="str">
        <x:v>QHL</x:v>
      </x:c>
      <x:c r="B62" s="13" t="str">
        <x:v>M85035</x:v>
      </x:c>
      <x:c r="C62" s="13" t="n">
        <x:f>D397</x:f>
        <x:v>74</x:v>
      </x:c>
      <x:c r="D62" s="30" t="n">
        <x:f>E397</x:f>
        <x:v>74.3</x:v>
      </x:c>
      <x:c r="E62" s="13" t="n">
        <x:f>D764</x:f>
        <x:v>83</x:v>
      </x:c>
      <x:c r="F62" s="30" t="n">
        <x:f>E764</x:f>
        <x:v>68.7</x:v>
      </x:c>
      <x:c r="G62" s="31" t="n">
        <x:f>C62/$C$22</x:f>
        <x:v>0.004229538180155464</x:v>
      </x:c>
      <x:c r="H62" s="31" t="n">
        <x:f>E62/$D$22</x:f>
        <x:v>0.004837111719797191</x:v>
      </x:c>
      <x:c r="I62" s="31" t="n">
        <x:f>(G62+H62)/2*(F62-D62)</x:f>
        <x:v>-0.025386619719867408</x:v>
      </x:c>
      <x:c r="J62" s="31" t="n">
        <x:f>(H62-G62)/2*(F62+D62)</x:f>
        <x:v>0.043441508084383504</x:v>
      </x:c>
      <x:c r="K62" s="31" t="n">
        <x:f>(G62+H62)/2*(MAX(0,F62-$B$3)-MIN(100,D62+$B$3))</x:f>
        <x:v>-0.025839952214865018</x:v>
      </x:c>
      <x:c r="L62" s="31" t="n">
        <x:f>(G62+H62)/2*(MIN(100,F62+$B$3)-MAX(0,D62-$B$3))</x:f>
        <x:v>-0.024933287224869802</x:v>
      </x:c>
      <x:c r="M62" s="31" t="n">
        <x:f>IF(H62&gt;=G62,(H62-G62)/2*(MAX(0,D62-$B$3)+MAX(0,F62-$B$3)),(H62-G62)/2*(MIN(100,D62+$B$3)+MIN(100,F62+$B$3)))</x:f>
        <x:v>0.04341112940740142</x:v>
      </x:c>
      <x:c r="N62" s="31" t="n">
        <x:f>IF(H62&gt;=G62,(H62-G62)/2*(MIN(100,D62+$B$3)+MIN(100,F62+$B$3)),(H62-G62)/2*(MAX(0,D62-$B$3)+MAX(0,F62-$B$3)))</x:f>
        <x:v>0.04347188676136558</x:v>
      </x:c>
      <x:c r="O62" s="13" t="str">
        <x:v>I03 GP_Code!P2618/U2618; I04 Table_1!P724/U724</x:v>
      </x:c>
    </x:row>
    <x:row r="63" ht="24" customHeight="1">
      <x:c r="A63" s="13" t="str">
        <x:v>QHL</x:v>
      </x:c>
      <x:c r="B63" s="13" t="str">
        <x:v>M85037</x:v>
      </x:c>
      <x:c r="C63" s="13" t="n">
        <x:f>D398</x:f>
        <x:v>105</x:v>
      </x:c>
      <x:c r="D63" s="30" t="n">
        <x:f>E398</x:f>
        <x:v>84.8</x:v>
      </x:c>
      <x:c r="E63" s="13" t="n">
        <x:f>D765</x:f>
        <x:v>111</x:v>
      </x:c>
      <x:c r="F63" s="30" t="n">
        <x:f>E765</x:f>
        <x:v>87.4</x:v>
      </x:c>
      <x:c r="G63" s="31" t="n">
        <x:f>C63/$C$22</x:f>
        <x:v>0.006001371742112483</x:v>
      </x:c>
      <x:c r="H63" s="31" t="n">
        <x:f>E63/$D$22</x:f>
        <x:v>0.006468908444548051</x:v>
      </x:c>
      <x:c r="I63" s="31" t="n">
        <x:f>(G63+H63)/2*(F63-D63)</x:f>
        <x:v>0.01621136424265875</x:v>
      </x:c>
      <x:c r="J63" s="31" t="n">
        <x:f>(H63-G63)/2*(F63+D63)</x:f>
        <x:v>0.04025491007970242</x:v>
      </x:c>
      <x:c r="K63" s="31" t="n">
        <x:f>(G63+H63)/2*(MAX(0,F63-$B$3)-MIN(100,D63+$B$3))</x:f>
        <x:v>0.015587850233325757</x:v>
      </x:c>
      <x:c r="L63" s="31" t="n">
        <x:f>(G63+H63)/2*(MIN(100,F63+$B$3)-MAX(0,D63-$B$3))</x:f>
        <x:v>0.01683487825199174</x:v>
      </x:c>
      <x:c r="M63" s="31" t="n">
        <x:f>IF(H63&gt;=G63,(H63-G63)/2*(MAX(0,D63-$B$3)+MAX(0,F63-$B$3)),(H63-G63)/2*(MIN(100,D63+$B$3)+MIN(100,F63+$B$3)))</x:f>
        <x:v>0.04023153324458065</x:v>
      </x:c>
      <x:c r="N63" s="31" t="n">
        <x:f>IF(H63&gt;=G63,(H63-G63)/2*(MIN(100,D63+$B$3)+MIN(100,F63+$B$3)),(H63-G63)/2*(MAX(0,D63-$B$3)+MAX(0,F63-$B$3)))</x:f>
        <x:v>0.040278286914824206</x:v>
      </x:c>
      <x:c r="O63" s="13" t="str">
        <x:v>I03 GP_Code!P2619/U2619; I04 Table_1!P725/U725</x:v>
      </x:c>
    </x:row>
    <x:row r="64" ht="24" customHeight="1">
      <x:c r="A64" s="13" t="str">
        <x:v>QHL</x:v>
      </x:c>
      <x:c r="B64" s="13" t="str">
        <x:v>M85041</x:v>
      </x:c>
      <x:c r="C64" s="13" t="n">
        <x:f>D399</x:f>
        <x:v>68</x:v>
      </x:c>
      <x:c r="D64" s="30" t="n">
        <x:f>E399</x:f>
        <x:v>54.4</x:v>
      </x:c>
      <x:c r="E64" s="13" t="n">
        <x:f>D766</x:f>
        <x:v>69</x:v>
      </x:c>
      <x:c r="F64" s="30" t="n">
        <x:f>E766</x:f>
        <x:v>59.4</x:v>
      </x:c>
      <x:c r="G64" s="31" t="n">
        <x:f>C64/$C$22</x:f>
        <x:v>0.0038866026520347507</x:v>
      </x:c>
      <x:c r="H64" s="31" t="n">
        <x:f>E64/$D$22</x:f>
        <x:v>0.0040212133574217615</x:v>
      </x:c>
      <x:c r="I64" s="31" t="n">
        <x:f>(G64+H64)/2*(F64-D64)</x:f>
        <x:v>0.01976954002364128</x:v>
      </x:c>
      <x:c r="J64" s="31" t="n">
        <x:f>(H64-G64)/2*(F64+D64)</x:f>
        <x:v>0.0076593491365209146</x:v>
      </x:c>
      <x:c r="K64" s="31" t="n">
        <x:f>(G64+H64)/2*(MAX(0,F64-$B$3)-MIN(100,D64+$B$3))</x:f>
        <x:v>0.019374149223168477</x:v>
      </x:c>
      <x:c r="L64" s="31" t="n">
        <x:f>(G64+H64)/2*(MIN(100,F64+$B$3)-MAX(0,D64-$B$3))</x:f>
        <x:v>0.020164930824114084</x:v>
      </x:c>
      <x:c r="M64" s="31" t="n">
        <x:f>IF(H64&gt;=G64,(H64-G64)/2*(MAX(0,D64-$B$3)+MAX(0,F64-$B$3)),(H64-G64)/2*(MIN(100,D64+$B$3)+MIN(100,F64+$B$3)))</x:f>
        <x:v>0.007652618601251564</x:v>
      </x:c>
      <x:c r="N64" s="31" t="n">
        <x:f>IF(H64&gt;=G64,(H64-G64)/2*(MIN(100,D64+$B$3)+MIN(100,F64+$B$3)),(H64-G64)/2*(MAX(0,D64-$B$3)+MAX(0,F64-$B$3)))</x:f>
        <x:v>0.007666079671790265</x:v>
      </x:c>
      <x:c r="O64" s="13" t="str">
        <x:v>I03 GP_Code!P2620/U2620; I04 Table_1!P726/U726</x:v>
      </x:c>
    </x:row>
    <x:row r="65" ht="24" customHeight="1">
      <x:c r="A65" s="13" t="str">
        <x:v>QHL</x:v>
      </x:c>
      <x:c r="B65" s="13" t="str">
        <x:v>M85042</x:v>
      </x:c>
      <x:c r="C65" s="13" t="n">
        <x:f>D400</x:f>
        <x:v>49</x:v>
      </x:c>
      <x:c r="D65" s="30" t="n">
        <x:f>E400</x:f>
        <x:v>87.8</x:v>
      </x:c>
      <x:c r="E65" s="13" t="n">
        <x:f>D767</x:f>
        <x:v>60</x:v>
      </x:c>
      <x:c r="F65" s="30" t="n">
        <x:f>E767</x:f>
        <x:v>86.7</x:v>
      </x:c>
      <x:c r="G65" s="31" t="n">
        <x:f>C65/$C$22</x:f>
        <x:v>0.0028006401463191587</x:v>
      </x:c>
      <x:c r="H65" s="31" t="n">
        <x:f>E65/$D$22</x:f>
        <x:v>0.0034967072673232707</x:v>
      </x:c>
      <x:c r="I65" s="31" t="n">
        <x:f>(G65+H65)/2*(F65-D65)</x:f>
        <x:v>-0.003463541077503318</x:v>
      </x:c>
      <x:c r="J65" s="31" t="n">
        <x:f>(H65-G65)/2*(F65+D65)</x:f>
        <x:v>0.06073185630760877</x:v>
      </x:c>
      <x:c r="K65" s="31" t="n">
        <x:f>(G65+H65)/2*(MAX(0,F65-$B$3)-MIN(100,D65+$B$3))</x:f>
        <x:v>-0.003778408448185422</x:v>
      </x:c>
      <x:c r="L65" s="31" t="n">
        <x:f>(G65+H65)/2*(MIN(100,F65+$B$3)-MAX(0,D65-$B$3))</x:f>
        <x:v>-0.0031486737068212147</x:v>
      </x:c>
      <x:c r="M65" s="31" t="n">
        <x:f>IF(H65&gt;=G65,(H65-G65)/2*(MAX(0,D65-$B$3)+MAX(0,F65-$B$3)),(H65-G65)/2*(MIN(100,D65+$B$3)+MIN(100,F65+$B$3)))</x:f>
        <x:v>0.06069705295155857</x:v>
      </x:c>
      <x:c r="N65" s="31" t="n">
        <x:f>IF(H65&gt;=G65,(H65-G65)/2*(MIN(100,D65+$B$3)+MIN(100,F65+$B$3)),(H65-G65)/2*(MAX(0,D65-$B$3)+MAX(0,F65-$B$3)))</x:f>
        <x:v>0.060766659663658976</x:v>
      </x:c>
      <x:c r="O65" s="13" t="str">
        <x:v>I03 GP_Code!P2621/U2621; I04 Table_1!P727/U727</x:v>
      </x:c>
    </x:row>
    <x:row r="66" ht="24" customHeight="1">
      <x:c r="A66" s="13" t="str">
        <x:v>QHL</x:v>
      </x:c>
      <x:c r="B66" s="13" t="str">
        <x:v>M85043</x:v>
      </x:c>
      <x:c r="C66" s="13" t="n">
        <x:f>D401</x:f>
        <x:v>53</x:v>
      </x:c>
      <x:c r="D66" s="30" t="n">
        <x:f>E401</x:f>
        <x:v>77.4</x:v>
      </x:c>
      <x:c r="E66" s="13" t="n">
        <x:f>D768</x:f>
        <x:v>59</x:v>
      </x:c>
      <x:c r="F66" s="30" t="n">
        <x:f>E768</x:f>
        <x:v>66.1</x:v>
      </x:c>
      <x:c r="G66" s="31" t="n">
        <x:f>C66/$C$22</x:f>
        <x:v>0.0030292638317329676</x:v>
      </x:c>
      <x:c r="H66" s="31" t="n">
        <x:f>E66/$D$22</x:f>
        <x:v>0.0034384288128678827</x:v>
      </x:c>
      <x:c r="I66" s="31" t="n">
        <x:f>(G66+H66)/2*(F66-D66)</x:f>
        <x:v>-0.03654246344199484</x:v>
      </x:c>
      <x:c r="J66" s="31" t="n">
        <x:f>(H66-G66)/2*(F66+D66)</x:f>
        <x:v>0.02935758739643016</x:v>
      </x:c>
      <x:c r="K66" s="31" t="n">
        <x:f>(G66+H66)/2*(MAX(0,F66-$B$3)-MIN(100,D66+$B$3))</x:f>
        <x:v>-0.03686584807422487</x:v>
      </x:c>
      <x:c r="L66" s="31" t="n">
        <x:f>(G66+H66)/2*(MIN(100,F66+$B$3)-MAX(0,D66-$B$3))</x:f>
        <x:v>-0.03621907880976482</x:v>
      </x:c>
      <x:c r="M66" s="31" t="n">
        <x:f>IF(H66&gt;=G66,(H66-G66)/2*(MAX(0,D66-$B$3)+MAX(0,F66-$B$3)),(H66-G66)/2*(MIN(100,D66+$B$3)+MIN(100,F66+$B$3)))</x:f>
        <x:v>0.029337129147373416</x:v>
      </x:c>
      <x:c r="N66" s="31" t="n">
        <x:f>IF(H66&gt;=G66,(H66-G66)/2*(MIN(100,D66+$B$3)+MIN(100,F66+$B$3)),(H66-G66)/2*(MAX(0,D66-$B$3)+MAX(0,F66-$B$3)))</x:f>
        <x:v>0.029378045645486905</x:v>
      </x:c>
      <x:c r="O66" s="13" t="str">
        <x:v>I03 GP_Code!P2622/U2622; I04 Table_1!P728/U728</x:v>
      </x:c>
    </x:row>
    <x:row r="67" ht="24" customHeight="1">
      <x:c r="A67" s="13" t="str">
        <x:v>QHL</x:v>
      </x:c>
      <x:c r="B67" s="13" t="str">
        <x:v>M85046</x:v>
      </x:c>
      <x:c r="C67" s="13" t="n">
        <x:f>D402</x:f>
        <x:v>616</x:v>
      </x:c>
      <x:c r="D67" s="30" t="n">
        <x:f>E402</x:f>
        <x:v>86.5</x:v>
      </x:c>
      <x:c r="E67" s="13" t="n">
        <x:f>D769</x:f>
        <x:v>582</x:v>
      </x:c>
      <x:c r="F67" s="30" t="n">
        <x:f>E769</x:f>
        <x:v>89.5</x:v>
      </x:c>
      <x:c r="G67" s="31" t="n">
        <x:f>C67/$C$22</x:f>
        <x:v>0.035208047553726564</x:v>
      </x:c>
      <x:c r="H67" s="31" t="n">
        <x:f>E67/$D$22</x:f>
        <x:v>0.03391806049303572</x:v>
      </x:c>
      <x:c r="I67" s="31" t="n">
        <x:f>(G67+H67)/2*(F67-D67)</x:f>
        <x:v>0.10368916207014342</x:v>
      </x:c>
      <x:c r="J67" s="31" t="n">
        <x:f>(H67-G67)/2*(F67+D67)</x:f>
        <x:v>-0.11351886134079398</x:v>
      </x:c>
      <x:c r="K67" s="31" t="n">
        <x:f>(G67+H67)/2*(MAX(0,F67-$B$3)-MIN(100,D67+$B$3))</x:f>
        <x:v>0.1002328566678055</x:v>
      </x:c>
      <x:c r="L67" s="31" t="n">
        <x:f>(G67+H67)/2*(MIN(100,F67+$B$3)-MAX(0,D67-$B$3))</x:f>
        <x:v>0.10714546747248134</x:v>
      </x:c>
      <x:c r="M67" s="31" t="n">
        <x:f>IF(H67&gt;=G67,(H67-G67)/2*(MAX(0,D67-$B$3)+MAX(0,F67-$B$3)),(H67-G67)/2*(MIN(100,D67+$B$3)+MIN(100,F67+$B$3)))</x:f>
        <x:v>-0.11358336069382852</x:v>
      </x:c>
      <x:c r="N67" s="31" t="n">
        <x:f>IF(H67&gt;=G67,(H67-G67)/2*(MIN(100,D67+$B$3)+MIN(100,F67+$B$3)),(H67-G67)/2*(MAX(0,D67-$B$3)+MAX(0,F67-$B$3)))</x:f>
        <x:v>-0.11345436198775943</x:v>
      </x:c>
      <x:c r="O67" s="13" t="str">
        <x:v>I03 GP_Code!P2623/U2623; I04 Table_1!P729/U729</x:v>
      </x:c>
    </x:row>
    <x:row r="68" ht="24" customHeight="1">
      <x:c r="A68" s="13" t="str">
        <x:v>QHL</x:v>
      </x:c>
      <x:c r="B68" s="13" t="str">
        <x:v>M85047</x:v>
      </x:c>
      <x:c r="C68" s="13" t="n">
        <x:f>D403</x:f>
        <x:v>75</x:v>
      </x:c>
      <x:c r="D68" s="30" t="n">
        <x:f>E403</x:f>
        <x:v>26.7</x:v>
      </x:c>
      <x:c r="E68" s="13" t="n">
        <x:f>D770</x:f>
        <x:v>69</x:v>
      </x:c>
      <x:c r="F68" s="30" t="n">
        <x:f>E770</x:f>
        <x:v>75.4</x:v>
      </x:c>
      <x:c r="G68" s="31" t="n">
        <x:f>C68/$C$22</x:f>
        <x:v>0.0042866941015089165</x:v>
      </x:c>
      <x:c r="H68" s="31" t="n">
        <x:f>E68/$D$22</x:f>
        <x:v>0.0040212133574217615</x:v>
      </x:c>
      <x:c r="I68" s="31" t="n">
        <x:f>(G68+H68)/2*(F68-D68)</x:f>
        <x:v>0.20229754662496202</x:v>
      </x:c>
      <x:c r="J68" s="31" t="n">
        <x:f>(H68-G68)/2*(F68+D68)</x:f>
        <x:v>-0.013552791985649262</x:v>
      </x:c>
      <x:c r="K68" s="31" t="n">
        <x:f>(G68+H68)/2*(MAX(0,F68-$B$3)-MIN(100,D68+$B$3))</x:f>
        <x:v>0.2018821512520155</x:v>
      </x:c>
      <x:c r="L68" s="31" t="n">
        <x:f>(G68+H68)/2*(MIN(100,F68+$B$3)-MAX(0,D68-$B$3))</x:f>
        <x:v>0.20271294199790857</x:v>
      </x:c>
      <x:c r="M68" s="31" t="n">
        <x:f>IF(H68&gt;=G68,(H68-G68)/2*(MAX(0,D68-$B$3)+MAX(0,F68-$B$3)),(H68-G68)/2*(MIN(100,D68+$B$3)+MIN(100,F68+$B$3)))</x:f>
        <x:v>-0.01356606602285362</x:v>
      </x:c>
      <x:c r="N68" s="31" t="n">
        <x:f>IF(H68&gt;=G68,(H68-G68)/2*(MIN(100,D68+$B$3)+MIN(100,F68+$B$3)),(H68-G68)/2*(MAX(0,D68-$B$3)+MAX(0,F68-$B$3)))</x:f>
        <x:v>-0.013539517948444903</x:v>
      </x:c>
      <x:c r="O68" s="13" t="str">
        <x:v>I03 GP_Code!P2624/U2624; I04 Table_1!P730/U730</x:v>
      </x:c>
    </x:row>
    <x:row r="69" ht="24" customHeight="1">
      <x:c r="A69" s="13" t="str">
        <x:v>QHL</x:v>
      </x:c>
      <x:c r="B69" s="13" t="str">
        <x:v>M85048</x:v>
      </x:c>
      <x:c r="C69" s="13" t="n">
        <x:f>D404</x:f>
        <x:v>121</x:v>
      </x:c>
      <x:c r="D69" s="30" t="n">
        <x:f>E404</x:f>
        <x:v>66.9</x:v>
      </x:c>
      <x:c r="E69" s="13" t="n">
        <x:f>D771</x:f>
        <x:v>127</x:v>
      </x:c>
      <x:c r="F69" s="30" t="n">
        <x:f>E771</x:f>
        <x:v>74</x:v>
      </x:c>
      <x:c r="G69" s="31" t="n">
        <x:f>C69/$C$22</x:f>
        <x:v>0.006915866483767718</x:v>
      </x:c>
      <x:c r="H69" s="31" t="n">
        <x:f>E69/$D$22</x:f>
        <x:v>0.007401363715834256</x:v>
      </x:c>
      <x:c r="I69" s="31" t="n">
        <x:f>(G69+H69)/2*(F69-D69)</x:f>
        <x:v>0.050826167208586966</x:v>
      </x:c>
      <x:c r="J69" s="31" t="n">
        <x:f>(H69-G69)/2*(F69+D69)</x:f>
        <x:v>0.03420327999908757</x:v>
      </x:c>
      <x:c r="K69" s="31" t="n">
        <x:f>(G69+H69)/2*(MAX(0,F69-$B$3)-MIN(100,D69+$B$3))</x:f>
        <x:v>0.05011030569860691</x:v>
      </x:c>
      <x:c r="L69" s="31" t="n">
        <x:f>(G69+H69)/2*(MIN(100,F69+$B$3)-MAX(0,D69-$B$3))</x:f>
        <x:v>0.05154202871856702</x:v>
      </x:c>
      <x:c r="M69" s="31" t="n">
        <x:f>IF(H69&gt;=G69,(H69-G69)/2*(MAX(0,D69-$B$3)+MAX(0,F69-$B$3)),(H69-G69)/2*(MIN(100,D69+$B$3)+MIN(100,F69+$B$3)))</x:f>
        <x:v>0.034179005137484245</x:v>
      </x:c>
      <x:c r="N69" s="31" t="n">
        <x:f>IF(H69&gt;=G69,(H69-G69)/2*(MIN(100,D69+$B$3)+MIN(100,F69+$B$3)),(H69-G69)/2*(MAX(0,D69-$B$3)+MAX(0,F69-$B$3)))</x:f>
        <x:v>0.034227554860690894</x:v>
      </x:c>
      <x:c r="O69" s="13" t="str">
        <x:v>I03 GP_Code!P2625/U2625; I04 Table_1!P731/U731</x:v>
      </x:c>
    </x:row>
    <x:row r="70" ht="24" customHeight="1">
      <x:c r="A70" s="13" t="str">
        <x:v>QHL</x:v>
      </x:c>
      <x:c r="B70" s="13" t="str">
        <x:v>M85051</x:v>
      </x:c>
      <x:c r="C70" s="13" t="n">
        <x:f>D405</x:f>
        <x:v>80</x:v>
      </x:c>
      <x:c r="D70" s="30" t="n">
        <x:f>E405</x:f>
        <x:v>76.3</x:v>
      </x:c>
      <x:c r="E70" s="13" t="n">
        <x:f>D772</x:f>
        <x:v>98</x:v>
      </x:c>
      <x:c r="F70" s="30" t="n">
        <x:f>E772</x:f>
        <x:v>70.4</x:v>
      </x:c>
      <x:c r="G70" s="31" t="n">
        <x:f>C70/$C$22</x:f>
        <x:v>0.004572473708276178</x:v>
      </x:c>
      <x:c r="H70" s="31" t="n">
        <x:f>E70/$D$22</x:f>
        <x:v>0.005711288536628009</x:v>
      </x:c>
      <x:c r="I70" s="31" t="n">
        <x:f>(G70+H70)/2*(F70-D70)</x:f>
        <x:v>-0.030337098622467303</x:v>
      </x:c>
      <x:c r="J70" s="31" t="n">
        <x:f>(H70-G70)/2*(F70+D70)</x:f>
        <x:v>0.08353206765960679</x:v>
      </x:c>
      <x:c r="K70" s="31" t="n">
        <x:f>(G70+H70)/2*(MAX(0,F70-$B$3)-MIN(100,D70+$B$3))</x:f>
        <x:v>-0.030851286734712484</x:v>
      </x:c>
      <x:c r="L70" s="31" t="n">
        <x:f>(G70+H70)/2*(MIN(100,F70+$B$3)-MAX(0,D70-$B$3))</x:f>
        <x:v>-0.029822910510222123</x:v>
      </x:c>
      <x:c r="M70" s="31" t="n">
        <x:f>IF(H70&gt;=G70,(H70-G70)/2*(MAX(0,D70-$B$3)+MAX(0,F70-$B$3)),(H70-G70)/2*(MIN(100,D70+$B$3)+MIN(100,F70+$B$3)))</x:f>
        <x:v>0.08347512691818922</x:v>
      </x:c>
      <x:c r="N70" s="31" t="n">
        <x:f>IF(H70&gt;=G70,(H70-G70)/2*(MIN(100,D70+$B$3)+MIN(100,F70+$B$3)),(H70-G70)/2*(MAX(0,D70-$B$3)+MAX(0,F70-$B$3)))</x:f>
        <x:v>0.08358900840102439</x:v>
      </x:c>
      <x:c r="O70" s="13" t="str">
        <x:v>I03 GP_Code!P2626/U2626; I04 Table_1!P732/U732</x:v>
      </x:c>
    </x:row>
    <x:row r="71" ht="24" customHeight="1">
      <x:c r="A71" s="13" t="str">
        <x:v>QHL</x:v>
      </x:c>
      <x:c r="B71" s="13" t="str">
        <x:v>M85053</x:v>
      </x:c>
      <x:c r="C71" s="13" t="n">
        <x:f>D406</x:f>
        <x:v>116</x:v>
      </x:c>
      <x:c r="D71" s="30" t="n">
        <x:f>E406</x:f>
        <x:v>70.7</x:v>
      </x:c>
      <x:c r="E71" s="13" t="n">
        <x:f>D773</x:f>
        <x:v>106</x:v>
      </x:c>
      <x:c r="F71" s="30" t="n">
        <x:f>E773</x:f>
        <x:v>64.2</x:v>
      </x:c>
      <x:c r="G71" s="31" t="n">
        <x:f>C71/$C$22</x:f>
        <x:v>0.006630086877000457</x:v>
      </x:c>
      <x:c r="H71" s="31" t="n">
        <x:f>E71/$D$22</x:f>
        <x:v>0.0061775161722711115</x:v>
      </x:c>
      <x:c r="I71" s="31" t="n">
        <x:f>(G71+H71)/2*(F71-D71)</x:f>
        <x:v>-0.0416247099101326</x:v>
      </x:c>
      <x:c r="J71" s="31" t="n">
        <x:f>(H71-G71)/2*(F71+D71)</x:f>
        <x:v>-0.03052589403399435</x:v>
      </x:c>
      <x:c r="K71" s="31" t="n">
        <x:f>(G71+H71)/2*(MAX(0,F71-$B$3)-MIN(100,D71+$B$3))</x:f>
        <x:v>-0.04226509006259614</x:v>
      </x:c>
      <x:c r="L71" s="31" t="n">
        <x:f>(G71+H71)/2*(MIN(100,F71+$B$3)-MAX(0,D71-$B$3))</x:f>
        <x:v>-0.04098432975766905</x:v>
      </x:c>
      <x:c r="M71" s="31" t="n">
        <x:f>IF(H71&gt;=G71,(H71-G71)/2*(MAX(0,D71-$B$3)+MAX(0,F71-$B$3)),(H71-G71)/2*(MIN(100,D71+$B$3)+MIN(100,F71+$B$3)))</x:f>
        <x:v>-0.030548522569230817</x:v>
      </x:c>
      <x:c r="N71" s="31" t="n">
        <x:f>IF(H71&gt;=G71,(H71-G71)/2*(MIN(100,D71+$B$3)+MIN(100,F71+$B$3)),(H71-G71)/2*(MAX(0,D71-$B$3)+MAX(0,F71-$B$3)))</x:f>
        <x:v>-0.030503265498757884</x:v>
      </x:c>
      <x:c r="O71" s="13" t="str">
        <x:v>I03 GP_Code!P2627/U2627; I04 Table_1!P733/U733</x:v>
      </x:c>
    </x:row>
    <x:row r="72" ht="24" customHeight="1">
      <x:c r="A72" s="13" t="str">
        <x:v>QHL</x:v>
      </x:c>
      <x:c r="B72" s="13" t="str">
        <x:v>M85055</x:v>
      </x:c>
      <x:c r="C72" s="13" t="n">
        <x:f>D407</x:f>
        <x:v>83</x:v>
      </x:c>
      <x:c r="D72" s="30" t="n">
        <x:f>E407</x:f>
        <x:v>71.1</x:v>
      </x:c>
      <x:c r="E72" s="13" t="n">
        <x:f>D774</x:f>
        <x:v>73</x:v>
      </x:c>
      <x:c r="F72" s="30" t="n">
        <x:f>E774</x:f>
        <x:v>78.1</x:v>
      </x:c>
      <x:c r="G72" s="31" t="n">
        <x:f>C72/$C$22</x:f>
        <x:v>0.004743941472336534</x:v>
      </x:c>
      <x:c r="H72" s="31" t="n">
        <x:f>E72/$D$22</x:f>
        <x:v>0.0042543271752433125</x:v>
      </x:c>
      <x:c r="I72" s="31" t="n">
        <x:f>(G72+H72)/2*(F72-D72)</x:f>
        <x:v>0.03149394026652946</x:v>
      </x:c>
      <x:c r="J72" s="31" t="n">
        <x:f>(H72-G72)/2*(F72+D72)</x:f>
        <x:v>-0.03652522656315434</x:v>
      </x:c>
      <x:c r="K72" s="31" t="n">
        <x:f>(G72+H72)/2*(MAX(0,F72-$B$3)-MIN(100,D72+$B$3))</x:f>
        <x:v>0.0310440268341505</x:v>
      </x:c>
      <x:c r="L72" s="31" t="n">
        <x:f>(G72+H72)/2*(MIN(100,F72+$B$3)-MAX(0,D72-$B$3))</x:f>
        <x:v>0.03194385369890843</x:v>
      </x:c>
      <x:c r="M72" s="31" t="n">
        <x:f>IF(H72&gt;=G72,(H72-G72)/2*(MAX(0,D72-$B$3)+MAX(0,F72-$B$3)),(H72-G72)/2*(MIN(100,D72+$B$3)+MIN(100,F72+$B$3)))</x:f>
        <x:v>-0.036549707278009</x:v>
      </x:c>
      <x:c r="N72" s="31" t="n">
        <x:f>IF(H72&gt;=G72,(H72-G72)/2*(MIN(100,D72+$B$3)+MIN(100,F72+$B$3)),(H72-G72)/2*(MAX(0,D72-$B$3)+MAX(0,F72-$B$3)))</x:f>
        <x:v>-0.03650074584829968</x:v>
      </x:c>
      <x:c r="O72" s="13" t="str">
        <x:v>I03 GP_Code!P2628/U2628; I04 Table_1!P734/U734</x:v>
      </x:c>
    </x:row>
    <x:row r="73" ht="24" customHeight="1">
      <x:c r="A73" s="13" t="str">
        <x:v>QHL</x:v>
      </x:c>
      <x:c r="B73" s="13" t="str">
        <x:v>M85056</x:v>
      </x:c>
      <x:c r="C73" s="13" t="n">
        <x:f>D408</x:f>
        <x:v>90</x:v>
      </x:c>
      <x:c r="D73" s="30" t="n">
        <x:f>E408</x:f>
        <x:v>74.4</x:v>
      </x:c>
      <x:c r="E73" s="13" t="n">
        <x:f>D775</x:f>
        <x:v>96</x:v>
      </x:c>
      <x:c r="F73" s="30" t="n">
        <x:f>E775</x:f>
        <x:v>81.2</x:v>
      </x:c>
      <x:c r="G73" s="31" t="n">
        <x:f>C73/$C$22</x:f>
        <x:v>0.0051440329218107</x:v>
      </x:c>
      <x:c r="H73" s="31" t="n">
        <x:f>E73/$D$22</x:f>
        <x:v>0.005594731627717233</x:v>
      </x:c>
      <x:c r="I73" s="31" t="n">
        <x:f>(G73+H73)/2*(F73-D73)</x:f>
        <x:v>0.03651179946839495</x:v>
      </x:c>
      <x:c r="J73" s="31" t="n">
        <x:f>(H73-G73)/2*(F73+D73)</x:f>
        <x:v>0.03506435931952828</x:v>
      </x:c>
      <x:c r="K73" s="31" t="n">
        <x:f>(G73+H73)/2*(MAX(0,F73-$B$3)-MIN(100,D73+$B$3))</x:f>
        <x:v>0.03597486124091859</x:v>
      </x:c>
      <x:c r="L73" s="31" t="n">
        <x:f>(G73+H73)/2*(MIN(100,F73+$B$3)-MAX(0,D73-$B$3))</x:f>
        <x:v>0.03704873769587132</x:v>
      </x:c>
      <x:c r="M73" s="31" t="n">
        <x:f>IF(H73&gt;=G73,(H73-G73)/2*(MAX(0,D73-$B$3)+MAX(0,F73-$B$3)),(H73-G73)/2*(MIN(100,D73+$B$3)+MIN(100,F73+$B$3)))</x:f>
        <x:v>0.03504182438423295</x:v>
      </x:c>
      <x:c r="N73" s="31" t="n">
        <x:f>IF(H73&gt;=G73,(H73-G73)/2*(MIN(100,D73+$B$3)+MIN(100,F73+$B$3)),(H73-G73)/2*(MAX(0,D73-$B$3)+MAX(0,F73-$B$3)))</x:f>
        <x:v>0.0350868942548236</x:v>
      </x:c>
      <x:c r="O73" s="13" t="str">
        <x:v>I03 GP_Code!P2629/U2629; I04 Table_1!P735/U735</x:v>
      </x:c>
    </x:row>
    <x:row r="74" ht="24" customHeight="1">
      <x:c r="A74" s="13" t="str">
        <x:v>QHL</x:v>
      </x:c>
      <x:c r="B74" s="13" t="str">
        <x:v>M85058</x:v>
      </x:c>
      <x:c r="C74" s="13" t="n">
        <x:f>D409</x:f>
        <x:v>175</x:v>
      </x:c>
      <x:c r="D74" s="30" t="n">
        <x:f>E409</x:f>
        <x:v>70.9</x:v>
      </x:c>
      <x:c r="E74" s="13" t="n">
        <x:f>D776</x:f>
        <x:v>162</x:v>
      </x:c>
      <x:c r="F74" s="30" t="n">
        <x:f>E776</x:f>
        <x:v>75.3</x:v>
      </x:c>
      <x:c r="G74" s="31" t="n">
        <x:f>C74/$C$22</x:f>
        <x:v>0.010002286236854138</x:v>
      </x:c>
      <x:c r="H74" s="31" t="n">
        <x:f>E74/$D$22</x:f>
        <x:v>0.00944110962177283</x:v>
      </x:c>
      <x:c r="I74" s="31" t="n">
        <x:f>(G74+H74)/2*(F74-D74)</x:f>
        <x:v>0.042775470888979254</x:v>
      </x:c>
      <x:c r="J74" s="31" t="n">
        <x:f>(H74-G74)/2*(F74+D74)</x:f>
        <x:v>-0.04102201056244355</x:v>
      </x:c>
      <x:c r="K74" s="31" t="n">
        <x:f>(G74+H74)/2*(MAX(0,F74-$B$3)-MIN(100,D74+$B$3))</x:f>
        <x:v>0.041803301096047955</x:v>
      </x:c>
      <x:c r="L74" s="31" t="n">
        <x:f>(G74+H74)/2*(MIN(100,F74+$B$3)-MAX(0,D74-$B$3))</x:f>
        <x:v>0.043747640681910546</x:v>
      </x:c>
      <x:c r="M74" s="31" t="n">
        <x:f>IF(H74&gt;=G74,(H74-G74)/2*(MAX(0,D74-$B$3)+MAX(0,F74-$B$3)),(H74-G74)/2*(MIN(100,D74+$B$3)+MIN(100,F74+$B$3)))</x:f>
        <x:v>-0.041050069393197615</x:v>
      </x:c>
      <x:c r="N74" s="31" t="n">
        <x:f>IF(H74&gt;=G74,(H74-G74)/2*(MIN(100,D74+$B$3)+MIN(100,F74+$B$3)),(H74-G74)/2*(MAX(0,D74-$B$3)+MAX(0,F74-$B$3)))</x:f>
        <x:v>-0.04099395173168949</x:v>
      </x:c>
      <x:c r="O74" s="13" t="str">
        <x:v>I03 GP_Code!P2630/U2630; I04 Table_1!P736/U736</x:v>
      </x:c>
    </x:row>
    <x:row r="75" ht="24" customHeight="1">
      <x:c r="A75" s="13" t="str">
        <x:v>QHL</x:v>
      </x:c>
      <x:c r="B75" s="13" t="str">
        <x:v>M85060</x:v>
      </x:c>
      <x:c r="C75" s="13" t="n">
        <x:f>D410</x:f>
        <x:v>128</x:v>
      </x:c>
      <x:c r="D75" s="30" t="n">
        <x:f>E410</x:f>
        <x:v>86.7</x:v>
      </x:c>
      <x:c r="E75" s="13" t="n">
        <x:f>D777</x:f>
        <x:v>186</x:v>
      </x:c>
      <x:c r="F75" s="30" t="n">
        <x:f>E777</x:f>
        <x:v>83.3</x:v>
      </x:c>
      <x:c r="G75" s="31" t="n">
        <x:f>C75/$C$22</x:f>
        <x:v>0.007315957933241884</x:v>
      </x:c>
      <x:c r="H75" s="31" t="n">
        <x:f>E75/$D$22</x:f>
        <x:v>0.010839792528702138</x:v>
      </x:c>
      <x:c r="I75" s="31" t="n">
        <x:f>(G75+H75)/2*(F75-D75)</x:f>
        <x:v>-0.03086477578530489</x:v>
      </x:c>
      <x:c r="J75" s="31" t="n">
        <x:f>(H75-G75)/2*(F75+D75)</x:f>
        <x:v>0.2995259406141217</x:v>
      </x:c>
      <x:c r="K75" s="31" t="n">
        <x:f>(G75+H75)/2*(MAX(0,F75-$B$3)-MIN(100,D75+$B$3))</x:f>
        <x:v>-0.031772563308402044</x:v>
      </x:c>
      <x:c r="L75" s="31" t="n">
        <x:f>(G75+H75)/2*(MIN(100,F75+$B$3)-MAX(0,D75-$B$3))</x:f>
        <x:v>-0.029956988262207742</x:v>
      </x:c>
      <x:c r="M75" s="31" t="n">
        <x:f>IF(H75&gt;=G75,(H75-G75)/2*(MAX(0,D75-$B$3)+MAX(0,F75-$B$3)),(H75-G75)/2*(MIN(100,D75+$B$3)+MIN(100,F75+$B$3)))</x:f>
        <x:v>0.2993497488843487</x:v>
      </x:c>
      <x:c r="N75" s="31" t="n">
        <x:f>IF(H75&gt;=G75,(H75-G75)/2*(MIN(100,D75+$B$3)+MIN(100,F75+$B$3)),(H75-G75)/2*(MAX(0,D75-$B$3)+MAX(0,F75-$B$3)))</x:f>
        <x:v>0.29970213234389464</x:v>
      </x:c>
      <x:c r="O75" s="13" t="str">
        <x:v>I03 GP_Code!P2631/U2631; I04 Table_1!P737/U737</x:v>
      </x:c>
    </x:row>
    <x:row r="76" ht="24" customHeight="1">
      <x:c r="A76" s="13" t="str">
        <x:v>QHL</x:v>
      </x:c>
      <x:c r="B76" s="13" t="str">
        <x:v>M85061</x:v>
      </x:c>
      <x:c r="C76" s="13" t="n">
        <x:f>D411</x:f>
        <x:v>151</x:v>
      </x:c>
      <x:c r="D76" s="30" t="n">
        <x:f>E411</x:f>
        <x:v>62.3</x:v>
      </x:c>
      <x:c r="E76" s="13" t="n">
        <x:f>D778</x:f>
        <x:v>155</x:v>
      </x:c>
      <x:c r="F76" s="30" t="n">
        <x:f>E778</x:f>
        <x:v>67.7</x:v>
      </x:c>
      <x:c r="G76" s="31" t="n">
        <x:f>C76/$C$22</x:f>
        <x:v>0.008630544124371285</x:v>
      </x:c>
      <x:c r="H76" s="31" t="n">
        <x:f>E76/$D$22</x:f>
        <x:v>0.009033160440585115</x:v>
      </x:c>
      <x:c r="I76" s="31" t="n">
        <x:f>(G76+H76)/2*(F76-D76)</x:f>
        <x:v>0.04769200232538233</x:v>
      </x:c>
      <x:c r="J76" s="31" t="n">
        <x:f>(H76-G76)/2*(F76+D76)</x:f>
        <x:v>0.02617006055389901</x:v>
      </x:c>
      <x:c r="K76" s="31" t="n">
        <x:f>(G76+H76)/2*(MAX(0,F76-$B$3)-MIN(100,D76+$B$3))</x:f>
        <x:v>0.04680881709713456</x:v>
      </x:c>
      <x:c r="L76" s="31" t="n">
        <x:f>(G76+H76)/2*(MIN(100,F76+$B$3)-MAX(0,D76-$B$3))</x:f>
        <x:v>0.0485751875536301</x:v>
      </x:c>
      <x:c r="M76" s="31" t="n">
        <x:f>IF(H76&gt;=G76,(H76-G76)/2*(MAX(0,D76-$B$3)+MAX(0,F76-$B$3)),(H76-G76)/2*(MIN(100,D76+$B$3)+MIN(100,F76+$B$3)))</x:f>
        <x:v>0.02614992973808832</x:v>
      </x:c>
      <x:c r="N76" s="31" t="n">
        <x:f>IF(H76&gt;=G76,(H76-G76)/2*(MIN(100,D76+$B$3)+MIN(100,F76+$B$3)),(H76-G76)/2*(MAX(0,D76-$B$3)+MAX(0,F76-$B$3)))</x:f>
        <x:v>0.0261901913697097</x:v>
      </x:c>
      <x:c r="O76" s="13" t="str">
        <x:v>I03 GP_Code!P2632/U2632; I04 Table_1!P738/U738</x:v>
      </x:c>
    </x:row>
    <x:row r="77" ht="24" customHeight="1">
      <x:c r="A77" s="13" t="str">
        <x:v>QHL</x:v>
      </x:c>
      <x:c r="B77" s="13" t="str">
        <x:v>M85062</x:v>
      </x:c>
      <x:c r="C77" s="13" t="n">
        <x:f>D412</x:f>
        <x:v>65</x:v>
      </x:c>
      <x:c r="D77" s="30" t="n">
        <x:f>E412</x:f>
        <x:v>69.2</x:v>
      </x:c>
      <x:c r="E77" s="13" t="n">
        <x:f>D779</x:f>
        <x:v>69</x:v>
      </x:c>
      <x:c r="F77" s="30" t="n">
        <x:f>E779</x:f>
        <x:v>69.6</x:v>
      </x:c>
      <x:c r="G77" s="31" t="n">
        <x:f>C77/$C$22</x:f>
        <x:v>0.0037151348879743942</x:v>
      </x:c>
      <x:c r="H77" s="31" t="n">
        <x:f>E77/$D$22</x:f>
        <x:v>0.0040212133574217615</x:v>
      </x:c>
      <x:c r="I77" s="31" t="n">
        <x:f>(G77+H77)/2*(F77-D77)</x:f>
        <x:v>0.0015472696490791981</x:v>
      </x:c>
      <x:c r="J77" s="31" t="n">
        <x:f>(H77-G77)/2*(F77+D77)</x:f>
        <x:v>0.02124184577964729</x:v>
      </x:c>
      <x:c r="K77" s="31" t="n">
        <x:f>(G77+H77)/2*(MAX(0,F77-$B$3)-MIN(100,D77+$B$3))</x:f>
        <x:v>0.0011604522368094123</x:v>
      </x:c>
      <x:c r="L77" s="31" t="n">
        <x:f>(G77+H77)/2*(MIN(100,F77+$B$3)-MAX(0,D77-$B$3))</x:f>
        <x:v>0.0019340870613489838</x:v>
      </x:c>
      <x:c r="M77" s="31" t="n">
        <x:f>IF(H77&gt;=G77,(H77-G77)/2*(MAX(0,D77-$B$3)+MAX(0,F77-$B$3)),(H77-G77)/2*(MIN(100,D77+$B$3)+MIN(100,F77+$B$3)))</x:f>
        <x:v>0.021226541856174917</x:v>
      </x:c>
      <x:c r="N77" s="31" t="n">
        <x:f>IF(H77&gt;=G77,(H77-G77)/2*(MIN(100,D77+$B$3)+MIN(100,F77+$B$3)),(H77-G77)/2*(MAX(0,D77-$B$3)+MAX(0,F77-$B$3)))</x:f>
        <x:v>0.021257149703119652</x:v>
      </x:c>
      <x:c r="O77" s="13" t="str">
        <x:v>I03 GP_Code!P2633/U2633; I04 Table_1!P739/U739</x:v>
      </x:c>
    </x:row>
    <x:row r="78" ht="24" customHeight="1">
      <x:c r="A78" s="13" t="str">
        <x:v>QHL</x:v>
      </x:c>
      <x:c r="B78" s="13" t="str">
        <x:v>M85063</x:v>
      </x:c>
      <x:c r="C78" s="13" t="n">
        <x:f>D413</x:f>
        <x:v>630</x:v>
      </x:c>
      <x:c r="D78" s="30" t="n">
        <x:f>E413</x:f>
        <x:v>82.5</x:v>
      </x:c>
      <x:c r="E78" s="13" t="n">
        <x:f>D780</x:f>
        <x:v>640</x:v>
      </x:c>
      <x:c r="F78" s="30" t="n">
        <x:f>E780</x:f>
        <x:v>76.9</x:v>
      </x:c>
      <x:c r="G78" s="31" t="n">
        <x:f>C78/$C$22</x:f>
        <x:v>0.0360082304526749</x:v>
      </x:c>
      <x:c r="H78" s="31" t="n">
        <x:f>E78/$D$22</x:f>
        <x:v>0.03729821085144822</x:v>
      </x:c>
      <x:c r="I78" s="31" t="n">
        <x:f>(G78+H78)/2*(F78-D78)</x:f>
        <x:v>-0.20525803565154452</x:v>
      </x:c>
      <x:c r="J78" s="31" t="n">
        <x:f>(H78-G78)/2*(F78+D78)</x:f>
        <x:v>0.10281143778223385</x:v>
      </x:c>
      <x:c r="K78" s="31" t="n">
        <x:f>(G78+H78)/2*(MAX(0,F78-$B$3)-MIN(100,D78+$B$3))</x:f>
        <x:v>-0.20892335771675047</x:v>
      </x:c>
      <x:c r="L78" s="31" t="n">
        <x:f>(G78+H78)/2*(MIN(100,F78+$B$3)-MAX(0,D78-$B$3))</x:f>
        <x:v>-0.20159271358633857</x:v>
      </x:c>
      <x:c r="M78" s="31" t="n">
        <x:f>IF(H78&gt;=G78,(H78-G78)/2*(MAX(0,D78-$B$3)+MAX(0,F78-$B$3)),(H78-G78)/2*(MIN(100,D78+$B$3)+MIN(100,F78+$B$3)))</x:f>
        <x:v>0.10274693876229518</x:v>
      </x:c>
      <x:c r="N78" s="31" t="n">
        <x:f>IF(H78&gt;=G78,(H78-G78)/2*(MIN(100,D78+$B$3)+MIN(100,F78+$B$3)),(H78-G78)/2*(MAX(0,D78-$B$3)+MAX(0,F78-$B$3)))</x:f>
        <x:v>0.10287593680217251</x:v>
      </x:c>
      <x:c r="O78" s="13" t="str">
        <x:v>I03 GP_Code!P2634/U2634; I04 Table_1!P740/U740</x:v>
      </x:c>
    </x:row>
    <x:row r="79" ht="24" customHeight="1">
      <x:c r="A79" s="13" t="str">
        <x:v>QHL</x:v>
      </x:c>
      <x:c r="B79" s="13" t="str">
        <x:v>M85065</x:v>
      </x:c>
      <x:c r="C79" s="13" t="n">
        <x:f>D414</x:f>
        <x:v>182</x:v>
      </x:c>
      <x:c r="D79" s="30" t="n">
        <x:f>E414</x:f>
        <x:v>81.3</x:v>
      </x:c>
      <x:c r="E79" s="13" t="n">
        <x:f>D781</x:f>
        <x:v>169</x:v>
      </x:c>
      <x:c r="F79" s="30" t="n">
        <x:f>E781</x:f>
        <x:v>77.5</x:v>
      </x:c>
      <x:c r="G79" s="31" t="n">
        <x:f>C79/$C$22</x:f>
        <x:v>0.010402377686328304</x:v>
      </x:c>
      <x:c r="H79" s="31" t="n">
        <x:f>E79/$D$22</x:f>
        <x:v>0.009849058802960546</x:v>
      </x:c>
      <x:c r="I79" s="31" t="n">
        <x:f>(G79+H79)/2*(F79-D79)</x:f>
        <x:v>-0.03847772932964879</x:v>
      </x:c>
      <x:c r="J79" s="31" t="n">
        <x:f>(H79-G79)/2*(F79+D79)</x:f>
        <x:v>-0.043933519339399985</x:v>
      </x:c>
      <x:c r="K79" s="31" t="n">
        <x:f>(G79+H79)/2*(MAX(0,F79-$B$3)-MIN(100,D79+$B$3))</x:f>
        <x:v>-0.03949030115411317</x:v>
      </x:c>
      <x:c r="L79" s="31" t="n">
        <x:f>(G79+H79)/2*(MIN(100,F79+$B$3)-MAX(0,D79-$B$3))</x:f>
        <x:v>-0.0374651575051844</x:v>
      </x:c>
      <x:c r="M79" s="31" t="n">
        <x:f>IF(H79&gt;=G79,(H79-G79)/2*(MAX(0,D79-$B$3)+MAX(0,F79-$B$3)),(H79-G79)/2*(MIN(100,D79+$B$3)+MIN(100,F79+$B$3)))</x:f>
        <x:v>-0.04396118528356836</x:v>
      </x:c>
      <x:c r="N79" s="31" t="n">
        <x:f>IF(H79&gt;=G79,(H79-G79)/2*(MIN(100,D79+$B$3)+MIN(100,F79+$B$3)),(H79-G79)/2*(MAX(0,D79-$B$3)+MAX(0,F79-$B$3)))</x:f>
        <x:v>-0.04390585339523159</x:v>
      </x:c>
      <x:c r="O79" s="13" t="str">
        <x:v>I03 GP_Code!P2635/U2635; I04 Table_1!P741/U741</x:v>
      </x:c>
    </x:row>
    <x:row r="80" ht="24" customHeight="1">
      <x:c r="A80" s="13" t="str">
        <x:v>QHL</x:v>
      </x:c>
      <x:c r="B80" s="13" t="str">
        <x:v>M85066</x:v>
      </x:c>
      <x:c r="C80" s="13" t="n">
        <x:f>D415</x:f>
        <x:v>103</x:v>
      </x:c>
      <x:c r="D80" s="30" t="n">
        <x:f>E415</x:f>
        <x:v>87.4</x:v>
      </x:c>
      <x:c r="E80" s="13" t="n">
        <x:f>D782</x:f>
        <x:v>104</x:v>
      </x:c>
      <x:c r="F80" s="30" t="n">
        <x:f>E782</x:f>
        <x:v>81.7</x:v>
      </x:c>
      <x:c r="G80" s="31" t="n">
        <x:f>C80/$C$22</x:f>
        <x:v>0.005887059899405579</x:v>
      </x:c>
      <x:c r="H80" s="31" t="n">
        <x:f>E80/$D$22</x:f>
        <x:v>0.006060959263360336</x:v>
      </x:c>
      <x:c r="I80" s="31" t="n">
        <x:f>(G80+H80)/2*(F80-D80)</x:f>
        <x:v>-0.034051854613882875</x:v>
      </x:c>
      <x:c r="J80" s="31" t="n">
        <x:f>(H80-G80)/2*(F80+D80)</x:f>
        <x:v>0.014703191222374696</x:v>
      </x:c>
      <x:c r="K80" s="31" t="n">
        <x:f>(G80+H80)/2*(MAX(0,F80-$B$3)-MIN(100,D80+$B$3))</x:f>
        <x:v>-0.034649255572021136</x:v>
      </x:c>
      <x:c r="L80" s="31" t="n">
        <x:f>(G80+H80)/2*(MIN(100,F80+$B$3)-MAX(0,D80-$B$3))</x:f>
        <x:v>-0.03345445365574461</x:v>
      </x:c>
      <x:c r="M80" s="31" t="n">
        <x:f>IF(H80&gt;=G80,(H80-G80)/2*(MAX(0,D80-$B$3)+MAX(0,F80-$B$3)),(H80-G80)/2*(MIN(100,D80+$B$3)+MIN(100,F80+$B$3)))</x:f>
        <x:v>0.014694496254176957</x:v>
      </x:c>
      <x:c r="N80" s="31" t="n">
        <x:f>IF(H80&gt;=G80,(H80-G80)/2*(MIN(100,D80+$B$3)+MIN(100,F80+$B$3)),(H80-G80)/2*(MAX(0,D80-$B$3)+MAX(0,F80-$B$3)))</x:f>
        <x:v>0.014711886190572432</x:v>
      </x:c>
      <x:c r="O80" s="13" t="str">
        <x:v>I03 GP_Code!P2636/U2636; I04 Table_1!P742/U742</x:v>
      </x:c>
    </x:row>
    <x:row r="81" ht="24" customHeight="1">
      <x:c r="A81" s="13" t="str">
        <x:v>QHL</x:v>
      </x:c>
      <x:c r="B81" s="13" t="str">
        <x:v>M85070</x:v>
      </x:c>
      <x:c r="C81" s="13" t="n">
        <x:f>D416</x:f>
        <x:v>168</x:v>
      </x:c>
      <x:c r="D81" s="30" t="n">
        <x:f>E416</x:f>
        <x:v>72.6</x:v>
      </x:c>
      <x:c r="E81" s="13" t="n">
        <x:f>D784</x:f>
        <x:v>204</x:v>
      </x:c>
      <x:c r="F81" s="30" t="n">
        <x:f>E784</x:f>
        <x:v>76.5</x:v>
      </x:c>
      <x:c r="G81" s="31" t="n">
        <x:f>C81/$C$22</x:f>
        <x:v>0.009602194787379973</x:v>
      </x:c>
      <x:c r="H81" s="31" t="n">
        <x:f>E81/$D$22</x:f>
        <x:v>0.01188880470889912</x:v>
      </x:c>
      <x:c r="I81" s="31" t="n">
        <x:f>(G81+H81)/2*(F81-D81)</x:f>
        <x:v>0.04190744901774429</x:v>
      </x:c>
      <x:c r="J81" s="31" t="n">
        <x:f>(H81-G81)/2*(F81+D81)</x:f>
        <x:v>0.1704667696492523</x:v>
      </x:c>
      <x:c r="K81" s="31" t="n">
        <x:f>(G81+H81)/2*(MAX(0,F81-$B$3)-MIN(100,D81+$B$3))</x:f>
        <x:v>0.040832899042930394</x:v>
      </x:c>
      <x:c r="L81" s="31" t="n">
        <x:f>(G81+H81)/2*(MIN(100,F81+$B$3)-MAX(0,D81-$B$3))</x:f>
        <x:v>0.04298199899255818</x:v>
      </x:c>
      <x:c r="M81" s="31" t="n">
        <x:f>IF(H81&gt;=G81,(H81-G81)/2*(MAX(0,D81-$B$3)+MAX(0,F81-$B$3)),(H81-G81)/2*(MIN(100,D81+$B$3)+MIN(100,F81+$B$3)))</x:f>
        <x:v>0.17035243915317638</x:v>
      </x:c>
      <x:c r="N81" s="31" t="n">
        <x:f>IF(H81&gt;=G81,(H81-G81)/2*(MIN(100,D81+$B$3)+MIN(100,F81+$B$3)),(H81-G81)/2*(MAX(0,D81-$B$3)+MAX(0,F81-$B$3)))</x:f>
        <x:v>0.17058110014532826</x:v>
      </x:c>
      <x:c r="O81" s="13" t="str">
        <x:v>I03 GP_Code!P2637/U2637; I04 Table_1!P744/U744</x:v>
      </x:c>
    </x:row>
    <x:row r="82" ht="24" customHeight="1">
      <x:c r="A82" s="13" t="str">
        <x:v>QHL</x:v>
      </x:c>
      <x:c r="B82" s="13" t="str">
        <x:v>M85071</x:v>
      </x:c>
      <x:c r="C82" s="13" t="n">
        <x:f>D417</x:f>
        <x:v>72</x:v>
      </x:c>
      <x:c r="D82" s="30" t="n">
        <x:f>E417</x:f>
        <x:v>80.6</x:v>
      </x:c>
      <x:c r="E82" s="13" t="n">
        <x:f>D785</x:f>
        <x:v>66</x:v>
      </x:c>
      <x:c r="F82" s="30" t="n">
        <x:f>E785</x:f>
        <x:v>83.3</x:v>
      </x:c>
      <x:c r="G82" s="31" t="n">
        <x:f>C82/$C$22</x:f>
        <x:v>0.00411522633744856</x:v>
      </x:c>
      <x:c r="H82" s="31" t="n">
        <x:f>E82/$D$22</x:f>
        <x:v>0.0038463779940555976</x:v>
      </x:c>
      <x:c r="I82" s="31" t="n">
        <x:f>(G82+H82)/2*(F82-D82)</x:f>
        <x:v>0.010748165847530624</x:v>
      </x:c>
      <x:c r="J82" s="31" t="n">
        <x:f>(H82-G82)/2*(F82+D82)</x:f>
        <x:v>-0.022032121741053266</x:v>
      </x:c>
      <x:c r="K82" s="31" t="n">
        <x:f>(G82+H82)/2*(MAX(0,F82-$B$3)-MIN(100,D82+$B$3))</x:f>
        <x:v>0.010350085630955439</x:v>
      </x:c>
      <x:c r="L82" s="31" t="n">
        <x:f>(G82+H82)/2*(MIN(100,F82+$B$3)-MAX(0,D82-$B$3))</x:f>
        <x:v>0.01114624606410581</x:v>
      </x:c>
      <x:c r="M82" s="31" t="n">
        <x:f>IF(H82&gt;=G82,(H82-G82)/2*(MAX(0,D82-$B$3)+MAX(0,F82-$B$3)),(H82-G82)/2*(MIN(100,D82+$B$3)+MIN(100,F82+$B$3)))</x:f>
        <x:v>-0.022045564158222918</x:v>
      </x:c>
      <x:c r="N82" s="31" t="n">
        <x:f>IF(H82&gt;=G82,(H82-G82)/2*(MIN(100,D82+$B$3)+MIN(100,F82+$B$3)),(H82-G82)/2*(MAX(0,D82-$B$3)+MAX(0,F82-$B$3)))</x:f>
        <x:v>-0.022018679323883624</x:v>
      </x:c>
      <x:c r="O82" s="13" t="str">
        <x:v>I03 GP_Code!P2638/U2638; I04 Table_1!P745/U745</x:v>
      </x:c>
    </x:row>
    <x:row r="83" ht="24" customHeight="1">
      <x:c r="A83" s="13" t="str">
        <x:v>QHL</x:v>
      </x:c>
      <x:c r="B83" s="13" t="str">
        <x:v>M85074</x:v>
      </x:c>
      <x:c r="C83" s="13" t="n">
        <x:f>D418</x:f>
        <x:v>65</x:v>
      </x:c>
      <x:c r="D83" s="30" t="n">
        <x:f>E418</x:f>
        <x:v>78.5</x:v>
      </x:c>
      <x:c r="E83" s="13" t="n">
        <x:f>D786</x:f>
        <x:v>60</x:v>
      </x:c>
      <x:c r="F83" s="30" t="n">
        <x:f>E786</x:f>
        <x:v>66.7</x:v>
      </x:c>
      <x:c r="G83" s="31" t="n">
        <x:f>C83/$C$22</x:f>
        <x:v>0.0037151348879743942</x:v>
      </x:c>
      <x:c r="H83" s="31" t="n">
        <x:f>E83/$D$22</x:f>
        <x:v>0.0034967072673232707</x:v>
      </x:c>
      <x:c r="I83" s="31" t="n">
        <x:f>(G83+H83)/2*(F83-D83)</x:f>
        <x:v>-0.04254986871625621</x:v>
      </x:c>
      <x:c r="J83" s="31" t="n">
        <x:f>(H83-G83)/2*(F83+D83)</x:f>
        <x:v>-0.015857845259271572</x:v>
      </x:c>
      <x:c r="K83" s="31" t="n">
        <x:f>(G83+H83)/2*(MAX(0,F83-$B$3)-MIN(100,D83+$B$3))</x:f>
        <x:v>-0.04291046082402108</x:v>
      </x:c>
      <x:c r="L83" s="31" t="n">
        <x:f>(G83+H83)/2*(MIN(100,F83+$B$3)-MAX(0,D83-$B$3))</x:f>
        <x:v>-0.04218927660849135</x:v>
      </x:c>
      <x:c r="M83" s="31" t="n">
        <x:f>IF(H83&gt;=G83,(H83-G83)/2*(MAX(0,D83-$B$3)+MAX(0,F83-$B$3)),(H83-G83)/2*(MIN(100,D83+$B$3)+MIN(100,F83+$B$3)))</x:f>
        <x:v>-0.01586876664030413</x:v>
      </x:c>
      <x:c r="N83" s="31" t="n">
        <x:f>IF(H83&gt;=G83,(H83-G83)/2*(MIN(100,D83+$B$3)+MIN(100,F83+$B$3)),(H83-G83)/2*(MAX(0,D83-$B$3)+MAX(0,F83-$B$3)))</x:f>
        <x:v>-0.01584692387823902</x:v>
      </x:c>
      <x:c r="O83" s="13" t="str">
        <x:v>I03 GP_Code!P2639/U2639; I04 Table_1!P746/U746</x:v>
      </x:c>
    </x:row>
    <x:row r="84" ht="24" customHeight="1">
      <x:c r="A84" s="13" t="str">
        <x:v>QHL</x:v>
      </x:c>
      <x:c r="B84" s="13" t="str">
        <x:v>M85076</x:v>
      </x:c>
      <x:c r="C84" s="13" t="n">
        <x:f>D419</x:f>
        <x:v>93</x:v>
      </x:c>
      <x:c r="D84" s="30" t="n">
        <x:f>E419</x:f>
        <x:v>84.9</x:v>
      </x:c>
      <x:c r="E84" s="13" t="n">
        <x:f>D787</x:f>
        <x:v>92</x:v>
      </x:c>
      <x:c r="F84" s="30" t="n">
        <x:f>E787</x:f>
        <x:v>79.3</x:v>
      </x:c>
      <x:c r="G84" s="31" t="n">
        <x:f>C84/$C$22</x:f>
        <x:v>0.005315500685871056</x:v>
      </x:c>
      <x:c r="H84" s="31" t="n">
        <x:f>E84/$D$22</x:f>
        <x:v>0.005361617809895682</x:v>
      </x:c>
      <x:c r="I84" s="31" t="n">
        <x:f>(G84+H84)/2*(F84-D84)</x:f>
        <x:v>-0.029895931788146913</x:v>
      </x:c>
      <x:c r="J84" s="31" t="n">
        <x:f>(H84-G84)/2*(F84+D84)</x:f>
        <x:v>0.0037862158824217675</x:v>
      </x:c>
      <x:c r="K84" s="31" t="n">
        <x:f>(G84+H84)/2*(MAX(0,F84-$B$3)-MIN(100,D84+$B$3))</x:f>
        <x:v>-0.030429787712935218</x:v>
      </x:c>
      <x:c r="L84" s="31" t="n">
        <x:f>(G84+H84)/2*(MIN(100,F84+$B$3)-MAX(0,D84-$B$3))</x:f>
        <x:v>-0.029362075863358605</x:v>
      </x:c>
      <x:c r="M84" s="31" t="n">
        <x:f>IF(H84&gt;=G84,(H84-G84)/2*(MAX(0,D84-$B$3)+MAX(0,F84-$B$3)),(H84-G84)/2*(MIN(100,D84+$B$3)+MIN(100,F84+$B$3)))</x:f>
        <x:v>0.0037839100262205367</x:v>
      </x:c>
      <x:c r="N84" s="31" t="n">
        <x:f>IF(H84&gt;=G84,(H84-G84)/2*(MIN(100,D84+$B$3)+MIN(100,F84+$B$3)),(H84-G84)/2*(MAX(0,D84-$B$3)+MAX(0,F84-$B$3)))</x:f>
        <x:v>0.003788521738622999</x:v>
      </x:c>
      <x:c r="O84" s="13" t="str">
        <x:v>I03 GP_Code!P2640/U2640; I04 Table_1!P747/U747</x:v>
      </x:c>
    </x:row>
    <x:row r="85" ht="24" customHeight="1">
      <x:c r="A85" s="13" t="str">
        <x:v>QHL</x:v>
      </x:c>
      <x:c r="B85" s="13" t="str">
        <x:v>M85077</x:v>
      </x:c>
      <x:c r="C85" s="13" t="n">
        <x:f>D420</x:f>
        <x:v>97</x:v>
      </x:c>
      <x:c r="D85" s="30" t="n">
        <x:f>E420</x:f>
        <x:v>88.7</x:v>
      </x:c>
      <x:c r="E85" s="13" t="n">
        <x:f>D788</x:f>
        <x:v>92</x:v>
      </x:c>
      <x:c r="F85" s="30" t="n">
        <x:f>E788</x:f>
        <x:v>88</x:v>
      </x:c>
      <x:c r="G85" s="31" t="n">
        <x:f>C85/$C$22</x:f>
        <x:v>0.005544124371284865</x:v>
      </x:c>
      <x:c r="H85" s="31" t="n">
        <x:f>E85/$D$22</x:f>
        <x:v>0.005361617809895682</x:v>
      </x:c>
      <x:c r="I85" s="31" t="n">
        <x:f>(G85+H85)/2*(F85-D85)</x:f>
        <x:v>-0.0038170097634132065</x:v>
      </x:c>
      <x:c r="J85" s="31" t="n">
        <x:f>(H85-G85)/2*(F85+D85)</x:f>
        <x:v>-0.016124454698734338</x:v>
      </x:c>
      <x:c r="K85" s="31" t="n">
        <x:f>(G85+H85)/2*(MAX(0,F85-$B$3)-MIN(100,D85+$B$3))</x:f>
        <x:v>-0.004362296872472203</x:v>
      </x:c>
      <x:c r="L85" s="31" t="n">
        <x:f>(G85+H85)/2*(MIN(100,F85+$B$3)-MAX(0,D85-$B$3))</x:f>
        <x:v>-0.00327172265435421</x:v>
      </x:c>
      <x:c r="M85" s="31" t="n">
        <x:f>IF(H85&gt;=G85,(H85-G85)/2*(MAX(0,D85-$B$3)+MAX(0,F85-$B$3)),(H85-G85)/2*(MIN(100,D85+$B$3)+MIN(100,F85+$B$3)))</x:f>
        <x:v>-0.016133580026803797</x:v>
      </x:c>
      <x:c r="N85" s="31" t="n">
        <x:f>IF(H85&gt;=G85,(H85-G85)/2*(MIN(100,D85+$B$3)+MIN(100,F85+$B$3)),(H85-G85)/2*(MAX(0,D85-$B$3)+MAX(0,F85-$B$3)))</x:f>
        <x:v>-0.016115329370664882</x:v>
      </x:c>
      <x:c r="O85" s="13" t="str">
        <x:v>I03 GP_Code!P2641/U2641; I04 Table_1!P748/U748</x:v>
      </x:c>
    </x:row>
    <x:row r="86" ht="24" customHeight="1">
      <x:c r="A86" s="13" t="str">
        <x:v>QHL</x:v>
      </x:c>
      <x:c r="B86" s="13" t="str">
        <x:v>M85078</x:v>
      </x:c>
      <x:c r="C86" s="13" t="n">
        <x:f>D421</x:f>
        <x:v>152</x:v>
      </x:c>
      <x:c r="D86" s="30" t="n">
        <x:f>E421</x:f>
        <x:v>80.9</x:v>
      </x:c>
      <x:c r="E86" s="13" t="n">
        <x:f>D789</x:f>
        <x:v>123</x:v>
      </x:c>
      <x:c r="F86" s="30" t="n">
        <x:f>E789</x:f>
        <x:v>78</x:v>
      </x:c>
      <x:c r="G86" s="31" t="n">
        <x:f>C86/$C$22</x:f>
        <x:v>0.008687700045724738</x:v>
      </x:c>
      <x:c r="H86" s="31" t="n">
        <x:f>E86/$D$22</x:f>
        <x:v>0.007168249898012705</x:v>
      </x:c>
      <x:c r="I86" s="31" t="n">
        <x:f>(G86+H86)/2*(F86-D86)</x:f>
        <x:v>-0.022991127418419337</x:v>
      </x:c>
      <x:c r="J86" s="31" t="n">
        <x:f>(H86-G86)/2*(F86+D86)</x:f>
        <x:v>-0.12072031423572102</x:v>
      </x:c>
      <x:c r="K86" s="31" t="n">
        <x:f>(G86+H86)/2*(MAX(0,F86-$B$3)-MIN(100,D86+$B$3))</x:f>
        <x:v>-0.023783924915606165</x:v>
      </x:c>
      <x:c r="L86" s="31" t="n">
        <x:f>(G86+H86)/2*(MIN(100,F86+$B$3)-MAX(0,D86-$B$3))</x:f>
        <x:v>-0.02219832992123251</x:v>
      </x:c>
      <x:c r="M86" s="31" t="n">
        <x:f>IF(H86&gt;=G86,(H86-G86)/2*(MAX(0,D86-$B$3)+MAX(0,F86-$B$3)),(H86-G86)/2*(MIN(100,D86+$B$3)+MIN(100,F86+$B$3)))</x:f>
        <x:v>-0.12079628674310662</x:v>
      </x:c>
      <x:c r="N86" s="31" t="n">
        <x:f>IF(H86&gt;=G86,(H86-G86)/2*(MIN(100,D86+$B$3)+MIN(100,F86+$B$3)),(H86-G86)/2*(MAX(0,D86-$B$3)+MAX(0,F86-$B$3)))</x:f>
        <x:v>-0.12064434172833544</x:v>
      </x:c>
      <x:c r="O86" s="13" t="str">
        <x:v>I03 GP_Code!P2642/U2642; I04 Table_1!P749/U749</x:v>
      </x:c>
    </x:row>
    <x:row r="87" ht="24" customHeight="1">
      <x:c r="A87" s="13" t="str">
        <x:v>QHL</x:v>
      </x:c>
      <x:c r="B87" s="13" t="str">
        <x:v>M85079</x:v>
      </x:c>
      <x:c r="C87" s="13" t="n">
        <x:f>D422</x:f>
        <x:v>131</x:v>
      </x:c>
      <x:c r="D87" s="30" t="n">
        <x:f>E422</x:f>
        <x:v>74.8</x:v>
      </x:c>
      <x:c r="E87" s="13" t="n">
        <x:f>D790</x:f>
        <x:v>117</x:v>
      </x:c>
      <x:c r="F87" s="30" t="n">
        <x:f>E790</x:f>
        <x:v>72.6</x:v>
      </x:c>
      <x:c r="G87" s="31" t="n">
        <x:f>C87/$C$22</x:f>
        <x:v>0.007487425697302241</x:v>
      </x:c>
      <x:c r="H87" s="31" t="n">
        <x:f>E87/$D$22</x:f>
        <x:v>0.006818579171280378</x:v>
      </x:c>
      <x:c r="I87" s="31" t="n">
        <x:f>(G87+H87)/2*(F87-D87)</x:f>
        <x:v>-0.015736605355440903</x:v>
      </x:c>
      <x:c r="J87" s="31" t="n">
        <x:f>(H87-G87)/2*(F87+D87)</x:f>
        <x:v>-0.0492939889678113</x:v>
      </x:c>
      <x:c r="K87" s="31" t="n">
        <x:f>(G87+H87)/2*(MAX(0,F87-$B$3)-MIN(100,D87+$B$3))</x:f>
        <x:v>-0.01645190559886999</x:v>
      </x:c>
      <x:c r="L87" s="31" t="n">
        <x:f>(G87+H87)/2*(MIN(100,F87+$B$3)-MAX(0,D87-$B$3))</x:f>
        <x:v>-0.015021305112011812</x:v>
      </x:c>
      <x:c r="M87" s="31" t="n">
        <x:f>IF(H87&gt;=G87,(H87-G87)/2*(MAX(0,D87-$B$3)+MAX(0,F87-$B$3)),(H87-G87)/2*(MIN(100,D87+$B$3)+MIN(100,F87+$B$3)))</x:f>
        <x:v>-0.0493274312941124</x:v>
      </x:c>
      <x:c r="N87" s="31" t="n">
        <x:f>IF(H87&gt;=G87,(H87-G87)/2*(MIN(100,D87+$B$3)+MIN(100,F87+$B$3)),(H87-G87)/2*(MAX(0,D87-$B$3)+MAX(0,F87-$B$3)))</x:f>
        <x:v>-0.04926054664151022</x:v>
      </x:c>
      <x:c r="O87" s="13" t="str">
        <x:v>I03 GP_Code!P2643/U2643; I04 Table_1!P750/U750</x:v>
      </x:c>
    </x:row>
    <x:row r="88" ht="24" customHeight="1">
      <x:c r="A88" s="13" t="str">
        <x:v>QHL</x:v>
      </x:c>
      <x:c r="B88" s="13" t="str">
        <x:v>M85081</x:v>
      </x:c>
      <x:c r="C88" s="13" t="n">
        <x:f>D423</x:f>
        <x:v>132</x:v>
      </x:c>
      <x:c r="D88" s="30" t="n">
        <x:f>E423</x:f>
        <x:v>86.4</x:v>
      </x:c>
      <x:c r="E88" s="13" t="n">
        <x:f>D791</x:f>
        <x:v>128</x:v>
      </x:c>
      <x:c r="F88" s="30" t="n">
        <x:f>E791</x:f>
        <x:v>78.9</x:v>
      </x:c>
      <x:c r="G88" s="31" t="n">
        <x:f>C88/$C$22</x:f>
        <x:v>0.0075445816186556925</x:v>
      </x:c>
      <x:c r="H88" s="31" t="n">
        <x:f>E88/$D$22</x:f>
        <x:v>0.007459642170289644</x:v>
      </x:c>
      <x:c r="I88" s="31" t="n">
        <x:f>(G88+H88)/2*(F88-D88)</x:f>
        <x:v>-0.05626583920854501</x:v>
      </x:c>
      <x:c r="J88" s="31" t="n">
        <x:f>(H88-G88)/2*(F88+D88)</x:f>
        <x:v>-0.007020245407453893</x:v>
      </x:c>
      <x:c r="K88" s="31" t="n">
        <x:f>(G88+H88)/2*(MAX(0,F88-$B$3)-MIN(100,D88+$B$3))</x:f>
        <x:v>-0.057016050397992235</x:v>
      </x:c>
      <x:c r="L88" s="31" t="n">
        <x:f>(G88+H88)/2*(MIN(100,F88+$B$3)-MAX(0,D88-$B$3))</x:f>
        <x:v>-0.05551562801909779</x:v>
      </x:c>
      <x:c r="M88" s="31" t="n">
        <x:f>IF(H88&gt;=G88,(H88-G88)/2*(MAX(0,D88-$B$3)+MAX(0,F88-$B$3)),(H88-G88)/2*(MIN(100,D88+$B$3)+MIN(100,F88+$B$3)))</x:f>
        <x:v>-0.007024492379872195</x:v>
      </x:c>
      <x:c r="N88" s="31" t="n">
        <x:f>IF(H88&gt;=G88,(H88-G88)/2*(MIN(100,D88+$B$3)+MIN(100,F88+$B$3)),(H88-G88)/2*(MAX(0,D88-$B$3)+MAX(0,F88-$B$3)))</x:f>
        <x:v>-0.007015998435035591</x:v>
      </x:c>
      <x:c r="O88" s="13" t="str">
        <x:v>I03 GP_Code!P2644/U2644; I04 Table_1!P751/U751</x:v>
      </x:c>
    </x:row>
    <x:row r="89" ht="24" customHeight="1">
      <x:c r="A89" s="13" t="str">
        <x:v>QHL</x:v>
      </x:c>
      <x:c r="B89" s="13" t="str">
        <x:v>M85084</x:v>
      </x:c>
      <x:c r="C89" s="13" t="n">
        <x:f>D424</x:f>
        <x:v>88</x:v>
      </x:c>
      <x:c r="D89" s="30" t="n">
        <x:f>E424</x:f>
        <x:v>65.9</x:v>
      </x:c>
      <x:c r="E89" s="13" t="n">
        <x:f>D793</x:f>
        <x:v>91</x:v>
      </x:c>
      <x:c r="F89" s="30" t="n">
        <x:f>E793</x:f>
        <x:v>61.5</x:v>
      </x:c>
      <x:c r="G89" s="31" t="n">
        <x:f>C89/$C$22</x:f>
        <x:v>0.005029721079103796</x:v>
      </x:c>
      <x:c r="H89" s="31" t="n">
        <x:f>E89/$D$22</x:f>
        <x:v>0.005303339355440293</x:v>
      </x:c>
      <x:c r="I89" s="31" t="n">
        <x:f>(G89+H89)/2*(F89-D89)</x:f>
        <x:v>-0.022732732955997027</x:v>
      </x:c>
      <x:c r="J89" s="31" t="n">
        <x:f>(H89-G89)/2*(F89+D89)</x:f>
        <x:v>0.017429484202634907</x:v>
      </x:c>
      <x:c r="K89" s="31" t="n">
        <x:f>(G89+H89)/2*(MAX(0,F89-$B$3)-MIN(100,D89+$B$3))</x:f>
        <x:v>-0.0232493859777242</x:v>
      </x:c>
      <x:c r="L89" s="31" t="n">
        <x:f>(G89+H89)/2*(MIN(100,F89+$B$3)-MAX(0,D89-$B$3))</x:f>
        <x:v>-0.022216079934269852</x:v>
      </x:c>
      <x:c r="M89" s="31" t="n">
        <x:f>IF(H89&gt;=G89,(H89-G89)/2*(MAX(0,D89-$B$3)+MAX(0,F89-$B$3)),(H89-G89)/2*(MIN(100,D89+$B$3)+MIN(100,F89+$B$3)))</x:f>
        <x:v>0.01741580328881808</x:v>
      </x:c>
      <x:c r="N89" s="31" t="n">
        <x:f>IF(H89&gt;=G89,(H89-G89)/2*(MIN(100,D89+$B$3)+MIN(100,F89+$B$3)),(H89-G89)/2*(MAX(0,D89-$B$3)+MAX(0,F89-$B$3)))</x:f>
        <x:v>0.01744316511645173</x:v>
      </x:c>
      <x:c r="O89" s="13" t="str">
        <x:v>I03 GP_Code!P2645/U2645; I04 Table_1!P753/U753</x:v>
      </x:c>
    </x:row>
    <x:row r="90" ht="24" customHeight="1">
      <x:c r="A90" s="13" t="str">
        <x:v>QHL</x:v>
      </x:c>
      <x:c r="B90" s="13" t="str">
        <x:v>M85086</x:v>
      </x:c>
      <x:c r="C90" s="13" t="n">
        <x:f>D425</x:f>
        <x:v>157</x:v>
      </x:c>
      <x:c r="D90" s="30" t="n">
        <x:f>E425</x:f>
        <x:v>84.1</x:v>
      </x:c>
      <x:c r="E90" s="13" t="n">
        <x:f>D794</x:f>
        <x:v>118</x:v>
      </x:c>
      <x:c r="F90" s="30" t="n">
        <x:f>E794</x:f>
        <x:v>86.4</x:v>
      </x:c>
      <x:c r="G90" s="31" t="n">
        <x:f>C90/$C$22</x:f>
        <x:v>0.008973479652491997</x:v>
      </x:c>
      <x:c r="H90" s="31" t="n">
        <x:f>E90/$D$22</x:f>
        <x:v>0.006876857625735765</x:v>
      </x:c>
      <x:c r="I90" s="31" t="n">
        <x:f>(G90+H90)/2*(F90-D90)</x:f>
        <x:v>0.018227887869962017</x:v>
      </x:c>
      <x:c r="J90" s="31" t="n">
        <x:f>(H90-G90)/2*(F90+D90)</x:f>
        <x:v>-0.17873702778096878</x:v>
      </x:c>
      <x:c r="K90" s="31" t="n">
        <x:f>(G90+H90)/2*(MAX(0,F90-$B$3)-MIN(100,D90+$B$3))</x:f>
        <x:v>0.017435371006050675</x:v>
      </x:c>
      <x:c r="L90" s="31" t="n">
        <x:f>(G90+H90)/2*(MIN(100,F90+$B$3)-MAX(0,D90-$B$3))</x:f>
        <x:v>0.01902040473387336</x:v>
      </x:c>
      <x:c r="M90" s="31" t="n">
        <x:f>IF(H90&gt;=G90,(H90-G90)/2*(MAX(0,D90-$B$3)+MAX(0,F90-$B$3)),(H90-G90)/2*(MIN(100,D90+$B$3)+MIN(100,F90+$B$3)))</x:f>
        <x:v>-0.17884185888230658</x:v>
      </x:c>
      <x:c r="N90" s="31" t="n">
        <x:f>IF(H90&gt;=G90,(H90-G90)/2*(MIN(100,D90+$B$3)+MIN(100,F90+$B$3)),(H90-G90)/2*(MAX(0,D90-$B$3)+MAX(0,F90-$B$3)))</x:f>
        <x:v>-0.17863219667963098</x:v>
      </x:c>
      <x:c r="O90" s="13" t="str">
        <x:v>I03 GP_Code!P2646/U2646; I04 Table_1!P754/U754</x:v>
      </x:c>
    </x:row>
    <x:row r="91" ht="24" customHeight="1">
      <x:c r="A91" s="13" t="str">
        <x:v>QHL</x:v>
      </x:c>
      <x:c r="B91" s="13" t="str">
        <x:v>M85087</x:v>
      </x:c>
      <x:c r="C91" s="13" t="n">
        <x:f>D426</x:f>
        <x:v>150</x:v>
      </x:c>
      <x:c r="D91" s="30" t="n">
        <x:f>E426</x:f>
        <x:v>80.7</x:v>
      </x:c>
      <x:c r="E91" s="13" t="n">
        <x:f>D795</x:f>
        <x:v>154</x:v>
      </x:c>
      <x:c r="F91" s="30" t="n">
        <x:f>E795</x:f>
        <x:v>81.2</x:v>
      </x:c>
      <x:c r="G91" s="31" t="n">
        <x:f>C91/$C$22</x:f>
        <x:v>0.008573388203017833</x:v>
      </x:c>
      <x:c r="H91" s="31" t="n">
        <x:f>E91/$D$22</x:f>
        <x:v>0.008974881986129727</x:v>
      </x:c>
      <x:c r="I91" s="31" t="n">
        <x:f>(G91+H91)/2*(F91-D91)</x:f>
        <x:v>0.00438706754728689</x:v>
      </x:c>
      <x:c r="J91" s="31" t="n">
        <x:f>(H91-G91)/2*(F91+D91)</x:f>
        <x:v>0.03250092174290783</x:v>
      </x:c>
      <x:c r="K91" s="31" t="n">
        <x:f>(G91+H91)/2*(MAX(0,F91-$B$3)-MIN(100,D91+$B$3))</x:f>
        <x:v>0.003509654037829562</x:v>
      </x:c>
      <x:c r="L91" s="31" t="n">
        <x:f>(G91+H91)/2*(MIN(100,F91+$B$3)-MAX(0,D91-$B$3))</x:f>
        <x:v>0.005264481056744218</x:v>
      </x:c>
      <x:c r="M91" s="31" t="n">
        <x:f>IF(H91&gt;=G91,(H91-G91)/2*(MAX(0,D91-$B$3)+MAX(0,F91-$B$3)),(H91-G91)/2*(MIN(100,D91+$B$3)+MIN(100,F91+$B$3)))</x:f>
        <x:v>0.03248084705375223</x:v>
      </x:c>
      <x:c r="N91" s="31" t="n">
        <x:f>IF(H91&gt;=G91,(H91-G91)/2*(MIN(100,D91+$B$3)+MIN(100,F91+$B$3)),(H91-G91)/2*(MAX(0,D91-$B$3)+MAX(0,F91-$B$3)))</x:f>
        <x:v>0.03252099643206342</x:v>
      </x:c>
      <x:c r="O91" s="13" t="str">
        <x:v>I03 GP_Code!P2647/U2647; I04 Table_1!P755/U755</x:v>
      </x:c>
    </x:row>
    <x:row r="92" ht="24" customHeight="1">
      <x:c r="A92" s="13" t="str">
        <x:v>QHL</x:v>
      </x:c>
      <x:c r="B92" s="13" t="str">
        <x:v>M85088</x:v>
      </x:c>
      <x:c r="C92" s="13" t="n">
        <x:f>D427</x:f>
        <x:v>164</x:v>
      </x:c>
      <x:c r="D92" s="30" t="n">
        <x:f>E427</x:f>
        <x:v>64.6</x:v>
      </x:c>
      <x:c r="E92" s="13" t="n">
        <x:f>D796</x:f>
        <x:v>169</x:v>
      </x:c>
      <x:c r="F92" s="30" t="n">
        <x:f>E796</x:f>
        <x:v>66.9</x:v>
      </x:c>
      <x:c r="G92" s="31" t="n">
        <x:f>C92/$C$22</x:f>
        <x:v>0.009373571101966164</x:v>
      </x:c>
      <x:c r="H92" s="31" t="n">
        <x:f>E92/$D$22</x:f>
        <x:v>0.009849058802960546</x:v>
      </x:c>
      <x:c r="I92" s="31" t="n">
        <x:f>(G92+H92)/2*(F92-D92)</x:f>
        <x:v>0.022106024390665825</x:v>
      </x:c>
      <x:c r="J92" s="31" t="n">
        <x:f>(H92-G92)/2*(F92+D92)</x:f>
        <x:v>0.03126331634038065</x:v>
      </x:c>
      <x:c r="K92" s="31" t="n">
        <x:f>(G92+H92)/2*(MAX(0,F92-$B$3)-MIN(100,D92+$B$3))</x:f>
        <x:v>0.021144892895419543</x:v>
      </x:c>
      <x:c r="L92" s="31" t="n">
        <x:f>(G92+H92)/2*(MIN(100,F92+$B$3)-MAX(0,D92-$B$3))</x:f>
        <x:v>0.023067155885912103</x:v>
      </x:c>
      <x:c r="M92" s="31" t="n">
        <x:f>IF(H92&gt;=G92,(H92-G92)/2*(MAX(0,D92-$B$3)+MAX(0,F92-$B$3)),(H92-G92)/2*(MIN(100,D92+$B$3)+MIN(100,F92+$B$3)))</x:f>
        <x:v>0.031239541955330928</x:v>
      </x:c>
      <x:c r="N92" s="31" t="n">
        <x:f>IF(H92&gt;=G92,(H92-G92)/2*(MIN(100,D92+$B$3)+MIN(100,F92+$B$3)),(H92-G92)/2*(MAX(0,D92-$B$3)+MAX(0,F92-$B$3)))</x:f>
        <x:v>0.031287090725430365</x:v>
      </x:c>
      <x:c r="O92" s="13" t="str">
        <x:v>I03 GP_Code!P2648/U2648; I04 Table_1!P756/U756</x:v>
      </x:c>
    </x:row>
    <x:row r="93" ht="24" customHeight="1">
      <x:c r="A93" s="13" t="str">
        <x:v>QHL</x:v>
      </x:c>
      <x:c r="B93" s="13" t="str">
        <x:v>M85094</x:v>
      </x:c>
      <x:c r="C93" s="13" t="n">
        <x:f>D428</x:f>
        <x:v>29</x:v>
      </x:c>
      <x:c r="D93" s="30" t="n">
        <x:f>E428</x:f>
        <x:v>75.9</x:v>
      </x:c>
      <x:c r="E93" s="13" t="n">
        <x:f>D797</x:f>
        <x:v>39</x:v>
      </x:c>
      <x:c r="F93" s="30" t="n">
        <x:f>E797</x:f>
        <x:v>79.5</x:v>
      </x:c>
      <x:c r="G93" s="31" t="n">
        <x:f>C93/$C$22</x:f>
        <x:v>0.0016575217192501142</x:v>
      </x:c>
      <x:c r="H93" s="31" t="n">
        <x:f>E93/$D$22</x:f>
        <x:v>0.002272859723760126</x:v>
      </x:c>
      <x:c r="I93" s="31" t="n">
        <x:f>(G93+H93)/2*(F93-D93)</x:f>
        <x:v>0.0070746865974184205</x:v>
      </x:c>
      <x:c r="J93" s="31" t="n">
        <x:f>(H93-G93)/2*(F93+D93)</x:f>
        <x:v>0.04781176295042791</x:v>
      </x:c>
      <x:c r="K93" s="31" t="n">
        <x:f>(G93+H93)/2*(MAX(0,F93-$B$3)-MIN(100,D93+$B$3))</x:f>
        <x:v>0.00687816752526792</x:v>
      </x:c>
      <x:c r="L93" s="31" t="n">
        <x:f>(G93+H93)/2*(MIN(100,F93+$B$3)-MAX(0,D93-$B$3))</x:f>
        <x:v>0.007271205669568921</x:v>
      </x:c>
      <x:c r="M93" s="31" t="n">
        <x:f>IF(H93&gt;=G93,(H93-G93)/2*(MAX(0,D93-$B$3)+MAX(0,F93-$B$3)),(H93-G93)/2*(MIN(100,D93+$B$3)+MIN(100,F93+$B$3)))</x:f>
        <x:v>0.04778099605020241</x:v>
      </x:c>
      <x:c r="N93" s="31" t="n">
        <x:f>IF(H93&gt;=G93,(H93-G93)/2*(MIN(100,D93+$B$3)+MIN(100,F93+$B$3)),(H93-G93)/2*(MAX(0,D93-$B$3)+MAX(0,F93-$B$3)))</x:f>
        <x:v>0.04784252985065341</x:v>
      </x:c>
      <x:c r="O93" s="13" t="str">
        <x:v>I03 GP_Code!P2649/U2649; I04 Table_1!P757/U757</x:v>
      </x:c>
    </x:row>
    <x:row r="94" ht="24" customHeight="1">
      <x:c r="A94" s="13" t="str">
        <x:v>QHL</x:v>
      </x:c>
      <x:c r="B94" s="13" t="str">
        <x:v>M85097</x:v>
      </x:c>
      <x:c r="C94" s="13" t="n">
        <x:f>D429</x:f>
        <x:v>24</x:v>
      </x:c>
      <x:c r="D94" s="30" t="n">
        <x:f>E429</x:f>
        <x:v>100</x:v>
      </x:c>
      <x:c r="E94" s="13" t="n">
        <x:f>D798</x:f>
        <x:v>28</x:v>
      </x:c>
      <x:c r="F94" s="30" t="n">
        <x:f>E798</x:f>
        <x:v>85.7</x:v>
      </x:c>
      <x:c r="G94" s="31" t="n">
        <x:f>C94/$C$22</x:f>
        <x:v>0.0013717421124828531</x:v>
      </x:c>
      <x:c r="H94" s="31" t="n">
        <x:f>E94/$D$22</x:f>
        <x:v>0.0016317967247508596</x:v>
      </x:c>
      <x:c r="I94" s="31" t="n">
        <x:f>(G94+H94)/2*(F94-D94)</x:f>
        <x:v>-0.021475302686221043</x:v>
      </x:c>
      <x:c r="J94" s="31" t="n">
        <x:f>(H94-G94)/2*(F94+D94)</x:f>
        <x:v>0.0241460707490844</x:v>
      </x:c>
      <x:c r="K94" s="31" t="n">
        <x:f>(G94+H94)/2*(MAX(0,F94-$B$3)-MIN(100,D94+$B$3))</x:f>
        <x:v>-0.02155039115715188</x:v>
      </x:c>
      <x:c r="L94" s="31" t="n">
        <x:f>(G94+H94)/2*(MIN(100,F94+$B$3)-MAX(0,D94-$B$3))</x:f>
        <x:v>-0.021325125744359366</x:v>
      </x:c>
      <x:c r="M94" s="31" t="n">
        <x:f>IF(H94&gt;=G94,(H94-G94)/2*(MAX(0,D94-$B$3)+MAX(0,F94-$B$3)),(H94-G94)/2*(MIN(100,D94+$B$3)+MIN(100,F94+$B$3)))</x:f>
        <x:v>0.024133068018471007</x:v>
      </x:c>
      <x:c r="N94" s="31" t="n">
        <x:f>IF(H94&gt;=G94,(H94-G94)/2*(MIN(100,D94+$B$3)+MIN(100,F94+$B$3)),(H94-G94)/2*(MAX(0,D94-$B$3)+MAX(0,F94-$B$3)))</x:f>
        <x:v>0.0241525721143911</x:v>
      </x:c>
      <x:c r="O94" s="13" t="str">
        <x:v>I03 GP_Code!P2650/U2650; I04 Table_1!P758/U758</x:v>
      </x:c>
    </x:row>
    <x:row r="95" ht="24" customHeight="1">
      <x:c r="A95" s="13" t="str">
        <x:v>QHL</x:v>
      </x:c>
      <x:c r="B95" s="13" t="str">
        <x:v>M85105</x:v>
      </x:c>
      <x:c r="C95" s="13" t="n">
        <x:f>D430</x:f>
        <x:v>70</x:v>
      </x:c>
      <x:c r="D95" s="30" t="n">
        <x:f>E430</x:f>
        <x:v>80</x:v>
      </x:c>
      <x:c r="E95" s="13" t="n">
        <x:f>D800</x:f>
        <x:v>70</x:v>
      </x:c>
      <x:c r="F95" s="30" t="n">
        <x:f>E800</x:f>
        <x:v>82.9</x:v>
      </x:c>
      <x:c r="G95" s="31" t="n">
        <x:f>C95/$C$22</x:f>
        <x:v>0.004000914494741655</x:v>
      </x:c>
      <x:c r="H95" s="31" t="n">
        <x:f>E95/$D$22</x:f>
        <x:v>0.004079491811877149</x:v>
      </x:c>
      <x:c r="I95" s="31" t="n">
        <x:f>(G95+H95)/2*(F95-D95)</x:f>
        <x:v>0.01171658914459729</x:v>
      </x:c>
      <x:c r="J95" s="31" t="n">
        <x:f>(H95-G95)/2*(F95+D95)</x:f>
        <x:v>0.006400122480685978</x:v>
      </x:c>
      <x:c r="K95" s="31" t="n">
        <x:f>(G95+H95)/2*(MAX(0,F95-$B$3)-MIN(100,D95+$B$3))</x:f>
        <x:v>0.011312568829266373</x:v>
      </x:c>
      <x:c r="L95" s="31" t="n">
        <x:f>(G95+H95)/2*(MIN(100,F95+$B$3)-MAX(0,D95-$B$3))</x:f>
        <x:v>0.012120609459928208</x:v>
      </x:c>
      <x:c r="M95" s="31" t="n">
        <x:f>IF(H95&gt;=G95,(H95-G95)/2*(MAX(0,D95-$B$3)+MAX(0,F95-$B$3)),(H95-G95)/2*(MIN(100,D95+$B$3)+MIN(100,F95+$B$3)))</x:f>
        <x:v>0.006396193614829204</x:v>
      </x:c>
      <x:c r="N95" s="31" t="n">
        <x:f>IF(H95&gt;=G95,(H95-G95)/2*(MIN(100,D95+$B$3)+MIN(100,F95+$B$3)),(H95-G95)/2*(MAX(0,D95-$B$3)+MAX(0,F95-$B$3)))</x:f>
        <x:v>0.006404051346542752</x:v>
      </x:c>
      <x:c r="O95" s="13" t="str">
        <x:v>I03 GP_Code!P2651/U2651; I04 Table_1!P760/U760</x:v>
      </x:c>
    </x:row>
    <x:row r="96" ht="24" customHeight="1">
      <x:c r="A96" s="13" t="str">
        <x:v>QHL</x:v>
      </x:c>
      <x:c r="B96" s="13" t="str">
        <x:v>M85107</x:v>
      </x:c>
      <x:c r="C96" s="13" t="n">
        <x:f>D431</x:f>
        <x:v>36</x:v>
      </x:c>
      <x:c r="D96" s="30" t="n">
        <x:f>E431</x:f>
        <x:v>75</x:v>
      </x:c>
      <x:c r="E96" s="13" t="n">
        <x:f>D801</x:f>
        <x:v>56</x:v>
      </x:c>
      <x:c r="F96" s="30" t="n">
        <x:f>E801</x:f>
        <x:v>67.9</x:v>
      </x:c>
      <x:c r="G96" s="31" t="n">
        <x:f>C96/$C$22</x:f>
        <x:v>0.00205761316872428</x:v>
      </x:c>
      <x:c r="H96" s="31" t="n">
        <x:f>E96/$D$22</x:f>
        <x:v>0.0032635934495017192</x:v>
      </x:c>
      <x:c r="I96" s="31" t="n">
        <x:f>(G96+H96)/2*(F96-D96)</x:f>
        <x:v>-0.018890283494702283</x:v>
      </x:c>
      <x:c r="J96" s="31" t="n">
        <x:f>(H96-G96)/2*(F96+D96)</x:f>
        <x:v>0.08616729106154804</x:v>
      </x:c>
      <x:c r="K96" s="31" t="n">
        <x:f>(G96+H96)/2*(MAX(0,F96-$B$3)-MIN(100,D96+$B$3))</x:f>
        <x:v>-0.019156343825613566</x:v>
      </x:c>
      <x:c r="L96" s="31" t="n">
        <x:f>(G96+H96)/2*(MIN(100,F96+$B$3)-MAX(0,D96-$B$3))</x:f>
        <x:v>-0.018624223163790997</x:v>
      </x:c>
      <x:c r="M96" s="31" t="n">
        <x:f>IF(H96&gt;=G96,(H96-G96)/2*(MAX(0,D96-$B$3)+MAX(0,F96-$B$3)),(H96-G96)/2*(MIN(100,D96+$B$3)+MIN(100,F96+$B$3)))</x:f>
        <x:v>0.08610699204750917</x:v>
      </x:c>
      <x:c r="N96" s="31" t="n">
        <x:f>IF(H96&gt;=G96,(H96-G96)/2*(MIN(100,D96+$B$3)+MIN(100,F96+$B$3)),(H96-G96)/2*(MAX(0,D96-$B$3)+MAX(0,F96-$B$3)))</x:f>
        <x:v>0.0862275900755869</x:v>
      </x:c>
      <x:c r="O96" s="13" t="str">
        <x:v>I03 GP_Code!P2652/U2652; I04 Table_1!P761/U761</x:v>
      </x:c>
    </x:row>
    <x:row r="97" ht="24" customHeight="1">
      <x:c r="A97" s="13" t="str">
        <x:v>QHL</x:v>
      </x:c>
      <x:c r="B97" s="13" t="str">
        <x:v>M85108</x:v>
      </x:c>
      <x:c r="C97" s="13" t="n">
        <x:f>D432</x:f>
        <x:v>109</x:v>
      </x:c>
      <x:c r="D97" s="30" t="n">
        <x:f>E432</x:f>
        <x:v>53.2</x:v>
      </x:c>
      <x:c r="E97" s="13" t="n">
        <x:f>D802</x:f>
        <x:v>70</x:v>
      </x:c>
      <x:c r="F97" s="30" t="n">
        <x:f>E802</x:f>
        <x:v>54.3</x:v>
      </x:c>
      <x:c r="G97" s="31" t="n">
        <x:f>C97/$C$22</x:f>
        <x:v>0.006229995427526292</x:v>
      </x:c>
      <x:c r="H97" s="31" t="n">
        <x:f>E97/$D$22</x:f>
        <x:v>0.004079491811877149</x:v>
      </x:c>
      <x:c r="I97" s="31" t="n">
        <x:f>(G97+H97)/2*(F97-D97)</x:f>
        <x:v>0.005670217981671863</x:v>
      </x:c>
      <x:c r="J97" s="31" t="n">
        <x:f>(H97-G97)/2*(F97+D97)</x:f>
        <x:v>-0.11558956934114141</x:v>
      </x:c>
      <x:c r="K97" s="31" t="n">
        <x:f>(G97+H97)/2*(MAX(0,F97-$B$3)-MIN(100,D97+$B$3))</x:f>
        <x:v>0.00515474361970172</x:v>
      </x:c>
      <x:c r="L97" s="31" t="n">
        <x:f>(G97+H97)/2*(MIN(100,F97+$B$3)-MAX(0,D97-$B$3))</x:f>
        <x:v>0.006185692343642006</x:v>
      </x:c>
      <x:c r="M97" s="31" t="n">
        <x:f>IF(H97&gt;=G97,(H97-G97)/2*(MAX(0,D97-$B$3)+MAX(0,F97-$B$3)),(H97-G97)/2*(MIN(100,D97+$B$3)+MIN(100,F97+$B$3)))</x:f>
        <x:v>-0.11569709452192387</x:v>
      </x:c>
      <x:c r="N97" s="31" t="n">
        <x:f>IF(H97&gt;=G97,(H97-G97)/2*(MIN(100,D97+$B$3)+MIN(100,F97+$B$3)),(H97-G97)/2*(MAX(0,D97-$B$3)+MAX(0,F97-$B$3)))</x:f>
        <x:v>-0.11548204416035897</x:v>
      </x:c>
      <x:c r="O97" s="13" t="str">
        <x:v>I03 GP_Code!P2653/U2653; I04 Table_1!P762/U762</x:v>
      </x:c>
    </x:row>
    <x:row r="98" ht="24" customHeight="1">
      <x:c r="A98" s="13" t="str">
        <x:v>QHL</x:v>
      </x:c>
      <x:c r="B98" s="13" t="str">
        <x:v>M85110</x:v>
      </x:c>
      <x:c r="C98" s="13" t="n">
        <x:f>D433</x:f>
        <x:v>137</x:v>
      </x:c>
      <x:c r="D98" s="30" t="n">
        <x:f>E433</x:f>
        <x:v>78.1</x:v>
      </x:c>
      <x:c r="E98" s="13" t="n">
        <x:f>D803</x:f>
        <x:v>138</x:v>
      </x:c>
      <x:c r="F98" s="30" t="n">
        <x:f>E803</x:f>
        <x:v>74.6</x:v>
      </x:c>
      <x:c r="G98" s="31" t="n">
        <x:f>C98/$C$22</x:f>
        <x:v>0.007830361225422954</x:v>
      </x:c>
      <x:c r="H98" s="31" t="n">
        <x:f>E98/$D$22</x:f>
        <x:v>0.008042426714843523</x:v>
      </x:c>
      <x:c r="I98" s="31" t="n">
        <x:f>(G98+H98)/2*(F98-D98)</x:f>
        <x:v>-0.02777737889546633</x:v>
      </x:c>
      <x:c r="J98" s="31" t="n">
        <x:f>(H98-G98)/2*(F98+D98)</x:f>
        <x:v>0.016191200117260454</x:v>
      </x:c>
      <x:c r="K98" s="31" t="n">
        <x:f>(G98+H98)/2*(MAX(0,F98-$B$3)-MIN(100,D98+$B$3))</x:f>
        <x:v>-0.02857101829247961</x:v>
      </x:c>
      <x:c r="L98" s="31" t="n">
        <x:f>(G98+H98)/2*(MIN(100,F98+$B$3)-MAX(0,D98-$B$3))</x:f>
        <x:v>-0.026983739498453053</x:v>
      </x:c>
      <x:c r="M98" s="31" t="n">
        <x:f>IF(H98&gt;=G98,(H98-G98)/2*(MAX(0,D98-$B$3)+MAX(0,F98-$B$3)),(H98-G98)/2*(MIN(100,D98+$B$3)+MIN(100,F98+$B$3)))</x:f>
        <x:v>0.016180596842789427</x:v>
      </x:c>
      <x:c r="N98" s="31" t="n">
        <x:f>IF(H98&gt;=G98,(H98-G98)/2*(MIN(100,D98+$B$3)+MIN(100,F98+$B$3)),(H98-G98)/2*(MAX(0,D98-$B$3)+MAX(0,F98-$B$3)))</x:f>
        <x:v>0.01620180339173148</x:v>
      </x:c>
      <x:c r="O98" s="13" t="str">
        <x:v>I03 GP_Code!P2654/U2654; I04 Table_1!P763/U763</x:v>
      </x:c>
    </x:row>
    <x:row r="99" ht="24" customHeight="1">
      <x:c r="A99" s="13" t="str">
        <x:v>QHL</x:v>
      </x:c>
      <x:c r="B99" s="13" t="str">
        <x:v>M85113</x:v>
      </x:c>
      <x:c r="C99" s="13" t="n">
        <x:f>D434</x:f>
        <x:v>92</x:v>
      </x:c>
      <x:c r="D99" s="30" t="n">
        <x:f>E434</x:f>
        <x:v>79.3</x:v>
      </x:c>
      <x:c r="E99" s="13" t="n">
        <x:f>D804</x:f>
        <x:v>77</x:v>
      </x:c>
      <x:c r="F99" s="30" t="n">
        <x:f>E804</x:f>
        <x:v>70.1</x:v>
      </x:c>
      <x:c r="G99" s="31" t="n">
        <x:f>C99/$C$22</x:f>
        <x:v>0.005258344764517604</x:v>
      </x:c>
      <x:c r="H99" s="31" t="n">
        <x:f>E99/$D$22</x:f>
        <x:v>0.0044874409930648635</x:v>
      </x:c>
      <x:c r="I99" s="31" t="n">
        <x:f>(G99+H99)/2*(F99-D99)</x:f>
        <x:v>-0.044830614484879364</x:v>
      </x:c>
      <x:c r="J99" s="31" t="n">
        <x:f>(H99-G99)/2*(F99+D99)</x:f>
        <x:v>-0.057586511727519676</x:v>
      </x:c>
      <x:c r="K99" s="31" t="n">
        <x:f>(G99+H99)/2*(MAX(0,F99-$B$3)-MIN(100,D99+$B$3))</x:f>
        <x:v>-0.04531790377275846</x:v>
      </x:c>
      <x:c r="L99" s="31" t="n">
        <x:f>(G99+H99)/2*(MIN(100,F99+$B$3)-MAX(0,D99-$B$3))</x:f>
        <x:v>-0.044343325197000266</x:v>
      </x:c>
      <x:c r="M99" s="31" t="n">
        <x:f>IF(H99&gt;=G99,(H99-G99)/2*(MAX(0,D99-$B$3)+MAX(0,F99-$B$3)),(H99-G99)/2*(MIN(100,D99+$B$3)+MIN(100,F99+$B$3)))</x:f>
        <x:v>-0.05762505691609232</x:v>
      </x:c>
      <x:c r="N99" s="31" t="n">
        <x:f>IF(H99&gt;=G99,(H99-G99)/2*(MIN(100,D99+$B$3)+MIN(100,F99+$B$3)),(H99-G99)/2*(MAX(0,D99-$B$3)+MAX(0,F99-$B$3)))</x:f>
        <x:v>-0.05754796653894705</x:v>
      </x:c>
      <x:c r="O99" s="13" t="str">
        <x:v>I03 GP_Code!P2655/U2655; I04 Table_1!P764/U764</x:v>
      </x:c>
    </x:row>
    <x:row r="100" ht="24" customHeight="1">
      <x:c r="A100" s="13" t="str">
        <x:v>QHL</x:v>
      </x:c>
      <x:c r="B100" s="13" t="str">
        <x:v>M85115</x:v>
      </x:c>
      <x:c r="C100" s="13" t="n">
        <x:f>D435</x:f>
        <x:v>22</x:v>
      </x:c>
      <x:c r="D100" s="30" t="n">
        <x:f>E435</x:f>
        <x:v>77.3</x:v>
      </x:c>
      <x:c r="E100" s="13" t="n">
        <x:f>D805</x:f>
        <x:v>17</x:v>
      </x:c>
      <x:c r="F100" s="30" t="n">
        <x:f>E805</x:f>
        <x:v>70.6</x:v>
      </x:c>
      <x:c r="G100" s="31" t="n">
        <x:f>C100/$C$22</x:f>
        <x:v>0.001257430269775949</x:v>
      </x:c>
      <x:c r="H100" s="31" t="n">
        <x:f>E100/$D$22</x:f>
        <x:v>0.0009907337257415933</x:v>
      </x:c>
      <x:c r="I100" s="31" t="n">
        <x:f>(G100+H100)/2*(F100-D100)</x:f>
        <x:v>-0.007531349384983769</x:v>
      </x:c>
      <x:c r="J100" s="31" t="n">
        <x:f>(H100-G100)/2*(F100+D100)</x:f>
        <x:v>-0.019722209431340596</x:v>
      </x:c>
      <x:c r="K100" s="31" t="n">
        <x:f>(G100+H100)/2*(MAX(0,F100-$B$3)-MIN(100,D100+$B$3))</x:f>
        <x:v>-0.00764375758475964</x:v>
      </x:c>
      <x:c r="L100" s="31" t="n">
        <x:f>(G100+H100)/2*(MIN(100,F100+$B$3)-MAX(0,D100-$B$3))</x:f>
        <x:v>-0.007418941185207899</x:v>
      </x:c>
      <x:c r="M100" s="31" t="n">
        <x:f>IF(H100&gt;=G100,(H100-G100)/2*(MAX(0,D100-$B$3)+MAX(0,F100-$B$3)),(H100-G100)/2*(MIN(100,D100+$B$3)+MIN(100,F100+$B$3)))</x:f>
        <x:v>-0.019735544258542317</x:v>
      </x:c>
      <x:c r="N100" s="31" t="n">
        <x:f>IF(H100&gt;=G100,(H100-G100)/2*(MIN(100,D100+$B$3)+MIN(100,F100+$B$3)),(H100-G100)/2*(MAX(0,D100-$B$3)+MAX(0,F100-$B$3)))</x:f>
        <x:v>-0.019708874604138883</x:v>
      </x:c>
      <x:c r="O100" s="13" t="str">
        <x:v>I03 GP_Code!P2656/U2656; I04 Table_1!P765/U765</x:v>
      </x:c>
    </x:row>
    <x:row r="101" ht="24" customHeight="1">
      <x:c r="A101" s="13" t="str">
        <x:v>QHL</x:v>
      </x:c>
      <x:c r="B101" s="13" t="str">
        <x:v>M85116</x:v>
      </x:c>
      <x:c r="C101" s="13" t="n">
        <x:f>D436</x:f>
        <x:v>151</x:v>
      </x:c>
      <x:c r="D101" s="30" t="n">
        <x:f>E436</x:f>
        <x:v>83.4</x:v>
      </x:c>
      <x:c r="E101" s="13" t="n">
        <x:f>D806</x:f>
        <x:v>125</x:v>
      </x:c>
      <x:c r="F101" s="30" t="n">
        <x:f>E806</x:f>
        <x:v>81.6</x:v>
      </x:c>
      <x:c r="G101" s="31" t="n">
        <x:f>C101/$C$22</x:f>
        <x:v>0.008630544124371285</x:v>
      </x:c>
      <x:c r="H101" s="31" t="n">
        <x:f>E101/$D$22</x:f>
        <x:v>0.007284806806923481</x:v>
      </x:c>
      <x:c r="I101" s="31" t="n">
        <x:f>(G101+H101)/2*(F101-D101)</x:f>
        <x:v>-0.01432381583816538</x:v>
      </x:c>
      <x:c r="J101" s="31" t="n">
        <x:f>(H101-G101)/2*(F101+D101)</x:f>
        <x:v>-0.11102332868944381</x:v>
      </x:c>
      <x:c r="K101" s="31" t="n">
        <x:f>(G101+H101)/2*(MAX(0,F101-$B$3)-MIN(100,D101+$B$3))</x:f>
        <x:v>-0.015119583384730071</x:v>
      </x:c>
      <x:c r="L101" s="31" t="n">
        <x:f>(G101+H101)/2*(MIN(100,F101+$B$3)-MAX(0,D101-$B$3))</x:f>
        <x:v>-0.013528048291600685</x:v>
      </x:c>
      <x:c r="M101" s="31" t="n">
        <x:f>IF(H101&gt;=G101,(H101-G101)/2*(MAX(0,D101-$B$3)+MAX(0,F101-$B$3)),(H101-G101)/2*(MIN(100,D101+$B$3)+MIN(100,F101+$B$3)))</x:f>
        <x:v>-0.1110906155553162</x:v>
      </x:c>
      <x:c r="N101" s="31" t="n">
        <x:f>IF(H101&gt;=G101,(H101-G101)/2*(MIN(100,D101+$B$3)+MIN(100,F101+$B$3)),(H101-G101)/2*(MAX(0,D101-$B$3)+MAX(0,F101-$B$3)))</x:f>
        <x:v>-0.11095604182357142</x:v>
      </x:c>
      <x:c r="O101" s="13" t="str">
        <x:v>I03 GP_Code!P2657/U2657; I04 Table_1!P766/U766</x:v>
      </x:c>
    </x:row>
    <x:row r="102" ht="24" customHeight="1">
      <x:c r="A102" s="13" t="str">
        <x:v>QHL</x:v>
      </x:c>
      <x:c r="B102" s="13" t="str">
        <x:v>M85117</x:v>
      </x:c>
      <x:c r="C102" s="13" t="n">
        <x:f>D437</x:f>
        <x:v>80</x:v>
      </x:c>
      <x:c r="D102" s="30" t="n">
        <x:f>E437</x:f>
        <x:v>70</x:v>
      </x:c>
      <x:c r="E102" s="13" t="n">
        <x:f>D807</x:f>
        <x:v>75</x:v>
      </x:c>
      <x:c r="F102" s="30" t="n">
        <x:f>E807</x:f>
        <x:v>80</x:v>
      </x:c>
      <x:c r="G102" s="31" t="n">
        <x:f>C102/$C$22</x:f>
        <x:v>0.004572473708276178</x:v>
      </x:c>
      <x:c r="H102" s="31" t="n">
        <x:f>E102/$D$22</x:f>
        <x:v>0.0043708840841540884</x:v>
      </x:c>
      <x:c r="I102" s="31" t="n">
        <x:f>(G102+H102)/2*(F102-D102)</x:f>
        <x:v>0.04471678896215133</x:v>
      </x:c>
      <x:c r="J102" s="31" t="n">
        <x:f>(H102-G102)/2*(F102+D102)</x:f>
        <x:v>-0.015119221809156702</x:v>
      </x:c>
      <x:c r="K102" s="31" t="n">
        <x:f>(G102+H102)/2*(MAX(0,F102-$B$3)-MIN(100,D102+$B$3))</x:f>
        <x:v>0.044269621072529845</x:v>
      </x:c>
      <x:c r="L102" s="31" t="n">
        <x:f>(G102+H102)/2*(MIN(100,F102+$B$3)-MAX(0,D102-$B$3))</x:f>
        <x:v>0.04516395685177282</x:v>
      </x:c>
      <x:c r="M102" s="31" t="n">
        <x:f>IF(H102&gt;=G102,(H102-G102)/2*(MAX(0,D102-$B$3)+MAX(0,F102-$B$3)),(H102-G102)/2*(MIN(100,D102+$B$3)+MIN(100,F102+$B$3)))</x:f>
        <x:v>-0.015129301290362806</x:v>
      </x:c>
      <x:c r="N102" s="31" t="n">
        <x:f>IF(H102&gt;=G102,(H102-G102)/2*(MIN(100,D102+$B$3)+MIN(100,F102+$B$3)),(H102-G102)/2*(MAX(0,D102-$B$3)+MAX(0,F102-$B$3)))</x:f>
        <x:v>-0.015109142327950598</x:v>
      </x:c>
      <x:c r="O102" s="13" t="str">
        <x:v>I03 GP_Code!P2658/U2658; I04 Table_1!P767/U767</x:v>
      </x:c>
    </x:row>
    <x:row r="103" ht="24" customHeight="1">
      <x:c r="A103" s="13" t="str">
        <x:v>QHL</x:v>
      </x:c>
      <x:c r="B103" s="13" t="str">
        <x:v>M85118</x:v>
      </x:c>
      <x:c r="C103" s="13" t="n">
        <x:f>D438</x:f>
        <x:v>35</x:v>
      </x:c>
      <x:c r="D103" s="30" t="n">
        <x:f>E438</x:f>
        <x:v>77.1</x:v>
      </x:c>
      <x:c r="E103" s="13" t="n">
        <x:f>D808</x:f>
        <x:v>42</x:v>
      </x:c>
      <x:c r="F103" s="30" t="n">
        <x:f>E808</x:f>
        <x:v>88.1</x:v>
      </x:c>
      <x:c r="G103" s="31" t="n">
        <x:f>C103/$C$22</x:f>
        <x:v>0.0020004572473708276</x:v>
      </x:c>
      <x:c r="H103" s="31" t="n">
        <x:f>E103/$D$22</x:f>
        <x:v>0.0024476950871262894</x:v>
      </x:c>
      <x:c r="I103" s="31" t="n">
        <x:f>(G103+H103)/2*(F103-D103)</x:f>
        <x:v>0.024464837839734143</x:v>
      </x:c>
      <x:c r="J103" s="31" t="n">
        <x:f>(H103-G103)/2*(F103+D103)</x:f>
        <x:v>0.036941845563801146</x:v>
      </x:c>
      <x:c r="K103" s="31" t="n">
        <x:f>(G103+H103)/2*(MAX(0,F103-$B$3)-MIN(100,D103+$B$3))</x:f>
        <x:v>0.0242424302230093</x:v>
      </x:c>
      <x:c r="L103" s="31" t="n">
        <x:f>(G103+H103)/2*(MIN(100,F103+$B$3)-MAX(0,D103-$B$3))</x:f>
        <x:v>0.024687245456458985</x:v>
      </x:c>
      <x:c r="M103" s="31" t="n">
        <x:f>IF(H103&gt;=G103,(H103-G103)/2*(MAX(0,D103-$B$3)+MAX(0,F103-$B$3)),(H103-G103)/2*(MIN(100,D103+$B$3)+MIN(100,F103+$B$3)))</x:f>
        <x:v>0.03691948367181337</x:v>
      </x:c>
      <x:c r="N103" s="31" t="n">
        <x:f>IF(H103&gt;=G103,(H103-G103)/2*(MIN(100,D103+$B$3)+MIN(100,F103+$B$3)),(H103-G103)/2*(MAX(0,D103-$B$3)+MAX(0,F103-$B$3)))</x:f>
        <x:v>0.03696420745578892</x:v>
      </x:c>
      <x:c r="O103" s="13" t="str">
        <x:v>I03 GP_Code!P2659/U2659; I04 Table_1!P768/U768</x:v>
      </x:c>
    </x:row>
    <x:row r="104" ht="24" customHeight="1">
      <x:c r="A104" s="13" t="str">
        <x:v>QHL</x:v>
      </x:c>
      <x:c r="B104" s="13" t="str">
        <x:v>M85123</x:v>
      </x:c>
      <x:c r="C104" s="13" t="n">
        <x:f>D439</x:f>
        <x:v>139</x:v>
      </x:c>
      <x:c r="D104" s="30" t="n">
        <x:f>E439</x:f>
        <x:v>80.6</x:v>
      </x:c>
      <x:c r="E104" s="13" t="n">
        <x:f>D809</x:f>
        <x:v>138</x:v>
      </x:c>
      <x:c r="F104" s="30" t="n">
        <x:f>E809</x:f>
        <x:v>76.8</x:v>
      </x:c>
      <x:c r="G104" s="31" t="n">
        <x:f>C104/$C$22</x:f>
        <x:v>0.007944673068129859</x:v>
      </x:c>
      <x:c r="H104" s="31" t="n">
        <x:f>E104/$D$22</x:f>
        <x:v>0.008042426714843523</x:v>
      </x:c>
      <x:c r="I104" s="31" t="n">
        <x:f>(G104+H104)/2*(F104-D104)</x:f>
        <x:v>-0.030375489587649403</x:v>
      </x:c>
      <x:c r="J104" s="31" t="n">
        <x:f>(H104-G104)/2*(F104+D104)</x:f>
        <x:v>0.007693211996365379</x:v>
      </x:c>
      <x:c r="K104" s="31" t="n">
        <x:f>(G104+H104)/2*(MAX(0,F104-$B$3)-MIN(100,D104+$B$3))</x:f>
        <x:v>-0.031174844576798026</x:v>
      </x:c>
      <x:c r="L104" s="31" t="n">
        <x:f>(G104+H104)/2*(MIN(100,F104+$B$3)-MAX(0,D104-$B$3))</x:f>
        <x:v>-0.029576134598500777</x:v>
      </x:c>
      <x:c r="M104" s="31" t="n">
        <x:f>IF(H104&gt;=G104,(H104-G104)/2*(MAX(0,D104-$B$3)+MAX(0,F104-$B$3)),(H104-G104)/2*(MIN(100,D104+$B$3)+MIN(100,F104+$B$3)))</x:f>
        <x:v>0.007688324314029697</x:v>
      </x:c>
      <x:c r="N104" s="31" t="n">
        <x:f>IF(H104&gt;=G104,(H104-G104)/2*(MIN(100,D104+$B$3)+MIN(100,F104+$B$3)),(H104-G104)/2*(MAX(0,D104-$B$3)+MAX(0,F104-$B$3)))</x:f>
        <x:v>0.007698099678701063</x:v>
      </x:c>
      <x:c r="O104" s="13" t="str">
        <x:v>I03 GP_Code!P2660/U2660; I04 Table_1!P769/U769</x:v>
      </x:c>
    </x:row>
    <x:row r="105" ht="24" customHeight="1">
      <x:c r="A105" s="13" t="str">
        <x:v>QHL</x:v>
      </x:c>
      <x:c r="B105" s="13" t="str">
        <x:v>M85124</x:v>
      </x:c>
      <x:c r="C105" s="13" t="n">
        <x:f>D440</x:f>
        <x:v>127</x:v>
      </x:c>
      <x:c r="D105" s="30" t="n">
        <x:f>E440</x:f>
        <x:v>61.4</x:v>
      </x:c>
      <x:c r="E105" s="13" t="n">
        <x:f>D810</x:f>
        <x:v>105</x:v>
      </x:c>
      <x:c r="F105" s="30" t="n">
        <x:f>E810</x:f>
        <x:v>62.9</x:v>
      </x:c>
      <x:c r="G105" s="31" t="n">
        <x:f>C105/$C$22</x:f>
        <x:v>0.007258802011888432</x:v>
      </x:c>
      <x:c r="H105" s="31" t="n">
        <x:f>E105/$D$22</x:f>
        <x:v>0.006119237717815723</x:v>
      </x:c>
      <x:c r="I105" s="31" t="n">
        <x:f>(G105+H105)/2*(F105-D105)</x:f>
        <x:v>0.010033529797278118</x:v>
      </x:c>
      <x:c r="J105" s="31" t="n">
        <x:f>(H105-G105)/2*(F105+D105)</x:f>
        <x:v>-0.07082392087661886</x:v>
      </x:c>
      <x:c r="K105" s="31" t="n">
        <x:f>(G105+H105)/2*(MAX(0,F105-$B$3)-MIN(100,D105+$B$3))</x:f>
        <x:v>0.009364627810792947</x:v>
      </x:c>
      <x:c r="L105" s="31" t="n">
        <x:f>(G105+H105)/2*(MIN(100,F105+$B$3)-MAX(0,D105-$B$3))</x:f>
        <x:v>0.010702431783763287</x:v>
      </x:c>
      <x:c r="M105" s="31" t="n">
        <x:f>IF(H105&gt;=G105,(H105-G105)/2*(MAX(0,D105-$B$3)+MAX(0,F105-$B$3)),(H105-G105)/2*(MIN(100,D105+$B$3)+MIN(100,F105+$B$3)))</x:f>
        <x:v>-0.07088089909132249</x:v>
      </x:c>
      <x:c r="N105" s="31" t="n">
        <x:f>IF(H105&gt;=G105,(H105-G105)/2*(MIN(100,D105+$B$3)+MIN(100,F105+$B$3)),(H105-G105)/2*(MAX(0,D105-$B$3)+MAX(0,F105-$B$3)))</x:f>
        <x:v>-0.07076694266191523</x:v>
      </x:c>
      <x:c r="O105" s="13" t="str">
        <x:v>I03 GP_Code!P2661/U2661; I04 Table_1!P770/U770</x:v>
      </x:c>
    </x:row>
    <x:row r="106" ht="24" customHeight="1">
      <x:c r="A106" s="13" t="str">
        <x:v>QHL</x:v>
      </x:c>
      <x:c r="B106" s="13" t="str">
        <x:v>M85128</x:v>
      </x:c>
      <x:c r="C106" s="13" t="n">
        <x:f>D441</x:f>
        <x:v>71</x:v>
      </x:c>
      <x:c r="D106" s="30" t="n">
        <x:f>E441</x:f>
        <x:v>80.3</x:v>
      </x:c>
      <x:c r="E106" s="13" t="n">
        <x:f>D811</x:f>
        <x:v>53</x:v>
      </x:c>
      <x:c r="F106" s="30" t="n">
        <x:f>E811</x:f>
        <x:v>88.7</x:v>
      </x:c>
      <x:c r="G106" s="31" t="n">
        <x:f>C106/$C$22</x:f>
        <x:v>0.004058070416095108</x:v>
      </x:c>
      <x:c r="H106" s="31" t="n">
        <x:f>E106/$D$22</x:f>
        <x:v>0.0030887580861355558</x:v>
      </x:c>
      <x:c r="I106" s="31" t="n">
        <x:f>(G106+H106)/2*(F106-D106)</x:f>
        <x:v>0.030016679709368808</x:v>
      </x:c>
      <x:c r="J106" s="31" t="n">
        <x:f>(H106-G106)/2*(F106+D106)</x:f>
        <x:v>-0.08190689188158212</x:v>
      </x:c>
      <x:c r="K106" s="31" t="n">
        <x:f>(G106+H106)/2*(MAX(0,F106-$B$3)-MIN(100,D106+$B$3))</x:f>
        <x:v>0.029659338284257295</x:v>
      </x:c>
      <x:c r="L106" s="31" t="n">
        <x:f>(G106+H106)/2*(MIN(100,F106+$B$3)-MAX(0,D106-$B$3))</x:f>
        <x:v>0.03037402113448032</x:v>
      </x:c>
      <x:c r="M106" s="31" t="n">
        <x:f>IF(H106&gt;=G106,(H106-G106)/2*(MAX(0,D106-$B$3)+MAX(0,F106-$B$3)),(H106-G106)/2*(MIN(100,D106+$B$3)+MIN(100,F106+$B$3)))</x:f>
        <x:v>-0.0819553574980801</x:v>
      </x:c>
      <x:c r="N106" s="31" t="n">
        <x:f>IF(H106&gt;=G106,(H106-G106)/2*(MIN(100,D106+$B$3)+MIN(100,F106+$B$3)),(H106-G106)/2*(MAX(0,D106-$B$3)+MAX(0,F106-$B$3)))</x:f>
        <x:v>-0.08185842626508415</x:v>
      </x:c>
      <x:c r="O106" s="13" t="str">
        <x:v>I03 GP_Code!P2662/U2662; I04 Table_1!P771/U771</x:v>
      </x:c>
    </x:row>
    <x:row r="107" ht="24" customHeight="1">
      <x:c r="A107" s="13" t="str">
        <x:v>QHL</x:v>
      </x:c>
      <x:c r="B107" s="13" t="str">
        <x:v>M85134</x:v>
      </x:c>
      <x:c r="C107" s="13" t="n">
        <x:f>D442</x:f>
        <x:v>35</x:v>
      </x:c>
      <x:c r="D107" s="30" t="n">
        <x:f>E442</x:f>
        <x:v>80</x:v>
      </x:c>
      <x:c r="E107" s="13" t="n">
        <x:f>D812</x:f>
        <x:v>43</x:v>
      </x:c>
      <x:c r="F107" s="30" t="n">
        <x:f>E812</x:f>
        <x:v>88.4</x:v>
      </x:c>
      <x:c r="G107" s="31" t="n">
        <x:f>C107/$C$22</x:f>
        <x:v>0.0020004572473708276</x:v>
      </x:c>
      <x:c r="H107" s="31" t="n">
        <x:f>E107/$D$22</x:f>
        <x:v>0.0025059735415816774</x:v>
      </x:c>
      <x:c r="I107" s="31" t="n">
        <x:f>(G107+H107)/2*(F107-D107)</x:f>
        <x:v>0.018927009313600533</x:v>
      </x:c>
      <x:c r="J107" s="31" t="n">
        <x:f>(H107-G107)/2*(F107+D107)</x:f>
        <x:v>0.04256447197255356</x:v>
      </x:c>
      <x:c r="K107" s="31" t="n">
        <x:f>(G107+H107)/2*(MAX(0,F107-$B$3)-MIN(100,D107+$B$3))</x:f>
        <x:v>0.01870168777415292</x:v>
      </x:c>
      <x:c r="L107" s="31" t="n">
        <x:f>(G107+H107)/2*(MIN(100,F107+$B$3)-MAX(0,D107-$B$3))</x:f>
        <x:v>0.019152330853048145</x:v>
      </x:c>
      <x:c r="M107" s="31" t="n">
        <x:f>IF(H107&gt;=G107,(H107-G107)/2*(MAX(0,D107-$B$3)+MAX(0,F107-$B$3)),(H107-G107)/2*(MIN(100,D107+$B$3)+MIN(100,F107+$B$3)))</x:f>
        <x:v>0.04253919615784302</x:v>
      </x:c>
      <x:c r="N107" s="31" t="n">
        <x:f>IF(H107&gt;=G107,(H107-G107)/2*(MIN(100,D107+$B$3)+MIN(100,F107+$B$3)),(H107-G107)/2*(MAX(0,D107-$B$3)+MAX(0,F107-$B$3)))</x:f>
        <x:v>0.0425897477872641</x:v>
      </x:c>
      <x:c r="O107" s="13" t="str">
        <x:v>I03 GP_Code!P2663/U2663; I04 Table_1!P772/U772</x:v>
      </x:c>
    </x:row>
    <x:row r="108" ht="24" customHeight="1">
      <x:c r="A108" s="13" t="str">
        <x:v>QHL</x:v>
      </x:c>
      <x:c r="B108" s="13" t="str">
        <x:v>M85136</x:v>
      </x:c>
      <x:c r="C108" s="13" t="n">
        <x:f>D443</x:f>
        <x:v>188</x:v>
      </x:c>
      <x:c r="D108" s="30" t="n">
        <x:f>E443</x:f>
        <x:v>74.5</x:v>
      </x:c>
      <x:c r="E108" s="13" t="n">
        <x:f>D813</x:f>
        <x:v>189</x:v>
      </x:c>
      <x:c r="F108" s="30" t="n">
        <x:f>E813</x:f>
        <x:v>74.1</x:v>
      </x:c>
      <x:c r="G108" s="31" t="n">
        <x:f>C108/$C$22</x:f>
        <x:v>0.010745313214449017</x:v>
      </x:c>
      <x:c r="H108" s="31" t="n">
        <x:f>E108/$D$22</x:f>
        <x:v>0.011014627892068302</x:v>
      </x:c>
      <x:c r="I108" s="31" t="n">
        <x:f>(G108+H108)/2*(F108-D108)</x:f>
        <x:v>-0.004351988221303526</x:v>
      </x:c>
      <x:c r="J108" s="31" t="n">
        <x:f>(H108-G108)/2*(F108+D108)</x:f>
        <x:v>0.020010080547112875</x:v>
      </x:c>
      <x:c r="K108" s="31" t="n">
        <x:f>(G108+H108)/2*(MAX(0,F108-$B$3)-MIN(100,D108+$B$3))</x:f>
        <x:v>-0.00543998527662933</x:v>
      </x:c>
      <x:c r="L108" s="31" t="n">
        <x:f>(G108+H108)/2*(MIN(100,F108+$B$3)-MAX(0,D108-$B$3))</x:f>
        <x:v>-0.003263991165977722</x:v>
      </x:c>
      <x:c r="M108" s="31" t="n">
        <x:f>IF(H108&gt;=G108,(H108-G108)/2*(MAX(0,D108-$B$3)+MAX(0,F108-$B$3)),(H108-G108)/2*(MIN(100,D108+$B$3)+MIN(100,F108+$B$3)))</x:f>
        <x:v>0.01999661481323191</x:v>
      </x:c>
      <x:c r="N108" s="31" t="n">
        <x:f>IF(H108&gt;=G108,(H108-G108)/2*(MIN(100,D108+$B$3)+MIN(100,F108+$B$3)),(H108-G108)/2*(MAX(0,D108-$B$3)+MAX(0,F108-$B$3)))</x:f>
        <x:v>0.02002354628099384</x:v>
      </x:c>
      <x:c r="O108" s="13" t="str">
        <x:v>I03 GP_Code!P2664/U2664; I04 Table_1!P773/U773</x:v>
      </x:c>
    </x:row>
    <x:row r="109" ht="24" customHeight="1">
      <x:c r="A109" s="13" t="str">
        <x:v>QHL</x:v>
      </x:c>
      <x:c r="B109" s="13" t="str">
        <x:v>M85139</x:v>
      </x:c>
      <x:c r="C109" s="13" t="n">
        <x:f>D444</x:f>
        <x:v>81</x:v>
      </x:c>
      <x:c r="D109" s="30" t="n">
        <x:f>E444</x:f>
        <x:v>76.5</x:v>
      </x:c>
      <x:c r="E109" s="13" t="n">
        <x:f>D814</x:f>
        <x:v>88</x:v>
      </x:c>
      <x:c r="F109" s="30" t="n">
        <x:f>E814</x:f>
        <x:v>84.1</x:v>
      </x:c>
      <x:c r="G109" s="31" t="n">
        <x:f>C109/$C$22</x:f>
        <x:v>0.004629629629629629</x:v>
      </x:c>
      <x:c r="H109" s="31" t="n">
        <x:f>E109/$D$22</x:f>
        <x:v>0.00512850399207413</x:v>
      </x:c>
      <x:c r="I109" s="31" t="n">
        <x:f>(G109+H109)/2*(F109-D109)</x:f>
        <x:v>0.03708090776247426</x:v>
      </x:c>
      <x:c r="J109" s="31" t="n">
        <x:f>(H109-G109)/2*(F109+D109)</x:f>
        <x:v>0.040059611304293384</x:v>
      </x:c>
      <x:c r="K109" s="31" t="n">
        <x:f>(G109+H109)/2*(MAX(0,F109-$B$3)-MIN(100,D109+$B$3))</x:f>
        <x:v>0.036593001081389104</x:v>
      </x:c>
      <x:c r="L109" s="31" t="n">
        <x:f>(G109+H109)/2*(MIN(100,F109+$B$3)-MAX(0,D109-$B$3))</x:f>
        <x:v>0.037568814443559424</x:v>
      </x:c>
      <x:c r="M109" s="31" t="n">
        <x:f>IF(H109&gt;=G109,(H109-G109)/2*(MAX(0,D109-$B$3)+MAX(0,F109-$B$3)),(H109-G109)/2*(MIN(100,D109+$B$3)+MIN(100,F109+$B$3)))</x:f>
        <x:v>0.04003466758617116</x:v>
      </x:c>
      <x:c r="N109" s="31" t="n">
        <x:f>IF(H109&gt;=G109,(H109-G109)/2*(MIN(100,D109+$B$3)+MIN(100,F109+$B$3)),(H109-G109)/2*(MAX(0,D109-$B$3)+MAX(0,F109-$B$3)))</x:f>
        <x:v>0.04008455502241561</x:v>
      </x:c>
      <x:c r="O109" s="13" t="str">
        <x:v>I03 GP_Code!P2665/U2665; I04 Table_1!P774/U774</x:v>
      </x:c>
    </x:row>
    <x:row r="110" ht="24" customHeight="1">
      <x:c r="A110" s="13" t="str">
        <x:v>QHL</x:v>
      </x:c>
      <x:c r="B110" s="13" t="str">
        <x:v>M85141</x:v>
      </x:c>
      <x:c r="C110" s="13" t="n">
        <x:f>D445</x:f>
        <x:v>41</x:v>
      </x:c>
      <x:c r="D110" s="30" t="n">
        <x:f>E445</x:f>
        <x:v>75.6</x:v>
      </x:c>
      <x:c r="E110" s="13" t="n">
        <x:f>D815</x:f>
        <x:v>35</x:v>
      </x:c>
      <x:c r="F110" s="30" t="n">
        <x:f>E815</x:f>
        <x:v>74.3</x:v>
      </x:c>
      <x:c r="G110" s="31" t="n">
        <x:f>C110/$C$22</x:f>
        <x:v>0.002343392775491541</x:v>
      </x:c>
      <x:c r="H110" s="31" t="n">
        <x:f>E110/$D$22</x:f>
        <x:v>0.0020397459059385745</x:v>
      </x:c>
      <x:c r="I110" s="31" t="n">
        <x:f>(G110+H110)/2*(F110-D110)</x:f>
        <x:v>-0.002849040142929569</x:v>
      </x:c>
      <x:c r="J110" s="31" t="n">
        <x:f>(H110-G110)/2*(F110+D110)</x:f>
        <x:v>-0.02275833287299483</x:v>
      </x:c>
      <x:c r="K110" s="31" t="n">
        <x:f>(G110+H110)/2*(MAX(0,F110-$B$3)-MIN(100,D110+$B$3))</x:f>
        <x:v>-0.003068197077001062</x:v>
      </x:c>
      <x:c r="L110" s="31" t="n">
        <x:f>(G110+H110)/2*(MIN(100,F110+$B$3)-MAX(0,D110-$B$3))</x:f>
        <x:v>-0.0026298832088580753</x:v>
      </x:c>
      <x:c r="M110" s="31" t="n">
        <x:f>IF(H110&gt;=G110,(H110-G110)/2*(MAX(0,D110-$B$3)+MAX(0,F110-$B$3)),(H110-G110)/2*(MIN(100,D110+$B$3)+MIN(100,F110+$B$3)))</x:f>
        <x:v>-0.02277351521647248</x:v>
      </x:c>
      <x:c r="N110" s="31" t="n">
        <x:f>IF(H110&gt;=G110,(H110-G110)/2*(MIN(100,D110+$B$3)+MIN(100,F110+$B$3)),(H110-G110)/2*(MAX(0,D110-$B$3)+MAX(0,F110-$B$3)))</x:f>
        <x:v>-0.022743150529517184</x:v>
      </x:c>
      <x:c r="O110" s="13" t="str">
        <x:v>I03 GP_Code!P2666/U2666; I04 Table_1!P775/U775</x:v>
      </x:c>
    </x:row>
    <x:row r="111" ht="24" customHeight="1">
      <x:c r="A111" s="13" t="str">
        <x:v>QHL</x:v>
      </x:c>
      <x:c r="B111" s="13" t="str">
        <x:v>M85142</x:v>
      </x:c>
      <x:c r="C111" s="13" t="n">
        <x:f>D446</x:f>
        <x:v>14</x:v>
      </x:c>
      <x:c r="D111" s="30" t="n">
        <x:f>E446</x:f>
        <x:v>85.7</x:v>
      </x:c>
      <x:c r="E111" s="13" t="n">
        <x:f>D816</x:f>
        <x:v>15</x:v>
      </x:c>
      <x:c r="F111" s="30" t="n">
        <x:f>E816</x:f>
        <x:v>86.7</x:v>
      </x:c>
      <x:c r="G111" s="31" t="n">
        <x:f>C111/$C$22</x:f>
        <x:v>0.000800182898948331</x:v>
      </x:c>
      <x:c r="H111" s="31" t="n">
        <x:f>E111/$D$22</x:f>
        <x:v>0.0008741768168308177</x:v>
      </x:c>
      <x:c r="I111" s="31" t="n">
        <x:f>(G111+H111)/2*(F111-D111)</x:f>
        <x:v>0.0008371798578895743</x:v>
      </x:c>
      <x:c r="J111" s="31" t="n">
        <x:f>(H111-G111)/2*(F111+D111)</x:f>
        <x:v>0.006378275721470351</x:v>
      </x:c>
      <x:c r="K111" s="31" t="n">
        <x:f>(G111+H111)/2*(MAX(0,F111-$B$3)-MIN(100,D111+$B$3))</x:f>
        <x:v>0.0007534618721006216</x:v>
      </x:c>
      <x:c r="L111" s="31" t="n">
        <x:f>(G111+H111)/2*(MIN(100,F111+$B$3)-MAX(0,D111-$B$3))</x:f>
        <x:v>0.000920897843678527</x:v>
      </x:c>
      <x:c r="M111" s="31" t="n">
        <x:f>IF(H111&gt;=G111,(H111-G111)/2*(MAX(0,D111-$B$3)+MAX(0,F111-$B$3)),(H111-G111)/2*(MIN(100,D111+$B$3)+MIN(100,F111+$B$3)))</x:f>
        <x:v>0.006374576025576226</x:v>
      </x:c>
      <x:c r="N111" s="31" t="n">
        <x:f>IF(H111&gt;=G111,(H111-G111)/2*(MIN(100,D111+$B$3)+MIN(100,F111+$B$3)),(H111-G111)/2*(MAX(0,D111-$B$3)+MAX(0,F111-$B$3)))</x:f>
        <x:v>0.006381975417364474</x:v>
      </x:c>
      <x:c r="O111" s="13" t="str">
        <x:v>I03 GP_Code!P2667/U2667; I04 Table_1!P776/U776</x:v>
      </x:c>
    </x:row>
    <x:row r="112" ht="24" customHeight="1">
      <x:c r="A112" s="13" t="str">
        <x:v>QHL</x:v>
      </x:c>
      <x:c r="B112" s="13" t="str">
        <x:v>M85143</x:v>
      </x:c>
      <x:c r="C112" s="13" t="n">
        <x:f>D447</x:f>
        <x:v>83</x:v>
      </x:c>
      <x:c r="D112" s="30" t="n">
        <x:f>E447</x:f>
        <x:v>78.3</x:v>
      </x:c>
      <x:c r="E112" s="13" t="n">
        <x:f>D817</x:f>
        <x:v>80</x:v>
      </x:c>
      <x:c r="F112" s="30" t="n">
        <x:f>E817</x:f>
        <x:v>70</x:v>
      </x:c>
      <x:c r="G112" s="31" t="n">
        <x:f>C112/$C$22</x:f>
        <x:v>0.004743941472336534</x:v>
      </x:c>
      <x:c r="H112" s="31" t="n">
        <x:f>E112/$D$22</x:f>
        <x:v>0.004662276356431028</x:v>
      </x:c>
      <x:c r="I112" s="31" t="n">
        <x:f>(G112+H112)/2*(F112-D112)</x:f>
        <x:v>-0.03903580398938537</x:v>
      </x:c>
      <x:c r="J112" s="31" t="n">
        <x:f>(H112-G112)/2*(F112+D112)</x:f>
        <x:v>-0.006055468344393301</x:v>
      </x:c>
      <x:c r="K112" s="31" t="n">
        <x:f>(G112+H112)/2*(MAX(0,F112-$B$3)-MIN(100,D112+$B$3))</x:f>
        <x:v>-0.03950611488082372</x:v>
      </x:c>
      <x:c r="L112" s="31" t="n">
        <x:f>(G112+H112)/2*(MIN(100,F112+$B$3)-MAX(0,D112-$B$3))</x:f>
        <x:v>-0.038565493097947025</x:v>
      </x:c>
      <x:c r="M112" s="31" t="n">
        <x:f>IF(H112&gt;=G112,(H112-G112)/2*(MAX(0,D112-$B$3)+MAX(0,F112-$B$3)),(H112-G112)/2*(MIN(100,D112+$B$3)+MIN(100,F112+$B$3)))</x:f>
        <x:v>-0.006059551600188575</x:v>
      </x:c>
      <x:c r="N112" s="31" t="n">
        <x:f>IF(H112&gt;=G112,(H112-G112)/2*(MIN(100,D112+$B$3)+MIN(100,F112+$B$3)),(H112-G112)/2*(MAX(0,D112-$B$3)+MAX(0,F112-$B$3)))</x:f>
        <x:v>-0.006051385088598024</x:v>
      </x:c>
      <x:c r="O112" s="13" t="str">
        <x:v>I03 GP_Code!P2668/U2668; I04 Table_1!P777/U777</x:v>
      </x:c>
    </x:row>
    <x:row r="113" ht="24" customHeight="1">
      <x:c r="A113" s="13" t="str">
        <x:v>QHL</x:v>
      </x:c>
      <x:c r="B113" s="13" t="str">
        <x:v>M85146</x:v>
      </x:c>
      <x:c r="C113" s="13" t="n">
        <x:f>D448</x:f>
        <x:v>79</x:v>
      </x:c>
      <x:c r="D113" s="30" t="n">
        <x:f>E448</x:f>
        <x:v>64.6</x:v>
      </x:c>
      <x:c r="E113" s="13" t="n">
        <x:f>D819</x:f>
        <x:v>68</x:v>
      </x:c>
      <x:c r="F113" s="30" t="n">
        <x:f>E819</x:f>
        <x:v>64.7</x:v>
      </x:c>
      <x:c r="G113" s="31" t="n">
        <x:f>C113/$C$22</x:f>
        <x:v>0.004515317786922725</x:v>
      </x:c>
      <x:c r="H113" s="31" t="n">
        <x:f>E113/$D$22</x:f>
        <x:v>0.003962934902966373</x:v>
      </x:c>
      <x:c r="I113" s="31" t="n">
        <x:f>(G113+H113)/2*(F113-D113)</x:f>
        <x:v>0.0004239126344944911</x:v>
      </x:c>
      <x:c r="J113" s="31" t="n">
        <x:f>(H113-G113)/2*(F113+D113)</x:f>
        <x:v>-0.035711553447778176</x:v>
      </x:c>
      <x:c r="K113" s="31" t="n">
        <x:f>(G113+H113)/2*(MAX(0,F113-$B$3)-MIN(100,D113+$B$3))</x:f>
        <x:v>6.024160860739229e-17</x:v>
      </x:c>
      <x:c r="L113" s="31" t="n">
        <x:f>(G113+H113)/2*(MIN(100,F113+$B$3)-MAX(0,D113-$B$3))</x:f>
        <x:v>0.000847825268988922</x:v>
      </x:c>
      <x:c r="M113" s="31" t="n">
        <x:f>IF(H113&gt;=G113,(H113-G113)/2*(MAX(0,D113-$B$3)+MAX(0,F113-$B$3)),(H113-G113)/2*(MIN(100,D113+$B$3)+MIN(100,F113+$B$3)))</x:f>
        <x:v>-0.03573917259197598</x:v>
      </x:c>
      <x:c r="N113" s="31" t="n">
        <x:f>IF(H113&gt;=G113,(H113-G113)/2*(MIN(100,D113+$B$3)+MIN(100,F113+$B$3)),(H113-G113)/2*(MAX(0,D113-$B$3)+MAX(0,F113-$B$3)))</x:f>
        <x:v>-0.035683934303580356</x:v>
      </x:c>
      <x:c r="O113" s="13" t="str">
        <x:v>I03 GP_Code!P2669/U2669; I04 Table_1!P779/U779</x:v>
      </x:c>
    </x:row>
    <x:row r="114" ht="24" customHeight="1">
      <x:c r="A114" s="13" t="str">
        <x:v>QHL</x:v>
      </x:c>
      <x:c r="B114" s="13" t="str">
        <x:v>M85149</x:v>
      </x:c>
      <x:c r="C114" s="13" t="n">
        <x:f>D449</x:f>
        <x:v>66</x:v>
      </x:c>
      <x:c r="D114" s="30" t="n">
        <x:f>E449</x:f>
        <x:v>81.8</x:v>
      </x:c>
      <x:c r="E114" s="13" t="n">
        <x:f>D820</x:f>
        <x:v>66</x:v>
      </x:c>
      <x:c r="F114" s="30" t="n">
        <x:f>E820</x:f>
        <x:v>78.8</x:v>
      </x:c>
      <x:c r="G114" s="31" t="n">
        <x:f>C114/$C$22</x:f>
        <x:v>0.0037722908093278463</x:v>
      </x:c>
      <x:c r="H114" s="31" t="n">
        <x:f>E114/$D$22</x:f>
        <x:v>0.0038463779940555976</x:v>
      </x:c>
      <x:c r="I114" s="31" t="n">
        <x:f>(G114+H114)/2*(F114-D114)</x:f>
        <x:v>-0.011428003205075164</x:v>
      </x:c>
      <x:c r="J114" s="31" t="n">
        <x:f>(H114-G114)/2*(F114+D114)</x:f>
        <x:v>0.005949200933638433</x:v>
      </x:c>
      <x:c r="K114" s="31" t="n">
        <x:f>(G114+H114)/2*(MAX(0,F114-$B$3)-MIN(100,D114+$B$3))</x:f>
        <x:v>-0.011808936645244315</x:v>
      </x:c>
      <x:c r="L114" s="31" t="n">
        <x:f>(G114+H114)/2*(MIN(100,F114+$B$3)-MAX(0,D114-$B$3))</x:f>
        <x:v>-0.011047069764906015</x:v>
      </x:c>
      <x:c r="M114" s="31" t="n">
        <x:f>IF(H114&gt;=G114,(H114-G114)/2*(MAX(0,D114-$B$3)+MAX(0,F114-$B$3)),(H114-G114)/2*(MIN(100,D114+$B$3)+MIN(100,F114+$B$3)))</x:f>
        <x:v>0.005945496574402046</x:v>
      </x:c>
      <x:c r="N114" s="31" t="n">
        <x:f>IF(H114&gt;=G114,(H114-G114)/2*(MIN(100,D114+$B$3)+MIN(100,F114+$B$3)),(H114-G114)/2*(MAX(0,D114-$B$3)+MAX(0,F114-$B$3)))</x:f>
        <x:v>0.00595290529287482</x:v>
      </x:c>
      <x:c r="O114" s="13" t="str">
        <x:v>I03 GP_Code!P2670/U2670; I04 Table_1!P780/U780</x:v>
      </x:c>
    </x:row>
    <x:row r="115" ht="24" customHeight="1">
      <x:c r="A115" s="13" t="str">
        <x:v>QHL</x:v>
      </x:c>
      <x:c r="B115" s="13" t="str">
        <x:v>M85153</x:v>
      </x:c>
      <x:c r="C115" s="13" t="n">
        <x:f>D450</x:f>
        <x:v>45</x:v>
      </x:c>
      <x:c r="D115" s="30" t="n">
        <x:f>E450</x:f>
        <x:v>86.7</x:v>
      </x:c>
      <x:c r="E115" s="13" t="n">
        <x:f>D821</x:f>
        <x:v>48</x:v>
      </x:c>
      <x:c r="F115" s="30" t="n">
        <x:f>E821</x:f>
        <x:v>70.8</x:v>
      </x:c>
      <x:c r="G115" s="31" t="n">
        <x:f>C115/$C$22</x:f>
        <x:v>0.00257201646090535</x:v>
      </x:c>
      <x:c r="H115" s="31" t="n">
        <x:f>E115/$D$22</x:f>
        <x:v>0.0027973658138586164</x:v>
      </x:c>
      <x:c r="I115" s="31" t="n">
        <x:f>(G115+H115)/2*(F115-D115)</x:f>
        <x:v>-0.04268658908437354</x:v>
      </x:c>
      <x:c r="J115" s="31" t="n">
        <x:f>(H115-G115)/2*(F115+D115)</x:f>
        <x:v>0.017746261545069742</x:v>
      </x:c>
      <x:c r="K115" s="31" t="n">
        <x:f>(G115+H115)/2*(MAX(0,F115-$B$3)-MIN(100,D115+$B$3))</x:f>
        <x:v>-0.042955058198111726</x:v>
      </x:c>
      <x:c r="L115" s="31" t="n">
        <x:f>(G115+H115)/2*(MIN(100,F115+$B$3)-MAX(0,D115-$B$3))</x:f>
        <x:v>-0.04241811997063536</x:v>
      </x:c>
      <x:c r="M115" s="31" t="n">
        <x:f>IF(H115&gt;=G115,(H115-G115)/2*(MAX(0,D115-$B$3)+MAX(0,F115-$B$3)),(H115-G115)/2*(MIN(100,D115+$B$3)+MIN(100,F115+$B$3)))</x:f>
        <x:v>0.01773499407742208</x:v>
      </x:c>
      <x:c r="N115" s="31" t="n">
        <x:f>IF(H115&gt;=G115,(H115-G115)/2*(MIN(100,D115+$B$3)+MIN(100,F115+$B$3)),(H115-G115)/2*(MAX(0,D115-$B$3)+MAX(0,F115-$B$3)))</x:f>
        <x:v>0.017757529012717405</x:v>
      </x:c>
      <x:c r="O115" s="13" t="str">
        <x:v>I03 GP_Code!P2671/U2671; I04 Table_1!P781/U781</x:v>
      </x:c>
    </x:row>
    <x:row r="116" ht="24" customHeight="1">
      <x:c r="A116" s="13" t="str">
        <x:v>QHL</x:v>
      </x:c>
      <x:c r="B116" s="13" t="str">
        <x:v>M85154</x:v>
      </x:c>
      <x:c r="C116" s="13" t="n">
        <x:f>D451</x:f>
        <x:v>74</x:v>
      </x:c>
      <x:c r="D116" s="30" t="n">
        <x:f>E451</x:f>
        <x:v>81.1</x:v>
      </x:c>
      <x:c r="E116" s="13" t="n">
        <x:f>D822</x:f>
        <x:v>60</x:v>
      </x:c>
      <x:c r="F116" s="30" t="n">
        <x:f>E822</x:f>
        <x:v>95</x:v>
      </x:c>
      <x:c r="G116" s="31" t="n">
        <x:f>C116/$C$22</x:f>
        <x:v>0.004229538180155464</x:v>
      </x:c>
      <x:c r="H116" s="31" t="n">
        <x:f>E116/$D$22</x:f>
        <x:v>0.0034967072673232707</x:v>
      </x:c>
      <x:c r="I116" s="31" t="n">
        <x:f>(G116+H116)/2*(F116-D116)</x:f>
        <x:v>0.053697405859977225</x:v>
      </x:c>
      <x:c r="J116" s="31" t="n">
        <x:f>(H116-G116)/2*(F116+D116)</x:f>
        <x:v>-0.06452576187487462</x:v>
      </x:c>
      <x:c r="K116" s="31" t="n">
        <x:f>(G116+H116)/2*(MAX(0,F116-$B$3)-MIN(100,D116+$B$3))</x:f>
        <x:v>0.05331109358760331</x:v>
      </x:c>
      <x:c r="L116" s="31" t="n">
        <x:f>(G116+H116)/2*(MIN(100,F116+$B$3)-MAX(0,D116-$B$3))</x:f>
        <x:v>0.05408371813235114</x:v>
      </x:c>
      <x:c r="M116" s="31" t="n">
        <x:f>IF(H116&gt;=G116,(H116-G116)/2*(MAX(0,D116-$B$3)+MAX(0,F116-$B$3)),(H116-G116)/2*(MIN(100,D116+$B$3)+MIN(100,F116+$B$3)))</x:f>
        <x:v>-0.06456240342051624</x:v>
      </x:c>
      <x:c r="N116" s="31" t="n">
        <x:f>IF(H116&gt;=G116,(H116-G116)/2*(MIN(100,D116+$B$3)+MIN(100,F116+$B$3)),(H116-G116)/2*(MAX(0,D116-$B$3)+MAX(0,F116-$B$3)))</x:f>
        <x:v>-0.06448912032923301</x:v>
      </x:c>
      <x:c r="O116" s="13" t="str">
        <x:v>I03 GP_Code!P2672/U2672; I04 Table_1!P782/U782</x:v>
      </x:c>
    </x:row>
    <x:row r="117" ht="24" customHeight="1">
      <x:c r="A117" s="13" t="str">
        <x:v>QHL</x:v>
      </x:c>
      <x:c r="B117" s="13" t="str">
        <x:v>M85155</x:v>
      </x:c>
      <x:c r="C117" s="13" t="n">
        <x:f>D452</x:f>
        <x:v>75</x:v>
      </x:c>
      <x:c r="D117" s="30" t="n">
        <x:f>E452</x:f>
        <x:v>89.3</x:v>
      </x:c>
      <x:c r="E117" s="13" t="n">
        <x:f>D823</x:f>
        <x:v>114</x:v>
      </x:c>
      <x:c r="F117" s="30" t="n">
        <x:f>E823</x:f>
        <x:v>88.6</x:v>
      </x:c>
      <x:c r="G117" s="31" t="n">
        <x:f>C117/$C$22</x:f>
        <x:v>0.0042866941015089165</x:v>
      </x:c>
      <x:c r="H117" s="31" t="n">
        <x:f>E117/$D$22</x:f>
        <x:v>0.006643743807914214</x:v>
      </x:c>
      <x:c r="I117" s="31" t="n">
        <x:f>(G117+H117)/2*(F117-D117)</x:f>
        <x:v>-0.0038256532682981116</x:v>
      </x:c>
      <x:c r="J117" s="31" t="n">
        <x:f>(H117-G117)/2*(F117+D117)</x:f>
        <x:v>0.20965957138475122</x:v>
      </x:c>
      <x:c r="K117" s="31" t="n">
        <x:f>(G117+H117)/2*(MAX(0,F117-$B$3)-MIN(100,D117+$B$3))</x:f>
        <x:v>-0.004372175163769237</x:v>
      </x:c>
      <x:c r="L117" s="31" t="n">
        <x:f>(G117+H117)/2*(MIN(100,F117+$B$3)-MAX(0,D117-$B$3))</x:f>
        <x:v>-0.003279131372826986</x:v>
      </x:c>
      <x:c r="M117" s="31" t="n">
        <x:f>IF(H117&gt;=G117,(H117-G117)/2*(MAX(0,D117-$B$3)+MAX(0,F117-$B$3)),(H117-G117)/2*(MIN(100,D117+$B$3)+MIN(100,F117+$B$3)))</x:f>
        <x:v>0.209541718899431</x:v>
      </x:c>
      <x:c r="N117" s="31" t="n">
        <x:f>IF(H117&gt;=G117,(H117-G117)/2*(MIN(100,D117+$B$3)+MIN(100,F117+$B$3)),(H117-G117)/2*(MAX(0,D117-$B$3)+MAX(0,F117-$B$3)))</x:f>
        <x:v>0.2097774238700715</x:v>
      </x:c>
      <x:c r="O117" s="13" t="str">
        <x:v>I03 GP_Code!P2673/U2673; I04 Table_1!P783/U783</x:v>
      </x:c>
    </x:row>
    <x:row r="118" ht="24" customHeight="1">
      <x:c r="A118" s="13" t="str">
        <x:v>QHL</x:v>
      </x:c>
      <x:c r="B118" s="13" t="str">
        <x:v>M85156</x:v>
      </x:c>
      <x:c r="C118" s="13" t="n">
        <x:f>D453</x:f>
        <x:v>109</x:v>
      </x:c>
      <x:c r="D118" s="30" t="n">
        <x:f>E453</x:f>
        <x:v>75.2</x:v>
      </x:c>
      <x:c r="E118" s="13" t="n">
        <x:f>D824</x:f>
        <x:v>114</x:v>
      </x:c>
      <x:c r="F118" s="30" t="n">
        <x:f>E824</x:f>
        <x:v>78.1</x:v>
      </x:c>
      <x:c r="G118" s="31" t="n">
        <x:f>C118/$C$22</x:f>
        <x:v>0.006229995427526292</x:v>
      </x:c>
      <x:c r="H118" s="31" t="n">
        <x:f>E118/$D$22</x:f>
        <x:v>0.006643743807914214</x:v>
      </x:c>
      <x:c r="I118" s="31" t="n">
        <x:f>(G118+H118)/2*(F118-D118)</x:f>
        <x:v>0.018666921891388678</x:v>
      </x:c>
      <x:c r="J118" s="31" t="n">
        <x:f>(H118-G118)/2*(F118+D118)</x:f>
        <x:v>0.03171381335673428</x:v>
      </x:c>
      <x:c r="K118" s="31" t="n">
        <x:f>(G118+H118)/2*(MAX(0,F118-$B$3)-MIN(100,D118+$B$3))</x:f>
        <x:v>0.018023234929616692</x:v>
      </x:c>
      <x:c r="L118" s="31" t="n">
        <x:f>(G118+H118)/2*(MIN(100,F118+$B$3)-MAX(0,D118-$B$3))</x:f>
        <x:v>0.019310608853160667</x:v>
      </x:c>
      <x:c r="M118" s="31" t="n">
        <x:f>IF(H118&gt;=G118,(H118-G118)/2*(MAX(0,D118-$B$3)+MAX(0,F118-$B$3)),(H118-G118)/2*(MIN(100,D118+$B$3)+MIN(100,F118+$B$3)))</x:f>
        <x:v>0.03169312593771488</x:v>
      </x:c>
      <x:c r="N118" s="31" t="n">
        <x:f>IF(H118&gt;=G118,(H118-G118)/2*(MIN(100,D118+$B$3)+MIN(100,F118+$B$3)),(H118-G118)/2*(MAX(0,D118-$B$3)+MAX(0,F118-$B$3)))</x:f>
        <x:v>0.031734500775753675</x:v>
      </x:c>
      <x:c r="O118" s="13" t="str">
        <x:v>I03 GP_Code!P2674/U2674; I04 Table_1!P784/U784</x:v>
      </x:c>
    </x:row>
    <x:row r="119" ht="24" customHeight="1">
      <x:c r="A119" s="13" t="str">
        <x:v>QHL</x:v>
      </x:c>
      <x:c r="B119" s="13" t="str">
        <x:v>M85158</x:v>
      </x:c>
      <x:c r="C119" s="13" t="n">
        <x:f>D454</x:f>
        <x:v>27</x:v>
      </x:c>
      <x:c r="D119" s="30" t="n">
        <x:f>E454</x:f>
        <x:v>77.8</x:v>
      </x:c>
      <x:c r="E119" s="13" t="n">
        <x:f>D825</x:f>
        <x:v>26</x:v>
      </x:c>
      <x:c r="F119" s="30" t="n">
        <x:f>E825</x:f>
        <x:v>88.5</x:v>
      </x:c>
      <x:c r="G119" s="31" t="n">
        <x:f>C119/$C$22</x:f>
        <x:v>0.0015432098765432098</x:v>
      </x:c>
      <x:c r="H119" s="31" t="n">
        <x:f>E119/$D$22</x:f>
        <x:v>0.001515239815840084</x:v>
      </x:c>
      <x:c r="I119" s="31" t="n">
        <x:f>(G119+H119)/2*(F119-D119)</x:f>
        <x:v>0.016362705854250623</x:v>
      </x:c>
      <x:c r="J119" s="31" t="n">
        <x:f>(H119-G119)/2*(F119+D119)</x:f>
        <x:v>-0.0023257105474649184</x:v>
      </x:c>
      <x:c r="K119" s="31" t="n">
        <x:f>(G119+H119)/2*(MAX(0,F119-$B$3)-MIN(100,D119+$B$3))</x:f>
        <x:v>0.01620978336963147</x:v>
      </x:c>
      <x:c r="L119" s="31" t="n">
        <x:f>(G119+H119)/2*(MIN(100,F119+$B$3)-MAX(0,D119-$B$3))</x:f>
        <x:v>0.01651562833886978</x:v>
      </x:c>
      <x:c r="M119" s="31" t="n">
        <x:f>IF(H119&gt;=G119,(H119-G119)/2*(MAX(0,D119-$B$3)+MAX(0,F119-$B$3)),(H119-G119)/2*(MIN(100,D119+$B$3)+MIN(100,F119+$B$3)))</x:f>
        <x:v>-0.002327109050500074</x:v>
      </x:c>
      <x:c r="N119" s="31" t="n">
        <x:f>IF(H119&gt;=G119,(H119-G119)/2*(MIN(100,D119+$B$3)+MIN(100,F119+$B$3)),(H119-G119)/2*(MAX(0,D119-$B$3)+MAX(0,F119-$B$3)))</x:f>
        <x:v>-0.0023243120444297618</x:v>
      </x:c>
      <x:c r="O119" s="13" t="str">
        <x:v>I03 GP_Code!P2675/U2675; I04 Table_1!P785/U785</x:v>
      </x:c>
    </x:row>
    <x:row r="120" ht="24" customHeight="1">
      <x:c r="A120" s="13" t="str">
        <x:v>QHL</x:v>
      </x:c>
      <x:c r="B120" s="13" t="str">
        <x:v>M85164</x:v>
      </x:c>
      <x:c r="C120" s="13" t="n">
        <x:f>D455</x:f>
        <x:v>187</x:v>
      </x:c>
      <x:c r="D120" s="30" t="n">
        <x:f>E455</x:f>
        <x:v>72.2</x:v>
      </x:c>
      <x:c r="E120" s="13" t="n">
        <x:f>D826</x:f>
        <x:v>188</x:v>
      </x:c>
      <x:c r="F120" s="30" t="n">
        <x:f>E826</x:f>
        <x:v>69.1</x:v>
      </x:c>
      <x:c r="G120" s="31" t="n">
        <x:f>C120/$C$22</x:f>
        <x:v>0.010688157293095565</x:v>
      </x:c>
      <x:c r="H120" s="31" t="n">
        <x:f>E120/$D$22</x:f>
        <x:v>0.010956349437612915</x:v>
      </x:c>
      <x:c r="I120" s="31" t="n">
        <x:f>(G120+H120)/2*(F120-D120)</x:f>
        <x:v>-0.03354898543259824</x:v>
      </x:c>
      <x:c r="J120" s="31" t="n">
        <x:f>(H120-G120)/2*(F120+D120)</x:f>
        <x:v>0.018947775010150773</x:v>
      </x:c>
      <x:c r="K120" s="31" t="n">
        <x:f>(G120+H120)/2*(MAX(0,F120-$B$3)-MIN(100,D120+$B$3))</x:f>
        <x:v>-0.0346312107691336</x:v>
      </x:c>
      <x:c r="L120" s="31" t="n">
        <x:f>(G120+H120)/2*(MIN(100,F120+$B$3)-MAX(0,D120-$B$3))</x:f>
        <x:v>-0.03246676009606288</x:v>
      </x:c>
      <x:c r="M120" s="31" t="n">
        <x:f>IF(H120&gt;=G120,(H120-G120)/2*(MAX(0,D120-$B$3)+MAX(0,F120-$B$3)),(H120-G120)/2*(MIN(100,D120+$B$3)+MIN(100,F120+$B$3)))</x:f>
        <x:v>0.018934365402924903</x:v>
      </x:c>
      <x:c r="N120" s="31" t="n">
        <x:f>IF(H120&gt;=G120,(H120-G120)/2*(MIN(100,D120+$B$3)+MIN(100,F120+$B$3)),(H120-G120)/2*(MAX(0,D120-$B$3)+MAX(0,F120-$B$3)))</x:f>
        <x:v>0.018961184617376635</x:v>
      </x:c>
      <x:c r="O120" s="13" t="str">
        <x:v>I03 GP_Code!P2676/U2676; I04 Table_1!P786/U786</x:v>
      </x:c>
    </x:row>
    <x:row r="121" ht="24" customHeight="1">
      <x:c r="A121" s="13" t="str">
        <x:v>QHL</x:v>
      </x:c>
      <x:c r="B121" s="13" t="str">
        <x:v>M85167</x:v>
      </x:c>
      <x:c r="C121" s="13" t="n">
        <x:f>D456</x:f>
        <x:v>43</x:v>
      </x:c>
      <x:c r="D121" s="30" t="n">
        <x:f>E456</x:f>
        <x:v>65.1</x:v>
      </x:c>
      <x:c r="E121" s="13" t="n">
        <x:f>D827</x:f>
        <x:v>44</x:v>
      </x:c>
      <x:c r="F121" s="30" t="n">
        <x:f>E827</x:f>
        <x:v>61.4</x:v>
      </x:c>
      <x:c r="G121" s="31" t="n">
        <x:f>C121/$C$22</x:f>
        <x:v>0.0024577046181984454</x:v>
      </x:c>
      <x:c r="H121" s="31" t="n">
        <x:f>E121/$D$22</x:f>
        <x:v>0.002564251996037065</x:v>
      </x:c>
      <x:c r="I121" s="31" t="n">
        <x:f>(G121+H121)/2*(F121-D121)</x:f>
        <x:v>-0.009290619736335683</x:v>
      </x:c>
      <x:c r="J121" s="31" t="n">
        <x:f>(H121-G121)/2*(F121+D121)</x:f>
        <x:v>0.006739121648292688</x:v>
      </x:c>
      <x:c r="K121" s="31" t="n">
        <x:f>(G121+H121)/2*(MAX(0,F121-$B$3)-MIN(100,D121+$B$3))</x:f>
        <x:v>-0.009541717567047445</x:v>
      </x:c>
      <x:c r="L121" s="31" t="n">
        <x:f>(G121+H121)/2*(MIN(100,F121+$B$3)-MAX(0,D121-$B$3))</x:f>
        <x:v>-0.009039521905623923</x:v>
      </x:c>
      <x:c r="M121" s="31" t="n">
        <x:f>IF(H121&gt;=G121,(H121-G121)/2*(MAX(0,D121-$B$3)+MAX(0,F121-$B$3)),(H121-G121)/2*(MIN(100,D121+$B$3)+MIN(100,F121+$B$3)))</x:f>
        <x:v>0.006733794279400757</x:v>
      </x:c>
      <x:c r="N121" s="31" t="n">
        <x:f>IF(H121&gt;=G121,(H121-G121)/2*(MIN(100,D121+$B$3)+MIN(100,F121+$B$3)),(H121-G121)/2*(MAX(0,D121-$B$3)+MAX(0,F121-$B$3)))</x:f>
        <x:v>0.006744449017184619</x:v>
      </x:c>
      <x:c r="O121" s="13" t="str">
        <x:v>I03 GP_Code!P2677/U2677; I04 Table_1!P787/U787</x:v>
      </x:c>
    </x:row>
    <x:row r="122" ht="24" customHeight="1">
      <x:c r="A122" s="13" t="str">
        <x:v>QHL</x:v>
      </x:c>
      <x:c r="B122" s="13" t="str">
        <x:v>M85170</x:v>
      </x:c>
      <x:c r="C122" s="13" t="n">
        <x:f>D457</x:f>
        <x:v>71</x:v>
      </x:c>
      <x:c r="D122" s="30" t="n">
        <x:f>E457</x:f>
        <x:v>80.3</x:v>
      </x:c>
      <x:c r="E122" s="13" t="n">
        <x:f>D828</x:f>
        <x:v>89</x:v>
      </x:c>
      <x:c r="F122" s="30" t="n">
        <x:f>E828</x:f>
        <x:v>77.5</x:v>
      </x:c>
      <x:c r="G122" s="31" t="n">
        <x:f>C122/$C$22</x:f>
        <x:v>0.004058070416095108</x:v>
      </x:c>
      <x:c r="H122" s="31" t="n">
        <x:f>E122/$D$22</x:f>
        <x:v>0.005186782446529518</x:v>
      </x:c>
      <x:c r="I122" s="31" t="n">
        <x:f>(G122+H122)/2*(F122-D122)</x:f>
        <x:v>-0.012942794007674462</x:v>
      </x:c>
      <x:c r="J122" s="31" t="n">
        <x:f>(H122-G122)/2*(F122+D122)</x:f>
        <x:v>0.08905537920127501</x:v>
      </x:c>
      <x:c r="K122" s="31" t="n">
        <x:f>(G122+H122)/2*(MAX(0,F122-$B$3)-MIN(100,D122+$B$3))</x:f>
        <x:v>-0.013405036650805668</x:v>
      </x:c>
      <x:c r="L122" s="31" t="n">
        <x:f>(G122+H122)/2*(MIN(100,F122+$B$3)-MAX(0,D122-$B$3))</x:f>
        <x:v>-0.012480551364543258</x:v>
      </x:c>
      <x:c r="M122" s="31" t="n">
        <x:f>IF(H122&gt;=G122,(H122-G122)/2*(MAX(0,D122-$B$3)+MAX(0,F122-$B$3)),(H122-G122)/2*(MIN(100,D122+$B$3)+MIN(100,F122+$B$3)))</x:f>
        <x:v>0.08899894359975327</x:v>
      </x:c>
      <x:c r="N122" s="31" t="n">
        <x:f>IF(H122&gt;=G122,(H122-G122)/2*(MIN(100,D122+$B$3)+MIN(100,F122+$B$3)),(H122-G122)/2*(MAX(0,D122-$B$3)+MAX(0,F122-$B$3)))</x:f>
        <x:v>0.08911181480279672</x:v>
      </x:c>
      <x:c r="O122" s="13" t="str">
        <x:v>I03 GP_Code!P2678/U2678; I04 Table_1!P788/U788</x:v>
      </x:c>
    </x:row>
    <x:row r="123" ht="24" customHeight="1">
      <x:c r="A123" s="13" t="str">
        <x:v>QHL</x:v>
      </x:c>
      <x:c r="B123" s="13" t="str">
        <x:v>M85171</x:v>
      </x:c>
      <x:c r="C123" s="13" t="n">
        <x:f>D458</x:f>
        <x:v>31</x:v>
      </x:c>
      <x:c r="D123" s="30" t="n">
        <x:f>E458</x:f>
        <x:v>87.1</x:v>
      </x:c>
      <x:c r="E123" s="13" t="n">
        <x:f>D829</x:f>
        <x:v>36</x:v>
      </x:c>
      <x:c r="F123" s="30" t="n">
        <x:f>E829</x:f>
        <x:v>86.1</x:v>
      </x:c>
      <x:c r="G123" s="31" t="n">
        <x:f>C123/$C$22</x:f>
        <x:v>0.0017718335619570187</x:v>
      </x:c>
      <x:c r="H123" s="31" t="n">
        <x:f>E123/$D$22</x:f>
        <x:v>0.0020980243603939625</x:v>
      </x:c>
      <x:c r="I123" s="31" t="n">
        <x:f>(G123+H123)/2*(F123-D123)</x:f>
        <x:v>-0.0019349289611754906</x:v>
      </x:c>
      <x:c r="J123" s="31" t="n">
        <x:f>(H123-G123)/2*(F123+D123)</x:f>
        <x:v>0.028248123144639332</x:v>
      </x:c>
      <x:c r="K123" s="31" t="n">
        <x:f>(G123+H123)/2*(MAX(0,F123-$B$3)-MIN(100,D123+$B$3))</x:f>
        <x:v>-0.002128421857293029</x:v>
      </x:c>
      <x:c r="L123" s="31" t="n">
        <x:f>(G123+H123)/2*(MIN(100,F123+$B$3)-MAX(0,D123-$B$3))</x:f>
        <x:v>-0.0017414360650579526</x:v>
      </x:c>
      <x:c r="M123" s="31" t="n">
        <x:f>IF(H123&gt;=G123,(H123-G123)/2*(MAX(0,D123-$B$3)+MAX(0,F123-$B$3)),(H123-G123)/2*(MIN(100,D123+$B$3)+MIN(100,F123+$B$3)))</x:f>
        <x:v>0.028231813604717486</x:v>
      </x:c>
      <x:c r="N123" s="31" t="n">
        <x:f>IF(H123&gt;=G123,(H123-G123)/2*(MIN(100,D123+$B$3)+MIN(100,F123+$B$3)),(H123-G123)/2*(MAX(0,D123-$B$3)+MAX(0,F123-$B$3)))</x:f>
        <x:v>0.028264432684561178</x:v>
      </x:c>
      <x:c r="O123" s="13" t="str">
        <x:v>I03 GP_Code!P2679/U2679; I04 Table_1!P789/U789</x:v>
      </x:c>
    </x:row>
    <x:row r="124" ht="24" customHeight="1">
      <x:c r="A124" s="13" t="str">
        <x:v>QHL</x:v>
      </x:c>
      <x:c r="B124" s="13" t="str">
        <x:v>M85172</x:v>
      </x:c>
      <x:c r="C124" s="13" t="n">
        <x:f>D459</x:f>
        <x:v>199</x:v>
      </x:c>
      <x:c r="D124" s="30" t="n">
        <x:f>E459</x:f>
        <x:v>80.4</x:v>
      </x:c>
      <x:c r="E124" s="13" t="n">
        <x:f>D830</x:f>
        <x:v>161</x:v>
      </x:c>
      <x:c r="F124" s="30" t="n">
        <x:f>E830</x:f>
        <x:v>82</x:v>
      </x:c>
      <x:c r="G124" s="31" t="n">
        <x:f>C124/$C$22</x:f>
        <x:v>0.011374028349336991</x:v>
      </x:c>
      <x:c r="H124" s="31" t="n">
        <x:f>E124/$D$22</x:f>
        <x:v>0.009382831167317442</x:v>
      </x:c>
      <x:c r="I124" s="31" t="n">
        <x:f>(G124+H124)/2*(F124-D124)</x:f>
        <x:v>0.016605487613323488</x:v>
      </x:c>
      <x:c r="J124" s="31" t="n">
        <x:f>(H124-G124)/2*(F124+D124)</x:f>
        <x:v>-0.16168521117998738</x:v>
      </x:c>
      <x:c r="K124" s="31" t="n">
        <x:f>(G124+H124)/2*(MAX(0,F124-$B$3)-MIN(100,D124+$B$3))</x:f>
        <x:v>0.015567644637490826</x:v>
      </x:c>
      <x:c r="L124" s="31" t="n">
        <x:f>(G124+H124)/2*(MIN(100,F124+$B$3)-MAX(0,D124-$B$3))</x:f>
        <x:v>0.01764333058915615</x:v>
      </x:c>
      <x:c r="M124" s="31" t="n">
        <x:f>IF(H124&gt;=G124,(H124-G124)/2*(MAX(0,D124-$B$3)+MAX(0,F124-$B$3)),(H124-G124)/2*(MIN(100,D124+$B$3)+MIN(100,F124+$B$3)))</x:f>
        <x:v>-0.16178477103908834</x:v>
      </x:c>
      <x:c r="N124" s="31" t="n">
        <x:f>IF(H124&gt;=G124,(H124-G124)/2*(MIN(100,D124+$B$3)+MIN(100,F124+$B$3)),(H124-G124)/2*(MAX(0,D124-$B$3)+MAX(0,F124-$B$3)))</x:f>
        <x:v>-0.1615856513208864</x:v>
      </x:c>
      <x:c r="O124" s="13" t="str">
        <x:v>I03 GP_Code!P2680/U2680; I04 Table_1!P790/U790</x:v>
      </x:c>
    </x:row>
    <x:row r="125" ht="24" customHeight="1">
      <x:c r="A125" s="13" t="str">
        <x:v>QHL</x:v>
      </x:c>
      <x:c r="B125" s="13" t="str">
        <x:v>M85174</x:v>
      </x:c>
      <x:c r="C125" s="13" t="n">
        <x:f>D460</x:f>
        <x:v>80</x:v>
      </x:c>
      <x:c r="D125" s="30" t="n">
        <x:f>E460</x:f>
        <x:v>57.5</x:v>
      </x:c>
      <x:c r="E125" s="13" t="n">
        <x:f>D831</x:f>
        <x:v>58</x:v>
      </x:c>
      <x:c r="F125" s="30" t="n">
        <x:f>E831</x:f>
        <x:v>63.8</x:v>
      </x:c>
      <x:c r="G125" s="31" t="n">
        <x:f>C125/$C$22</x:f>
        <x:v>0.004572473708276178</x:v>
      </x:c>
      <x:c r="H125" s="31" t="n">
        <x:f>E125/$D$22</x:f>
        <x:v>0.0033801503584124947</x:v>
      </x:c>
      <x:c r="I125" s="31" t="n">
        <x:f>(G125+H125)/2*(F125-D125)</x:f>
        <x:v>0.025050765810069306</x:v>
      </x:c>
      <x:c r="J125" s="31" t="n">
        <x:f>(H125-G125)/2*(F125+D125)</x:f>
        <x:v>-0.07231441116923237</x:v>
      </x:c>
      <x:c r="K125" s="31" t="n">
        <x:f>(G125+H125)/2*(MAX(0,F125-$B$3)-MIN(100,D125+$B$3))</x:f>
        <x:v>0.024653134606734895</x:v>
      </x:c>
      <x:c r="L125" s="31" t="n">
        <x:f>(G125+H125)/2*(MIN(100,F125+$B$3)-MAX(0,D125-$B$3))</x:f>
        <x:v>0.025448397013403717</x:v>
      </x:c>
      <x:c r="M125" s="31" t="n">
        <x:f>IF(H125&gt;=G125,(H125-G125)/2*(MAX(0,D125-$B$3)+MAX(0,F125-$B$3)),(H125-G125)/2*(MIN(100,D125+$B$3)+MIN(100,F125+$B$3)))</x:f>
        <x:v>-0.07237402733672556</x:v>
      </x:c>
      <x:c r="N125" s="31" t="n">
        <x:f>IF(H125&gt;=G125,(H125-G125)/2*(MIN(100,D125+$B$3)+MIN(100,F125+$B$3)),(H125-G125)/2*(MAX(0,D125-$B$3)+MAX(0,F125-$B$3)))</x:f>
        <x:v>-0.0722547950017392</x:v>
      </x:c>
      <x:c r="O125" s="13" t="str">
        <x:v>I03 GP_Code!P2681/U2681; I04 Table_1!P791/U791</x:v>
      </x:c>
    </x:row>
    <x:row r="126" ht="24" customHeight="1">
      <x:c r="A126" s="13" t="str">
        <x:v>QHL</x:v>
      </x:c>
      <x:c r="B126" s="13" t="str">
        <x:v>M85175</x:v>
      </x:c>
      <x:c r="C126" s="13" t="n">
        <x:f>D461</x:f>
        <x:v>98</x:v>
      </x:c>
      <x:c r="D126" s="30" t="n">
        <x:f>E461</x:f>
        <x:v>87.8</x:v>
      </x:c>
      <x:c r="E126" s="13" t="n">
        <x:f>D832</x:f>
        <x:v>86</x:v>
      </x:c>
      <x:c r="F126" s="30" t="n">
        <x:f>E832</x:f>
        <x:v>89.5</x:v>
      </x:c>
      <x:c r="G126" s="31" t="n">
        <x:f>C126/$C$22</x:f>
        <x:v>0.005601280292638317</x:v>
      </x:c>
      <x:c r="H126" s="31" t="n">
        <x:f>E126/$D$22</x:f>
        <x:v>0.005011947083163355</x:v>
      </x:c>
      <x:c r="I126" s="31" t="n">
        <x:f>(G126+H126)/2*(F126-D126)</x:f>
        <x:v>0.009021243269431437</x:v>
      </x:c>
      <x:c r="J126" s="31" t="n">
        <x:f>(H126-G126)/2*(F126+D126)</x:f>
        <x:v>-0.052244389019955435</x:v>
      </x:c>
      <x:c r="K126" s="31" t="n">
        <x:f>(G126+H126)/2*(MAX(0,F126-$B$3)-MIN(100,D126+$B$3))</x:f>
        <x:v>0.008490581900641383</x:v>
      </x:c>
      <x:c r="L126" s="31" t="n">
        <x:f>(G126+H126)/2*(MIN(100,F126+$B$3)-MAX(0,D126-$B$3))</x:f>
        <x:v>0.00955190463822149</x:v>
      </x:c>
      <x:c r="M126" s="31" t="n">
        <x:f>IF(H126&gt;=G126,(H126-G126)/2*(MAX(0,D126-$B$3)+MAX(0,F126-$B$3)),(H126-G126)/2*(MIN(100,D126+$B$3)+MIN(100,F126+$B$3)))</x:f>
        <x:v>-0.05227385568042917</x:v>
      </x:c>
      <x:c r="N126" s="31" t="n">
        <x:f>IF(H126&gt;=G126,(H126-G126)/2*(MIN(100,D126+$B$3)+MIN(100,F126+$B$3)),(H126-G126)/2*(MAX(0,D126-$B$3)+MAX(0,F126-$B$3)))</x:f>
        <x:v>-0.052214922359481684</x:v>
      </x:c>
      <x:c r="O126" s="13" t="str">
        <x:v>I03 GP_Code!P2682/U2682; I04 Table_1!P792/U792</x:v>
      </x:c>
    </x:row>
    <x:row r="127" ht="24" customHeight="1">
      <x:c r="A127" s="13" t="str">
        <x:v>QHL</x:v>
      </x:c>
      <x:c r="B127" s="13" t="str">
        <x:v>M85177</x:v>
      </x:c>
      <x:c r="C127" s="13" t="n">
        <x:f>D462</x:f>
        <x:v>86</x:v>
      </x:c>
      <x:c r="D127" s="30" t="n">
        <x:f>E462</x:f>
        <x:v>87.2</x:v>
      </x:c>
      <x:c r="E127" s="13" t="n">
        <x:f>D834</x:f>
        <x:v>75</x:v>
      </x:c>
      <x:c r="F127" s="30" t="n">
        <x:f>E834</x:f>
        <x:v>80</x:v>
      </x:c>
      <x:c r="G127" s="31" t="n">
        <x:f>C127/$C$22</x:f>
        <x:v>0.004915409236396891</x:v>
      </x:c>
      <x:c r="H127" s="31" t="n">
        <x:f>E127/$D$22</x:f>
        <x:v>0.0043708840841540884</x:v>
      </x:c>
      <x:c r="I127" s="31" t="n">
        <x:f>(G127+H127)/2*(F127-D127)</x:f>
        <x:v>-0.03343065595398354</x:v>
      </x:c>
      <x:c r="J127" s="31" t="n">
        <x:f>(H127-G127)/2*(F127+D127)</x:f>
        <x:v>-0.045522302727498264</x:v>
      </x:c>
      <x:c r="K127" s="31" t="n">
        <x:f>(G127+H127)/2*(MAX(0,F127-$B$3)-MIN(100,D127+$B$3))</x:f>
        <x:v>-0.03389497062001106</x:v>
      </x:c>
      <x:c r="L127" s="31" t="n">
        <x:f>(G127+H127)/2*(MIN(100,F127+$B$3)-MAX(0,D127-$B$3))</x:f>
        <x:v>-0.032966341287956016</x:v>
      </x:c>
      <x:c r="M127" s="31" t="n">
        <x:f>IF(H127&gt;=G127,(H127-G127)/2*(MAX(0,D127-$B$3)+MAX(0,F127-$B$3)),(H127-G127)/2*(MIN(100,D127+$B$3)+MIN(100,F127+$B$3)))</x:f>
        <x:v>-0.045549528985110416</x:v>
      </x:c>
      <x:c r="N127" s="31" t="n">
        <x:f>IF(H127&gt;=G127,(H127-G127)/2*(MIN(100,D127+$B$3)+MIN(100,F127+$B$3)),(H127-G127)/2*(MAX(0,D127-$B$3)+MAX(0,F127-$B$3)))</x:f>
        <x:v>-0.04549507646988613</x:v>
      </x:c>
      <x:c r="O127" s="13" t="str">
        <x:v>I03 GP_Code!P2683/U2683; I04 Table_1!P794/U794</x:v>
      </x:c>
    </x:row>
    <x:row r="128" ht="24" customHeight="1">
      <x:c r="A128" s="13" t="str">
        <x:v>QHL</x:v>
      </x:c>
      <x:c r="B128" s="13" t="str">
        <x:v>M85179</x:v>
      </x:c>
      <x:c r="C128" s="13" t="n">
        <x:f>D463</x:f>
        <x:v>52</x:v>
      </x:c>
      <x:c r="D128" s="30" t="n">
        <x:f>E463</x:f>
        <x:v>94.2</x:v>
      </x:c>
      <x:c r="E128" s="13" t="n">
        <x:f>D836</x:f>
        <x:v>65</x:v>
      </x:c>
      <x:c r="F128" s="30" t="n">
        <x:f>E836</x:f>
        <x:v>87.7</x:v>
      </x:c>
      <x:c r="G128" s="31" t="n">
        <x:f>C128/$C$22</x:f>
        <x:v>0.002972107910379515</x:v>
      </x:c>
      <x:c r="H128" s="31" t="n">
        <x:f>E128/$D$22</x:f>
        <x:v>0.0037880995396002096</x:v>
      </x:c>
      <x:c r="I128" s="31" t="n">
        <x:f>(G128+H128)/2*(F128-D128)</x:f>
        <x:v>-0.021970674212434104</x:v>
      </x:c>
      <x:c r="J128" s="31" t="n">
        <x:f>(H128-G128)/2*(F128+D128)</x:f>
        <x:v>0.07421443867762216</x:v>
      </x:c>
      <x:c r="K128" s="31" t="n">
        <x:f>(G128+H128)/2*(MAX(0,F128-$B$3)-MIN(100,D128+$B$3))</x:f>
        <x:v>-0.02230868458493307</x:v>
      </x:c>
      <x:c r="L128" s="31" t="n">
        <x:f>(G128+H128)/2*(MIN(100,F128+$B$3)-MAX(0,D128-$B$3))</x:f>
        <x:v>-0.02163266383993514</x:v>
      </x:c>
      <x:c r="M128" s="31" t="n">
        <x:f>IF(H128&gt;=G128,(H128-G128)/2*(MAX(0,D128-$B$3)+MAX(0,F128-$B$3)),(H128-G128)/2*(MIN(100,D128+$B$3)+MIN(100,F128+$B$3)))</x:f>
        <x:v>0.07417363909616113</x:v>
      </x:c>
      <x:c r="N128" s="31" t="n">
        <x:f>IF(H128&gt;=G128,(H128-G128)/2*(MIN(100,D128+$B$3)+MIN(100,F128+$B$3)),(H128-G128)/2*(MAX(0,D128-$B$3)+MAX(0,F128-$B$3)))</x:f>
        <x:v>0.0742552382590832</x:v>
      </x:c>
      <x:c r="O128" s="13" t="str">
        <x:v>I03 GP_Code!P2684/U2684; I04 Table_1!P796/U796</x:v>
      </x:c>
    </x:row>
    <x:row r="129" ht="24" customHeight="1">
      <x:c r="A129" s="13" t="str">
        <x:v>QHL</x:v>
      </x:c>
      <x:c r="B129" s="13" t="str">
        <x:v>M85600</x:v>
      </x:c>
      <x:c r="C129" s="13" t="n">
        <x:f>D464</x:f>
        <x:v>211</x:v>
      </x:c>
      <x:c r="D129" s="30" t="n">
        <x:f>E464</x:f>
        <x:v>81.5</x:v>
      </x:c>
      <x:c r="E129" s="13" t="n">
        <x:f>D837</x:f>
        <x:v>183</x:v>
      </x:c>
      <x:c r="F129" s="30" t="n">
        <x:f>E837</x:f>
        <x:v>85.8</x:v>
      </x:c>
      <x:c r="G129" s="31" t="n">
        <x:f>C129/$C$22</x:f>
        <x:v>0.012059899405578419</x:v>
      </x:c>
      <x:c r="H129" s="31" t="n">
        <x:f>E129/$D$22</x:f>
        <x:v>0.010664957165335975</x:v>
      </x:c>
      <x:c r="I129" s="31" t="n">
        <x:f>(G129+H129)/2*(F129-D129)</x:f>
        <x:v>0.048858441627465915</x:v>
      </x:c>
      <x:c r="J129" s="31" t="n">
        <x:f>(H129-G129)/2*(F129+D129)</x:f>
        <x:v>-0.11668691839628043</x:v>
      </x:c>
      <x:c r="K129" s="31" t="n">
        <x:f>(G129+H129)/2*(MAX(0,F129-$B$3)-MIN(100,D129+$B$3))</x:f>
        <x:v>0.04772219879892026</x:v>
      </x:c>
      <x:c r="L129" s="31" t="n">
        <x:f>(G129+H129)/2*(MIN(100,F129+$B$3)-MAX(0,D129-$B$3))</x:f>
        <x:v>0.049994684456011566</x:v>
      </x:c>
      <x:c r="M129" s="31" t="n">
        <x:f>IF(H129&gt;=G129,(H129-G129)/2*(MAX(0,D129-$B$3)+MAX(0,F129-$B$3)),(H129-G129)/2*(MIN(100,D129+$B$3)+MIN(100,F129+$B$3)))</x:f>
        <x:v>-0.11675666550829253</x:v>
      </x:c>
      <x:c r="N129" s="31" t="n">
        <x:f>IF(H129&gt;=G129,(H129-G129)/2*(MIN(100,D129+$B$3)+MIN(100,F129+$B$3)),(H129-G129)/2*(MAX(0,D129-$B$3)+MAX(0,F129-$B$3)))</x:f>
        <x:v>-0.11661717128426828</x:v>
      </x:c>
      <x:c r="O129" s="13" t="str">
        <x:v>I03 GP_Code!P2685/U2685; I04 Table_1!P797/U797</x:v>
      </x:c>
    </x:row>
    <x:row r="130" ht="24" customHeight="1">
      <x:c r="A130" s="13" t="str">
        <x:v>QHL</x:v>
      </x:c>
      <x:c r="B130" s="13" t="str">
        <x:v>M85624</x:v>
      </x:c>
      <x:c r="C130" s="13" t="n">
        <x:f>D465</x:f>
        <x:v>70</x:v>
      </x:c>
      <x:c r="D130" s="30" t="n">
        <x:f>E465</x:f>
        <x:v>74.3</x:v>
      </x:c>
      <x:c r="E130" s="13" t="n">
        <x:f>D838</x:f>
        <x:v>83</x:v>
      </x:c>
      <x:c r="F130" s="30" t="n">
        <x:f>E838</x:f>
        <x:v>79.5</x:v>
      </x:c>
      <x:c r="G130" s="31" t="n">
        <x:f>C130/$C$22</x:f>
        <x:v>0.004000914494741655</x:v>
      </x:c>
      <x:c r="H130" s="31" t="n">
        <x:f>E130/$D$22</x:f>
        <x:v>0.004837111719797191</x:v>
      </x:c>
      <x:c r="I130" s="31" t="n">
        <x:f>(G130+H130)/2*(F130-D130)</x:f>
        <x:v>0.022978868157801015</x:v>
      </x:c>
      <x:c r="J130" s="31" t="n">
        <x:f>(H130-G130)/2*(F130+D130)</x:f>
        <x:v>0.06430356660677074</x:v>
      </x:c>
      <x:c r="K130" s="31" t="n">
        <x:f>(G130+H130)/2*(MAX(0,F130-$B$3)-MIN(100,D130+$B$3))</x:f>
        <x:v>0.022536966847074097</x:v>
      </x:c>
      <x:c r="L130" s="31" t="n">
        <x:f>(G130+H130)/2*(MIN(100,F130+$B$3)-MAX(0,D130-$B$3))</x:f>
        <x:v>0.023420769468527933</x:v>
      </x:c>
      <x:c r="M130" s="31" t="n">
        <x:f>IF(H130&gt;=G130,(H130-G130)/2*(MAX(0,D130-$B$3)+MAX(0,F130-$B$3)),(H130-G130)/2*(MIN(100,D130+$B$3)+MIN(100,F130+$B$3)))</x:f>
        <x:v>0.06426175674551796</x:v>
      </x:c>
      <x:c r="N130" s="31" t="n">
        <x:f>IF(H130&gt;=G130,(H130-G130)/2*(MIN(100,D130+$B$3)+MIN(100,F130+$B$3)),(H130-G130)/2*(MAX(0,D130-$B$3)+MAX(0,F130-$B$3)))</x:f>
        <x:v>0.0643453764680235</x:v>
      </x:c>
      <x:c r="O130" s="13" t="str">
        <x:v>I03 GP_Code!P2686/U2686; I04 Table_1!P798/U798</x:v>
      </x:c>
    </x:row>
    <x:row r="131" ht="24" customHeight="1">
      <x:c r="A131" s="13" t="str">
        <x:v>QHL</x:v>
      </x:c>
      <x:c r="B131" s="13" t="str">
        <x:v>M85642</x:v>
      </x:c>
      <x:c r="C131" s="13" t="n">
        <x:f>D466</x:f>
        <x:v>66</x:v>
      </x:c>
      <x:c r="D131" s="30" t="n">
        <x:f>E466</x:f>
        <x:v>80.3</x:v>
      </x:c>
      <x:c r="E131" s="13" t="n">
        <x:f>D840</x:f>
        <x:v>71</x:v>
      </x:c>
      <x:c r="F131" s="30" t="n">
        <x:f>E840</x:f>
        <x:v>74.6</x:v>
      </x:c>
      <x:c r="G131" s="31" t="n">
        <x:f>C131/$C$22</x:f>
        <x:v>0.0037722908093278463</x:v>
      </x:c>
      <x:c r="H131" s="31" t="n">
        <x:f>E131/$D$22</x:f>
        <x:v>0.004137770266332537</x:v>
      </x:c>
      <x:c r="I131" s="31" t="n">
        <x:f>(G131+H131)/2*(F131-D131)</x:f>
        <x:v>-0.022543674065632104</x:v>
      </x:c>
      <x:c r="J131" s="31" t="n">
        <x:f>(H131-G131)/2*(F131+D131)</x:f>
        <x:v>0.02830638394501326</x:v>
      </x:c>
      <x:c r="K131" s="31" t="n">
        <x:f>(G131+H131)/2*(MAX(0,F131-$B$3)-MIN(100,D131+$B$3))</x:f>
        <x:v>-0.0229391771194151</x:v>
      </x:c>
      <x:c r="L131" s="31" t="n">
        <x:f>(G131+H131)/2*(MIN(100,F131+$B$3)-MAX(0,D131-$B$3))</x:f>
        <x:v>-0.02214817101184911</x:v>
      </x:c>
      <x:c r="M131" s="31" t="n">
        <x:f>IF(H131&gt;=G131,(H131-G131)/2*(MAX(0,D131-$B$3)+MAX(0,F131-$B$3)),(H131-G131)/2*(MIN(100,D131+$B$3)+MIN(100,F131+$B$3)))</x:f>
        <x:v>0.028288109972163033</x:v>
      </x:c>
      <x:c r="N131" s="31" t="n">
        <x:f>IF(H131&gt;=G131,(H131-G131)/2*(MIN(100,D131+$B$3)+MIN(100,F131+$B$3)),(H131-G131)/2*(MAX(0,D131-$B$3)+MAX(0,F131-$B$3)))</x:f>
        <x:v>0.0283246579178635</x:v>
      </x:c>
      <x:c r="O131" s="13" t="str">
        <x:v>I03 GP_Code!P2687/U2687; I04 Table_1!P800/U800</x:v>
      </x:c>
    </x:row>
    <x:row r="132" ht="24" customHeight="1">
      <x:c r="A132" s="13" t="str">
        <x:v>QHL</x:v>
      </x:c>
      <x:c r="B132" s="13" t="str">
        <x:v>M85669</x:v>
      </x:c>
      <x:c r="C132" s="13" t="n">
        <x:f>D467</x:f>
        <x:v>91</x:v>
      </x:c>
      <x:c r="D132" s="30" t="n">
        <x:f>E467</x:f>
        <x:v>73.6</x:v>
      </x:c>
      <x:c r="E132" s="13" t="n">
        <x:f>D841</x:f>
        <x:v>93</x:v>
      </x:c>
      <x:c r="F132" s="30" t="n">
        <x:f>E841</x:f>
        <x:v>77.4</x:v>
      </x:c>
      <x:c r="G132" s="31" t="n">
        <x:f>C132/$C$22</x:f>
        <x:v>0.005201188843164152</x:v>
      </x:c>
      <x:c r="H132" s="31" t="n">
        <x:f>E132/$D$22</x:f>
        <x:v>0.005419896264351069</x:v>
      </x:c>
      <x:c r="I132" s="31" t="n">
        <x:f>(G132+H132)/2*(F132-D132)</x:f>
        <x:v>0.02018006170427898</x:v>
      </x:c>
      <x:c r="J132" s="31" t="n">
        <x:f>(H132-G132)/2*(F132+D132)</x:f>
        <x:v>0.01651241029961225</x:v>
      </x:c>
      <x:c r="K132" s="31" t="n">
        <x:f>(G132+H132)/2*(MAX(0,F132-$B$3)-MIN(100,D132+$B$3))</x:f>
        <x:v>0.01964900744890325</x:v>
      </x:c>
      <x:c r="L132" s="31" t="n">
        <x:f>(G132+H132)/2*(MIN(100,F132+$B$3)-MAX(0,D132-$B$3))</x:f>
        <x:v>0.020711115959654712</x:v>
      </x:c>
      <x:c r="M132" s="31" t="n">
        <x:f>IF(H132&gt;=G132,(H132-G132)/2*(MAX(0,D132-$B$3)+MAX(0,F132-$B$3)),(H132-G132)/2*(MIN(100,D132+$B$3)+MIN(100,F132+$B$3)))</x:f>
        <x:v>0.016501474928552903</x:v>
      </x:c>
      <x:c r="N132" s="31" t="n">
        <x:f>IF(H132&gt;=G132,(H132-G132)/2*(MIN(100,D132+$B$3)+MIN(100,F132+$B$3)),(H132-G132)/2*(MAX(0,D132-$B$3)+MAX(0,F132-$B$3)))</x:f>
        <x:v>0.016523345670671596</x:v>
      </x:c>
      <x:c r="O132" s="13" t="str">
        <x:v>I03 GP_Code!P2688/U2688; I04 Table_1!P801/U801</x:v>
      </x:c>
    </x:row>
    <x:row r="133" ht="24" customHeight="1">
      <x:c r="A133" s="13" t="str">
        <x:v>QHL</x:v>
      </x:c>
      <x:c r="B133" s="13" t="str">
        <x:v>M85670</x:v>
      </x:c>
      <x:c r="C133" s="13" t="n">
        <x:f>D468</x:f>
        <x:v>44</x:v>
      </x:c>
      <x:c r="D133" s="30" t="n">
        <x:f>E468</x:f>
        <x:v>56.8</x:v>
      </x:c>
      <x:c r="E133" s="13" t="n">
        <x:f>D842</x:f>
        <x:v>59</x:v>
      </x:c>
      <x:c r="F133" s="30" t="n">
        <x:f>E842</x:f>
        <x:v>71.2</x:v>
      </x:c>
      <x:c r="G133" s="31" t="n">
        <x:f>C133/$C$22</x:f>
        <x:v>0.002514860539551898</x:v>
      </x:c>
      <x:c r="H133" s="31" t="n">
        <x:f>E133/$D$22</x:f>
        <x:v>0.0034384288128678827</x:v>
      </x:c>
      <x:c r="I133" s="31" t="n">
        <x:f>(G133+H133)/2*(F133-D133)</x:f>
        <x:v>0.04286368333742244</x:v>
      </x:c>
      <x:c r="J133" s="31" t="n">
        <x:f>(H133-G133)/2*(F133+D133)</x:f>
        <x:v>0.059108369492223034</x:v>
      </x:c>
      <x:c r="K133" s="31" t="n">
        <x:f>(G133+H133)/2*(MAX(0,F133-$B$3)-MIN(100,D133+$B$3))</x:f>
        <x:v>0.042566018869801464</x:v>
      </x:c>
      <x:c r="L133" s="31" t="n">
        <x:f>(G133+H133)/2*(MIN(100,F133+$B$3)-MAX(0,D133-$B$3))</x:f>
        <x:v>0.04316134780504341</x:v>
      </x:c>
      <x:c r="M133" s="31" t="n">
        <x:f>IF(H133&gt;=G133,(H133-G133)/2*(MAX(0,D133-$B$3)+MAX(0,F133-$B$3)),(H133-G133)/2*(MIN(100,D133+$B$3)+MIN(100,F133+$B$3)))</x:f>
        <x:v>0.05906219107855724</x:v>
      </x:c>
      <x:c r="N133" s="31" t="n">
        <x:f>IF(H133&gt;=G133,(H133-G133)/2*(MIN(100,D133+$B$3)+MIN(100,F133+$B$3)),(H133-G133)/2*(MAX(0,D133-$B$3)+MAX(0,F133-$B$3)))</x:f>
        <x:v>0.05915454790588883</x:v>
      </x:c>
      <x:c r="O133" s="13" t="str">
        <x:v>I03 GP_Code!P2689/U2689; I04 Table_1!P802/U802</x:v>
      </x:c>
    </x:row>
    <x:row r="134" ht="24" customHeight="1">
      <x:c r="A134" s="13" t="str">
        <x:v>QHL</x:v>
      </x:c>
      <x:c r="B134" s="13" t="str">
        <x:v>M85679</x:v>
      </x:c>
      <x:c r="C134" s="13" t="n">
        <x:f>D470</x:f>
        <x:v>73</x:v>
      </x:c>
      <x:c r="D134" s="30" t="n">
        <x:f>E470</x:f>
        <x:v>71.2</x:v>
      </x:c>
      <x:c r="E134" s="13" t="n">
        <x:f>D844</x:f>
        <x:v>83</x:v>
      </x:c>
      <x:c r="F134" s="30" t="n">
        <x:f>E844</x:f>
        <x:v>75.9</x:v>
      </x:c>
      <x:c r="G134" s="31" t="n">
        <x:f>C134/$C$22</x:f>
        <x:v>0.004172382258802012</x:v>
      </x:c>
      <x:c r="H134" s="31" t="n">
        <x:f>E134/$D$22</x:f>
        <x:v>0.004837111719797191</x:v>
      </x:c>
      <x:c r="I134" s="31" t="n">
        <x:f>(G134+H134)/2*(F134-D134)</x:f>
        <x:v>0.021172310849708137</x:v>
      </x:c>
      <x:c r="J134" s="31" t="n">
        <x:f>(H134-G134)/2*(F134+D134)</x:f>
        <x:v>0.048890851856195475</x:v>
      </x:c>
      <x:c r="K134" s="31" t="n">
        <x:f>(G134+H134)/2*(MAX(0,F134-$B$3)-MIN(100,D134+$B$3))</x:f>
        <x:v>0.020721836150778203</x:v>
      </x:c>
      <x:c r="L134" s="31" t="n">
        <x:f>(G134+H134)/2*(MIN(100,F134+$B$3)-MAX(0,D134-$B$3))</x:f>
        <x:v>0.02162278554863807</x:v>
      </x:c>
      <x:c r="M134" s="31" t="n">
        <x:f>IF(H134&gt;=G134,(H134-G134)/2*(MAX(0,D134-$B$3)+MAX(0,F134-$B$3)),(H134-G134)/2*(MIN(100,D134+$B$3)+MIN(100,F134+$B$3)))</x:f>
        <x:v>0.04885761538314571</x:v>
      </x:c>
      <x:c r="N134" s="31" t="n">
        <x:f>IF(H134&gt;=G134,(H134-G134)/2*(MIN(100,D134+$B$3)+MIN(100,F134+$B$3)),(H134-G134)/2*(MAX(0,D134-$B$3)+MAX(0,F134-$B$3)))</x:f>
        <x:v>0.048924088329245226</x:v>
      </x:c>
      <x:c r="O134" s="13" t="str">
        <x:v>I03 GP_Code!P2691/U2691; I04 Table_1!P804/U804</x:v>
      </x:c>
    </x:row>
    <x:row r="135" ht="24" customHeight="1">
      <x:c r="A135" s="13" t="str">
        <x:v>QHL</x:v>
      </x:c>
      <x:c r="B135" s="13" t="str">
        <x:v>M85680</x:v>
      </x:c>
      <x:c r="C135" s="13" t="n">
        <x:f>D471</x:f>
        <x:v>43</x:v>
      </x:c>
      <x:c r="D135" s="30" t="n">
        <x:f>E471</x:f>
        <x:v>62.8</x:v>
      </x:c>
      <x:c r="E135" s="13" t="n">
        <x:f>D845</x:f>
        <x:v>44</x:v>
      </x:c>
      <x:c r="F135" s="30" t="n">
        <x:f>E845</x:f>
        <x:v>52.3</x:v>
      </x:c>
      <x:c r="G135" s="31" t="n">
        <x:f>C135/$C$22</x:f>
        <x:v>0.0024577046181984454</x:v>
      </x:c>
      <x:c r="H135" s="31" t="n">
        <x:f>E135/$D$22</x:f>
        <x:v>0.002564251996037065</x:v>
      </x:c>
      <x:c r="I135" s="31" t="n">
        <x:f>(G135+H135)/2*(F135-D135)</x:f>
        <x:v>-0.026365272224736433</x:v>
      </x:c>
      <x:c r="J135" s="31" t="n">
        <x:f>(H135-G135)/2*(F135+D135)</x:f>
        <x:v>0.006131801594612556</x:v>
      </x:c>
      <x:c r="K135" s="31" t="n">
        <x:f>(G135+H135)/2*(MAX(0,F135-$B$3)-MIN(100,D135+$B$3))</x:f>
        <x:v>-0.02661637005544819</x:v>
      </x:c>
      <x:c r="L135" s="31" t="n">
        <x:f>(G135+H135)/2*(MIN(100,F135+$B$3)-MAX(0,D135-$B$3))</x:f>
        <x:v>-0.02611417439402467</x:v>
      </x:c>
      <x:c r="M135" s="31" t="n">
        <x:f>IF(H135&gt;=G135,(H135-G135)/2*(MAX(0,D135-$B$3)+MAX(0,F135-$B$3)),(H135-G135)/2*(MIN(100,D135+$B$3)+MIN(100,F135+$B$3)))</x:f>
        <x:v>0.006126474225720625</x:v>
      </x:c>
      <x:c r="N135" s="31" t="n">
        <x:f>IF(H135&gt;=G135,(H135-G135)/2*(MIN(100,D135+$B$3)+MIN(100,F135+$B$3)),(H135-G135)/2*(MAX(0,D135-$B$3)+MAX(0,F135-$B$3)))</x:f>
        <x:v>0.006137128963504487</x:v>
      </x:c>
      <x:c r="O135" s="13" t="str">
        <x:v>I03 GP_Code!P2692/U2692; I04 Table_1!P805/U805</x:v>
      </x:c>
    </x:row>
    <x:row r="136" ht="24" customHeight="1">
      <x:c r="A136" s="13" t="str">
        <x:v>QHL</x:v>
      </x:c>
      <x:c r="B136" s="13" t="str">
        <x:v>M85686</x:v>
      </x:c>
      <x:c r="C136" s="13" t="n">
        <x:f>D472</x:f>
        <x:v>22</x:v>
      </x:c>
      <x:c r="D136" s="30" t="n">
        <x:f>E472</x:f>
        <x:v>68.2</x:v>
      </x:c>
      <x:c r="E136" s="13" t="n">
        <x:f>D847</x:f>
        <x:v>11</x:v>
      </x:c>
      <x:c r="F136" s="30" t="n">
        <x:f>E847</x:f>
        <x:v>45.5</x:v>
      </x:c>
      <x:c r="G136" s="31" t="n">
        <x:f>C136/$C$22</x:f>
        <x:v>0.001257430269775949</x:v>
      </x:c>
      <x:c r="H136" s="31" t="n">
        <x:f>E136/$D$22</x:f>
        <x:v>0.0006410629990092662</x:v>
      </x:c>
      <x:c r="I136" s="31" t="n">
        <x:f>(G136+H136)/2*(F136-D136)</x:f>
        <x:v>-0.021547898600712195</x:v>
      </x:c>
      <x:c r="J136" s="31" t="n">
        <x:f>(H136-G136)/2*(F136+D136)</x:f>
        <x:v>-0.03504047934308591</x:v>
      </x:c>
      <x:c r="K136" s="31" t="n">
        <x:f>(G136+H136)/2*(MAX(0,F136-$B$3)-MIN(100,D136+$B$3))</x:f>
        <x:v>-0.02164282326415145</x:v>
      </x:c>
      <x:c r="L136" s="31" t="n">
        <x:f>(G136+H136)/2*(MIN(100,F136+$B$3)-MAX(0,D136-$B$3))</x:f>
        <x:v>-0.02145297393727294</x:v>
      </x:c>
      <x:c r="M136" s="31" t="n">
        <x:f>IF(H136&gt;=G136,(H136-G136)/2*(MAX(0,D136-$B$3)+MAX(0,F136-$B$3)),(H136-G136)/2*(MIN(100,D136+$B$3)+MIN(100,F136+$B$3)))</x:f>
        <x:v>-0.03507129770662424</x:v>
      </x:c>
      <x:c r="N136" s="31" t="n">
        <x:f>IF(H136&gt;=G136,(H136-G136)/2*(MIN(100,D136+$B$3)+MIN(100,F136+$B$3)),(H136-G136)/2*(MAX(0,D136-$B$3)+MAX(0,F136-$B$3)))</x:f>
        <x:v>-0.03500966097954758</x:v>
      </x:c>
      <x:c r="O136" s="13" t="str">
        <x:v>I03 GP_Code!P2693/U2693; I04 Table_1!P807/U807</x:v>
      </x:c>
    </x:row>
    <x:row r="137" ht="24" customHeight="1">
      <x:c r="A137" s="13" t="str">
        <x:v>QHL</x:v>
      </x:c>
      <x:c r="B137" s="13" t="str">
        <x:v>M85693</x:v>
      </x:c>
      <x:c r="C137" s="13" t="n">
        <x:f>D473</x:f>
        <x:v>28</x:v>
      </x:c>
      <x:c r="D137" s="30" t="n">
        <x:f>E473</x:f>
        <x:v>82.1</x:v>
      </x:c>
      <x:c r="E137" s="13" t="n">
        <x:f>D848</x:f>
        <x:v>27</x:v>
      </x:c>
      <x:c r="F137" s="30" t="n">
        <x:f>E848</x:f>
        <x:v>81.5</x:v>
      </x:c>
      <x:c r="G137" s="31" t="n">
        <x:f>C137/$C$22</x:f>
        <x:v>0.001600365797896662</x:v>
      </x:c>
      <x:c r="H137" s="31" t="n">
        <x:f>E137/$D$22</x:f>
        <x:v>0.0015735182702954719</x:v>
      </x:c>
      <x:c r="I137" s="31" t="n">
        <x:f>(G137+H137)/2*(F137-D137)</x:f>
        <x:v>-0.0009521652204576311</x:v>
      </x:c>
      <x:c r="J137" s="31" t="n">
        <x:f>(H137-G137)/2*(F137+D137)</x:f>
        <x:v>-0.0021961277577773543</x:v>
      </x:c>
      <x:c r="K137" s="31" t="n">
        <x:f>(G137+H137)/2*(MAX(0,F137-$B$3)-MIN(100,D137+$B$3))</x:f>
        <x:v>-0.0011108594238672287</x:v>
      </x:c>
      <x:c r="L137" s="31" t="n">
        <x:f>(G137+H137)/2*(MIN(100,F137+$B$3)-MAX(0,D137-$B$3))</x:f>
        <x:v>-0.0007934710170480335</x:v>
      </x:c>
      <x:c r="M137" s="31" t="n">
        <x:f>IF(H137&gt;=G137,(H137-G137)/2*(MAX(0,D137-$B$3)+MAX(0,F137-$B$3)),(H137-G137)/2*(MIN(100,D137+$B$3)+MIN(100,F137+$B$3)))</x:f>
        <x:v>-0.0021974701341574135</x:v>
      </x:c>
      <x:c r="N137" s="31" t="n">
        <x:f>IF(H137&gt;=G137,(H137-G137)/2*(MIN(100,D137+$B$3)+MIN(100,F137+$B$3)),(H137-G137)/2*(MAX(0,D137-$B$3)+MAX(0,F137-$B$3)))</x:f>
        <x:v>-0.0021947853813972947</x:v>
      </x:c>
      <x:c r="O137" s="13" t="str">
        <x:v>I03 GP_Code!P2694/U2694; I04 Table_1!P808/U808</x:v>
      </x:c>
    </x:row>
    <x:row r="138" ht="24" customHeight="1">
      <x:c r="A138" s="13" t="str">
        <x:v>QHL</x:v>
      </x:c>
      <x:c r="B138" s="13" t="str">
        <x:v>M85694</x:v>
      </x:c>
      <x:c r="C138" s="13" t="n">
        <x:f>D474</x:f>
        <x:v>58</x:v>
      </x:c>
      <x:c r="D138" s="30" t="n">
        <x:f>E474</x:f>
        <x:v>72.4</x:v>
      </x:c>
      <x:c r="E138" s="13" t="n">
        <x:f>D849</x:f>
        <x:v>52</x:v>
      </x:c>
      <x:c r="F138" s="30" t="n">
        <x:f>E849</x:f>
        <x:v>88.5</x:v>
      </x:c>
      <x:c r="G138" s="31" t="n">
        <x:f>C138/$C$22</x:f>
        <x:v>0.0033150434385002285</x:v>
      </x:c>
      <x:c r="H138" s="31" t="n">
        <x:f>E138/$D$22</x:f>
        <x:v>0.003030479631680168</x:v>
      </x:c>
      <x:c r="I138" s="31" t="n">
        <x:f>(G138+H138)/2*(F138-D138)</x:f>
        <x:v>0.051081460714952176</x:v>
      </x:c>
      <x:c r="J138" s="31" t="n">
        <x:f>(H138-G138)/2*(F138+D138)</x:f>
        <x:v>-0.02289315825867388</x:v>
      </x:c>
      <x:c r="K138" s="31" t="n">
        <x:f>(G138+H138)/2*(MAX(0,F138-$B$3)-MIN(100,D138+$B$3))</x:f>
        <x:v>0.050764184561443174</x:v>
      </x:c>
      <x:c r="L138" s="31" t="n">
        <x:f>(G138+H138)/2*(MIN(100,F138+$B$3)-MAX(0,D138-$B$3))</x:f>
        <x:v>0.05139873686846118</x:v>
      </x:c>
      <x:c r="M138" s="31" t="n">
        <x:f>IF(H138&gt;=G138,(H138-G138)/2*(MAX(0,D138-$B$3)+MAX(0,F138-$B$3)),(H138-G138)/2*(MIN(100,D138+$B$3)+MIN(100,F138+$B$3)))</x:f>
        <x:v>-0.022907386449014886</x:v>
      </x:c>
      <x:c r="N138" s="31" t="n">
        <x:f>IF(H138&gt;=G138,(H138-G138)/2*(MIN(100,D138+$B$3)+MIN(100,F138+$B$3)),(H138-G138)/2*(MAX(0,D138-$B$3)+MAX(0,F138-$B$3)))</x:f>
        <x:v>-0.02287893006833288</x:v>
      </x:c>
      <x:c r="O138" s="13" t="str">
        <x:v>I03 GP_Code!P2695/U2695; I04 Table_1!P809/U809</x:v>
      </x:c>
    </x:row>
    <x:row r="139" ht="24" customHeight="1">
      <x:c r="A139" s="13" t="str">
        <x:v>QHL</x:v>
      </x:c>
      <x:c r="B139" s="13" t="str">
        <x:v>M85699</x:v>
      </x:c>
      <x:c r="C139" s="13" t="n">
        <x:f>D475</x:f>
        <x:v>73</x:v>
      </x:c>
      <x:c r="D139" s="30" t="n">
        <x:f>E475</x:f>
        <x:v>78.1</x:v>
      </x:c>
      <x:c r="E139" s="13" t="n">
        <x:f>D851</x:f>
        <x:v>68</x:v>
      </x:c>
      <x:c r="F139" s="30" t="n">
        <x:f>E851</x:f>
        <x:v>80.9</x:v>
      </x:c>
      <x:c r="G139" s="31" t="n">
        <x:f>C139/$C$22</x:f>
        <x:v>0.004172382258802012</x:v>
      </x:c>
      <x:c r="H139" s="31" t="n">
        <x:f>E139/$D$22</x:f>
        <x:v>0.003962934902966373</x:v>
      </x:c>
      <x:c r="I139" s="31" t="n">
        <x:f>(G139+H139)/2*(F139-D139)</x:f>
        <x:v>0.011389444026475785</x:v>
      </x:c>
      <x:c r="J139" s="31" t="n">
        <x:f>(H139-G139)/2*(F139+D139)</x:f>
        <x:v>-0.01665106478893326</x:v>
      </x:c>
      <x:c r="K139" s="31" t="n">
        <x:f>(G139+H139)/2*(MAX(0,F139-$B$3)-MIN(100,D139+$B$3))</x:f>
        <x:v>0.010982678168387388</x:v>
      </x:c>
      <x:c r="L139" s="31" t="n">
        <x:f>(G139+H139)/2*(MIN(100,F139+$B$3)-MAX(0,D139-$B$3))</x:f>
        <x:v>0.01179620988456418</x:v>
      </x:c>
      <x:c r="M139" s="31" t="n">
        <x:f>IF(H139&gt;=G139,(H139-G139)/2*(MAX(0,D139-$B$3)+MAX(0,F139-$B$3)),(H139-G139)/2*(MIN(100,D139+$B$3)+MIN(100,F139+$B$3)))</x:f>
        <x:v>-0.01666153715672504</x:v>
      </x:c>
      <x:c r="N139" s="31" t="n">
        <x:f>IF(H139&gt;=G139,(H139-G139)/2*(MIN(100,D139+$B$3)+MIN(100,F139+$B$3)),(H139-G139)/2*(MAX(0,D139-$B$3)+MAX(0,F139-$B$3)))</x:f>
        <x:v>-0.01664059242114148</x:v>
      </x:c>
      <x:c r="O139" s="13" t="str">
        <x:v>I03 GP_Code!P2696/U2696; I04 Table_1!P811/U811</x:v>
      </x:c>
    </x:row>
    <x:row r="140" ht="24" customHeight="1">
      <x:c r="A140" s="13" t="str">
        <x:v>QHL</x:v>
      </x:c>
      <x:c r="B140" s="13" t="str">
        <x:v>M85701</x:v>
      </x:c>
      <x:c r="C140" s="13" t="n">
        <x:f>D476</x:f>
        <x:v>58</x:v>
      </x:c>
      <x:c r="D140" s="30" t="n">
        <x:f>E476</x:f>
        <x:v>74.1</x:v>
      </x:c>
      <x:c r="E140" s="13" t="n">
        <x:f>D852</x:f>
        <x:v>52</x:v>
      </x:c>
      <x:c r="F140" s="30" t="n">
        <x:f>E852</x:f>
        <x:v>80.8</x:v>
      </x:c>
      <x:c r="G140" s="31" t="n">
        <x:f>C140/$C$22</x:f>
        <x:v>0.0033150434385002285</x:v>
      </x:c>
      <x:c r="H140" s="31" t="n">
        <x:f>E140/$D$22</x:f>
        <x:v>0.003030479631680168</x:v>
      </x:c>
      <x:c r="I140" s="31" t="n">
        <x:f>(G140+H140)/2*(F140-D140)</x:f>
        <x:v>0.021257502285104337</x:v>
      </x:c>
      <x:c r="J140" s="31" t="n">
        <x:f>(H140-G140)/2*(F140+D140)</x:f>
        <x:v>-0.022039466838213697</x:v>
      </x:c>
      <x:c r="K140" s="31" t="n">
        <x:f>(G140+H140)/2*(MAX(0,F140-$B$3)-MIN(100,D140+$B$3))</x:f>
        <x:v>0.020940226131595335</x:v>
      </x:c>
      <x:c r="L140" s="31" t="n">
        <x:f>(G140+H140)/2*(MIN(100,F140+$B$3)-MAX(0,D140-$B$3))</x:f>
        <x:v>0.02157477843861334</x:v>
      </x:c>
      <x:c r="M140" s="31" t="n">
        <x:f>IF(H140&gt;=G140,(H140-G140)/2*(MAX(0,D140-$B$3)+MAX(0,F140-$B$3)),(H140-G140)/2*(MIN(100,D140+$B$3)+MIN(100,F140+$B$3)))</x:f>
        <x:v>-0.022053695028554702</x:v>
      </x:c>
      <x:c r="N140" s="31" t="n">
        <x:f>IF(H140&gt;=G140,(H140-G140)/2*(MIN(100,D140+$B$3)+MIN(100,F140+$B$3)),(H140-G140)/2*(MAX(0,D140-$B$3)+MAX(0,F140-$B$3)))</x:f>
        <x:v>-0.0220252386478727</x:v>
      </x:c>
      <x:c r="O140" s="13" t="str">
        <x:v>I03 GP_Code!P2697/U2697; I04 Table_1!P812/U812</x:v>
      </x:c>
    </x:row>
    <x:row r="141" ht="24" customHeight="1">
      <x:c r="A141" s="13" t="str">
        <x:v>QHL</x:v>
      </x:c>
      <x:c r="B141" s="13" t="str">
        <x:v>M85706</x:v>
      </x:c>
      <x:c r="C141" s="13" t="n">
        <x:f>D477</x:f>
        <x:v>186</x:v>
      </x:c>
      <x:c r="D141" s="30" t="n">
        <x:f>E477</x:f>
        <x:v>81.2</x:v>
      </x:c>
      <x:c r="E141" s="13" t="n">
        <x:f>D853</x:f>
        <x:v>186</x:v>
      </x:c>
      <x:c r="F141" s="30" t="n">
        <x:f>E853</x:f>
        <x:v>82.3</x:v>
      </x:c>
      <x:c r="G141" s="31" t="n">
        <x:f>C141/$C$22</x:f>
        <x:v>0.010631001371742112</x:v>
      </x:c>
      <x:c r="H141" s="31" t="n">
        <x:f>E141/$D$22</x:f>
        <x:v>0.010839792528702138</x:v>
      </x:c>
      <x:c r="I141" s="31" t="n">
        <x:f>(G141+H141)/2*(F141-D141)</x:f>
        <x:v>0.011808936645244275</x:v>
      </x:c>
      <x:c r="J141" s="31" t="n">
        <x:f>(H141-G141)/2*(F141+D141)</x:f>
        <x:v>0.01706867708148216</x:v>
      </x:c>
      <x:c r="K141" s="31" t="n">
        <x:f>(G141+H141)/2*(MAX(0,F141-$B$3)-MIN(100,D141+$B$3))</x:f>
        <x:v>0.010735396950222124</x:v>
      </x:c>
      <x:c r="L141" s="31" t="n">
        <x:f>(G141+H141)/2*(MIN(100,F141+$B$3)-MAX(0,D141-$B$3))</x:f>
        <x:v>0.012882476340266426</x:v>
      </x:c>
      <x:c r="M141" s="31" t="n">
        <x:f>IF(H141&gt;=G141,(H141-G141)/2*(MAX(0,D141-$B$3)+MAX(0,F141-$B$3)),(H141-G141)/2*(MIN(100,D141+$B$3)+MIN(100,F141+$B$3)))</x:f>
        <x:v>0.017058237523634157</x:v>
      </x:c>
      <x:c r="N141" s="31" t="n">
        <x:f>IF(H141&gt;=G141,(H141-G141)/2*(MIN(100,D141+$B$3)+MIN(100,F141+$B$3)),(H141-G141)/2*(MAX(0,D141-$B$3)+MAX(0,F141-$B$3)))</x:f>
        <x:v>0.01707911663933016</x:v>
      </x:c>
      <x:c r="O141" s="13" t="str">
        <x:v>I03 GP_Code!P2698/U2698; I04 Table_1!P813/U813</x:v>
      </x:c>
    </x:row>
    <x:row r="142" ht="24" customHeight="1">
      <x:c r="A142" s="13" t="str">
        <x:v>QHL</x:v>
      </x:c>
      <x:c r="B142" s="13" t="str">
        <x:v>M85711</x:v>
      </x:c>
      <x:c r="C142" s="13" t="n">
        <x:f>D478</x:f>
        <x:v>32</x:v>
      </x:c>
      <x:c r="D142" s="30" t="n">
        <x:f>E478</x:f>
        <x:v>62.5</x:v>
      </x:c>
      <x:c r="E142" s="13" t="n">
        <x:f>D854</x:f>
        <x:v>43</x:v>
      </x:c>
      <x:c r="F142" s="30" t="n">
        <x:f>E854</x:f>
        <x:v>67.4</x:v>
      </x:c>
      <x:c r="G142" s="31" t="n">
        <x:f>C142/$C$22</x:f>
        <x:v>0.001828989483310471</x:v>
      </x:c>
      <x:c r="H142" s="31" t="n">
        <x:f>E142/$D$22</x:f>
        <x:v>0.0025059735415816774</x:v>
      </x:c>
      <x:c r="I142" s="31" t="n">
        <x:f>(G142+H142)/2*(F142-D142)</x:f>
        <x:v>0.010620659410985776</x:v>
      </x:c>
      <x:c r="J142" s="31" t="n">
        <x:f>(H142-G142)/2*(F142+D142)</x:f>
        <x:v>0.043970114584714864</x:v>
      </x:c>
      <x:c r="K142" s="31" t="n">
        <x:f>(G142+H142)/2*(MAX(0,F142-$B$3)-MIN(100,D142+$B$3))</x:f>
        <x:v>0.01040391125974118</x:v>
      </x:c>
      <x:c r="L142" s="31" t="n">
        <x:f>(G142+H142)/2*(MIN(100,F142+$B$3)-MAX(0,D142-$B$3))</x:f>
        <x:v>0.01083740756223037</x:v>
      </x:c>
      <x:c r="M142" s="31" t="n">
        <x:f>IF(H142&gt;=G142,(H142-G142)/2*(MAX(0,D142-$B$3)+MAX(0,F142-$B$3)),(H142-G142)/2*(MIN(100,D142+$B$3)+MIN(100,F142+$B$3)))</x:f>
        <x:v>0.04393626538180131</x:v>
      </x:c>
      <x:c r="N142" s="31" t="n">
        <x:f>IF(H142&gt;=G142,(H142-G142)/2*(MIN(100,D142+$B$3)+MIN(100,F142+$B$3)),(H142-G142)/2*(MAX(0,D142-$B$3)+MAX(0,F142-$B$3)))</x:f>
        <x:v>0.04400396378762842</x:v>
      </x:c>
      <x:c r="O142" s="13" t="str">
        <x:v>I03 GP_Code!P2699/U2699; I04 Table_1!P814/U814</x:v>
      </x:c>
    </x:row>
    <x:row r="143" ht="24" customHeight="1">
      <x:c r="A143" s="13" t="str">
        <x:v>QHL</x:v>
      </x:c>
      <x:c r="B143" s="13" t="str">
        <x:v>M85713</x:v>
      </x:c>
      <x:c r="C143" s="13" t="n">
        <x:f>D479</x:f>
        <x:v>102</x:v>
      </x:c>
      <x:c r="D143" s="30" t="n">
        <x:f>E479</x:f>
        <x:v>81.4</x:v>
      </x:c>
      <x:c r="E143" s="13" t="n">
        <x:f>D855</x:f>
        <x:v>71</x:v>
      </x:c>
      <x:c r="F143" s="30" t="n">
        <x:f>E855</x:f>
        <x:v>81.7</x:v>
      </x:c>
      <x:c r="G143" s="31" t="n">
        <x:f>C143/$C$22</x:f>
        <x:v>0.005829903978052126</x:v>
      </x:c>
      <x:c r="H143" s="31" t="n">
        <x:f>E143/$D$22</x:f>
        <x:v>0.004137770266332537</x:v>
      </x:c>
      <x:c r="I143" s="31" t="n">
        <x:f>(G143+H143)/2*(F143-D143)</x:f>
        <x:v>0.0014951511366576853</x:v>
      </x:c>
      <x:c r="J143" s="31" t="n">
        <x:f>(H143-G143)/2*(F143+D143)</x:f>
        <x:v>-0.13799350419073256</x:v>
      </x:c>
      <x:c r="K143" s="31" t="n">
        <x:f>(G143+H143)/2*(MAX(0,F143-$B$3)-MIN(100,D143+$B$3))</x:f>
        <x:v>0.0009967674244384804</x:v>
      </x:c>
      <x:c r="L143" s="31" t="n">
        <x:f>(G143+H143)/2*(MIN(100,F143+$B$3)-MAX(0,D143-$B$3))</x:f>
        <x:v>0.00199353484887689</x:v>
      </x:c>
      <x:c r="M143" s="31" t="n">
        <x:f>IF(H143&gt;=G143,(H143-G143)/2*(MAX(0,D143-$B$3)+MAX(0,F143-$B$3)),(H143-G143)/2*(MIN(100,D143+$B$3)+MIN(100,F143+$B$3)))</x:f>
        <x:v>-0.13807811087631852</x:v>
      </x:c>
      <x:c r="N143" s="31" t="n">
        <x:f>IF(H143&gt;=G143,(H143-G143)/2*(MIN(100,D143+$B$3)+MIN(100,F143+$B$3)),(H143-G143)/2*(MAX(0,D143-$B$3)+MAX(0,F143-$B$3)))</x:f>
        <x:v>-0.13790889750514657</x:v>
      </x:c>
      <x:c r="O143" s="13" t="str">
        <x:v>I03 GP_Code!P2700/U2700; I04 Table_1!P815/U815</x:v>
      </x:c>
    </x:row>
    <x:row r="144" ht="24" customHeight="1">
      <x:c r="A144" s="13" t="str">
        <x:v>QHL</x:v>
      </x:c>
      <x:c r="B144" s="13" t="str">
        <x:v>M85716</x:v>
      </x:c>
      <x:c r="C144" s="13" t="n">
        <x:f>D480</x:f>
        <x:v>68</x:v>
      </x:c>
      <x:c r="D144" s="30" t="n">
        <x:f>E480</x:f>
        <x:v>76.5</x:v>
      </x:c>
      <x:c r="E144" s="13" t="n">
        <x:f>D857</x:f>
        <x:v>63</x:v>
      </x:c>
      <x:c r="F144" s="30" t="n">
        <x:f>E857</x:f>
        <x:v>68.3</x:v>
      </x:c>
      <x:c r="G144" s="31" t="n">
        <x:f>C144/$C$22</x:f>
        <x:v>0.0038866026520347507</x:v>
      </x:c>
      <x:c r="H144" s="31" t="n">
        <x:f>E144/$D$22</x:f>
        <x:v>0.003671542630689434</x:v>
      </x:c>
      <x:c r="I144" s="31" t="n">
        <x:f>(G144+H144)/2*(F144-D144)</x:f>
        <x:v>-0.03098839565916917</x:v>
      </x:c>
      <x:c r="J144" s="31" t="n">
        <x:f>(H144-G144)/2*(F144+D144)</x:f>
        <x:v>-0.01557034554540092</x:v>
      </x:c>
      <x:c r="K144" s="31" t="n">
        <x:f>(G144+H144)/2*(MAX(0,F144-$B$3)-MIN(100,D144+$B$3))</x:f>
        <x:v>-0.031366302923305354</x:v>
      </x:c>
      <x:c r="L144" s="31" t="n">
        <x:f>(G144+H144)/2*(MIN(100,F144+$B$3)-MAX(0,D144-$B$3))</x:f>
        <x:v>-0.03061048839503298</x:v>
      </x:c>
      <x:c r="M144" s="31" t="n">
        <x:f>IF(H144&gt;=G144,(H144-G144)/2*(MAX(0,D144-$B$3)+MAX(0,F144-$B$3)),(H144-G144)/2*(MIN(100,D144+$B$3)+MIN(100,F144+$B$3)))</x:f>
        <x:v>-0.015581098546468183</x:v>
      </x:c>
      <x:c r="N144" s="31" t="n">
        <x:f>IF(H144&gt;=G144,(H144-G144)/2*(MIN(100,D144+$B$3)+MIN(100,F144+$B$3)),(H144-G144)/2*(MAX(0,D144-$B$3)+MAX(0,F144-$B$3)))</x:f>
        <x:v>-0.015559592544333652</x:v>
      </x:c>
      <x:c r="O144" s="13" t="str">
        <x:v>I03 GP_Code!P2701/U2701; I04 Table_1!P817/U817</x:v>
      </x:c>
    </x:row>
    <x:row r="145" ht="24" customHeight="1">
      <x:c r="A145" s="13" t="str">
        <x:v>QHL</x:v>
      </x:c>
      <x:c r="B145" s="13" t="str">
        <x:v>M85717</x:v>
      </x:c>
      <x:c r="C145" s="13" t="n">
        <x:f>D481</x:f>
        <x:v>64</x:v>
      </x:c>
      <x:c r="D145" s="30" t="n">
        <x:f>E481</x:f>
        <x:v>59.4</x:v>
      </x:c>
      <x:c r="E145" s="13" t="n">
        <x:f>D858</x:f>
        <x:v>62</x:v>
      </x:c>
      <x:c r="F145" s="30" t="n">
        <x:f>E858</x:f>
        <x:v>75.8</x:v>
      </x:c>
      <x:c r="G145" s="31" t="n">
        <x:f>C145/$C$22</x:f>
        <x:v>0.003657978966620942</x:v>
      </x:c>
      <x:c r="H145" s="31" t="n">
        <x:f>E145/$D$22</x:f>
        <x:v>0.003613264176234046</x:v>
      </x:c>
      <x:c r="I145" s="31" t="n">
        <x:f>(G145+H145)/2*(F145-D145)</x:f>
        <x:v>0.0596241937714109</x:v>
      </x:c>
      <x:c r="J145" s="31" t="n">
        <x:f>(H145-G145)/2*(F145+D145)</x:f>
        <x:v>-0.003022719830154145</x:v>
      </x:c>
      <x:c r="K145" s="31" t="n">
        <x:f>(G145+H145)/2*(MAX(0,F145-$B$3)-MIN(100,D145+$B$3))</x:f>
        <x:v>0.05926063161426817</x:v>
      </x:c>
      <x:c r="L145" s="31" t="n">
        <x:f>(G145+H145)/2*(MIN(100,F145+$B$3)-MAX(0,D145-$B$3))</x:f>
        <x:v>0.05998775592855363</x:v>
      </x:c>
      <x:c r="M145" s="31" t="n">
        <x:f>IF(H145&gt;=G145,(H145-G145)/2*(MAX(0,D145-$B$3)+MAX(0,F145-$B$3)),(H145-G145)/2*(MIN(100,D145+$B$3)+MIN(100,F145+$B$3)))</x:f>
        <x:v>-0.0030249555696734895</x:v>
      </x:c>
      <x:c r="N145" s="31" t="n">
        <x:f>IF(H145&gt;=G145,(H145-G145)/2*(MIN(100,D145+$B$3)+MIN(100,F145+$B$3)),(H145-G145)/2*(MAX(0,D145-$B$3)+MAX(0,F145-$B$3)))</x:f>
        <x:v>-0.0030204840906348004</x:v>
      </x:c>
      <x:c r="O145" s="13" t="str">
        <x:v>I03 GP_Code!P2702/U2702; I04 Table_1!P818/U818</x:v>
      </x:c>
    </x:row>
    <x:row r="146" ht="24" customHeight="1">
      <x:c r="A146" s="13" t="str">
        <x:v>QHL</x:v>
      </x:c>
      <x:c r="B146" s="13" t="str">
        <x:v>M85722</x:v>
      </x:c>
      <x:c r="C146" s="13" t="n">
        <x:f>D482</x:f>
        <x:v>57</x:v>
      </x:c>
      <x:c r="D146" s="30" t="n">
        <x:f>E482</x:f>
        <x:v>54.4</x:v>
      </x:c>
      <x:c r="E146" s="13" t="n">
        <x:f>D860</x:f>
        <x:v>80</x:v>
      </x:c>
      <x:c r="F146" s="30" t="n">
        <x:f>E860</x:f>
        <x:v>28.7</x:v>
      </x:c>
      <x:c r="G146" s="31" t="n">
        <x:f>C146/$C$22</x:f>
        <x:v>0.0032578875171467765</x:v>
      </x:c>
      <x:c r="H146" s="31" t="n">
        <x:f>E146/$D$22</x:f>
        <x:v>0.004662276356431028</x:v>
      </x:c>
      <x:c r="I146" s="31" t="n">
        <x:f>(G146+H146)/2*(F146-D146)</x:f>
        <x:v>-0.10177410577547479</x:v>
      </x:c>
      <x:c r="J146" s="31" t="n">
        <x:f>(H146-G146)/2*(F146+D146)</x:f>
        <x:v>0.05835235627226064</x:v>
      </x:c>
      <x:c r="K146" s="31" t="n">
        <x:f>(G146+H146)/2*(MAX(0,F146-$B$3)-MIN(100,D146+$B$3))</x:f>
        <x:v>-0.10217011396915367</x:v>
      </x:c>
      <x:c r="L146" s="31" t="n">
        <x:f>(G146+H146)/2*(MIN(100,F146+$B$3)-MAX(0,D146-$B$3))</x:f>
        <x:v>-0.1013780975817959</x:v>
      </x:c>
      <x:c r="M146" s="31" t="n">
        <x:f>IF(H146&gt;=G146,(H146-G146)/2*(MAX(0,D146-$B$3)+MAX(0,F146-$B$3)),(H146-G146)/2*(MIN(100,D146+$B$3)+MIN(100,F146+$B$3)))</x:f>
        <x:v>0.058282136830296434</x:v>
      </x:c>
      <x:c r="N146" s="31" t="n">
        <x:f>IF(H146&gt;=G146,(H146-G146)/2*(MIN(100,D146+$B$3)+MIN(100,F146+$B$3)),(H146-G146)/2*(MAX(0,D146-$B$3)+MAX(0,F146-$B$3)))</x:f>
        <x:v>0.05842257571422485</x:v>
      </x:c>
      <x:c r="O146" s="13" t="str">
        <x:v>I03 GP_Code!P2703/U2703; I04 Table_1!P820/U820</x:v>
      </x:c>
    </x:row>
    <x:row r="147" ht="24" customHeight="1">
      <x:c r="A147" s="13" t="str">
        <x:v>QHL</x:v>
      </x:c>
      <x:c r="B147" s="13" t="str">
        <x:v>M85730</x:v>
      </x:c>
      <x:c r="C147" s="13" t="n">
        <x:f>D483</x:f>
        <x:v>47</x:v>
      </x:c>
      <x:c r="D147" s="30" t="n">
        <x:f>E483</x:f>
        <x:v>66</x:v>
      </x:c>
      <x:c r="E147" s="13" t="n">
        <x:f>D861</x:f>
        <x:v>74</x:v>
      </x:c>
      <x:c r="F147" s="30" t="n">
        <x:f>E861</x:f>
        <x:v>83.8</x:v>
      </x:c>
      <x:c r="G147" s="31" t="n">
        <x:f>C147/$C$22</x:f>
        <x:v>0.0026863283036122542</x:v>
      </x:c>
      <x:c r="H147" s="31" t="n">
        <x:f>E147/$D$22</x:f>
        <x:v>0.0043126056296987</x:v>
      </x:c>
      <x:c r="I147" s="31" t="n">
        <x:f>(G147+H147)/2*(F147-D147)</x:f>
        <x:v>0.062290512006467486</x:v>
      </x:c>
      <x:c r="J147" s="31" t="n">
        <x:f>(H147-G147)/2*(F147+D147)</x:f>
        <x:v>0.1218081717238748</x:v>
      </x:c>
      <x:c r="K147" s="31" t="n">
        <x:f>(G147+H147)/2*(MAX(0,F147-$B$3)-MIN(100,D147+$B$3))</x:f>
        <x:v>0.06194056530980196</x:v>
      </x:c>
      <x:c r="L147" s="31" t="n">
        <x:f>(G147+H147)/2*(MIN(100,F147+$B$3)-MAX(0,D147-$B$3))</x:f>
        <x:v>0.062640458703133</x:v>
      </x:c>
      <x:c r="M147" s="31" t="n">
        <x:f>IF(H147&gt;=G147,(H147-G147)/2*(MAX(0,D147-$B$3)+MAX(0,F147-$B$3)),(H147-G147)/2*(MIN(100,D147+$B$3)+MIN(100,F147+$B$3)))</x:f>
        <x:v>0.12172685785757045</x:v>
      </x:c>
      <x:c r="N147" s="31" t="n">
        <x:f>IF(H147&gt;=G147,(H147-G147)/2*(MIN(100,D147+$B$3)+MIN(100,F147+$B$3)),(H147-G147)/2*(MAX(0,D147-$B$3)+MAX(0,F147-$B$3)))</x:f>
        <x:v>0.12188948559017909</x:v>
      </x:c>
      <x:c r="O147" s="13" t="str">
        <x:v>I03 GP_Code!P2704/U2704; I04 Table_1!P821/U821</x:v>
      </x:c>
    </x:row>
    <x:row r="148" ht="24" customHeight="1">
      <x:c r="A148" s="13" t="str">
        <x:v>QHL</x:v>
      </x:c>
      <x:c r="B148" s="13" t="str">
        <x:v>M85732</x:v>
      </x:c>
      <x:c r="C148" s="13" t="n">
        <x:f>D484</x:f>
        <x:v>28</x:v>
      </x:c>
      <x:c r="D148" s="30" t="n">
        <x:f>E484</x:f>
        <x:v>53.6</x:v>
      </x:c>
      <x:c r="E148" s="13" t="n">
        <x:f>D862</x:f>
        <x:v>14</x:v>
      </x:c>
      <x:c r="F148" s="30" t="n">
        <x:f>E862</x:f>
        <x:v>42.9</x:v>
      </x:c>
      <x:c r="G148" s="31" t="n">
        <x:f>C148/$C$22</x:f>
        <x:v>0.001600365797896662</x:v>
      </x:c>
      <x:c r="H148" s="31" t="n">
        <x:f>E148/$D$22</x:f>
        <x:v>0.0008158983623754298</x:v>
      </x:c>
      <x:c r="I148" s="31" t="n">
        <x:f>(G148+H148)/2*(F148-D148)</x:f>
        <x:v>-0.012927013257455695</x:v>
      </x:c>
      <x:c r="J148" s="31" t="n">
        <x:f>(H148-G148)/2*(F148+D148)</x:f>
        <x:v>-0.03785055376389945</x:v>
      </x:c>
      <x:c r="K148" s="31" t="n">
        <x:f>(G148+H148)/2*(MAX(0,F148-$B$3)-MIN(100,D148+$B$3))</x:f>
        <x:v>-0.013047826465469294</x:v>
      </x:c>
      <x:c r="L148" s="31" t="n">
        <x:f>(G148+H148)/2*(MIN(100,F148+$B$3)-MAX(0,D148-$B$3))</x:f>
        <x:v>-0.012806200049442098</x:v>
      </x:c>
      <x:c r="M148" s="31" t="n">
        <x:f>IF(H148&gt;=G148,(H148-G148)/2*(MAX(0,D148-$B$3)+MAX(0,F148-$B$3)),(H148-G148)/2*(MIN(100,D148+$B$3)+MIN(100,F148+$B$3)))</x:f>
        <x:v>-0.03788977713567551</x:v>
      </x:c>
      <x:c r="N148" s="31" t="n">
        <x:f>IF(H148&gt;=G148,(H148-G148)/2*(MIN(100,D148+$B$3)+MIN(100,F148+$B$3)),(H148-G148)/2*(MAX(0,D148-$B$3)+MAX(0,F148-$B$3)))</x:f>
        <x:v>-0.03781133039212339</x:v>
      </x:c>
      <x:c r="O148" s="13" t="str">
        <x:v>I03 GP_Code!P2705/U2705; I04 Table_1!P822/U822</x:v>
      </x:c>
    </x:row>
    <x:row r="149" ht="24" customHeight="1">
      <x:c r="A149" s="13" t="str">
        <x:v>QHL</x:v>
      </x:c>
      <x:c r="B149" s="13" t="str">
        <x:v>M85733</x:v>
      </x:c>
      <x:c r="C149" s="13" t="n">
        <x:f>D485</x:f>
        <x:v>88</x:v>
      </x:c>
      <x:c r="D149" s="30" t="n">
        <x:f>E485</x:f>
        <x:v>60.2</x:v>
      </x:c>
      <x:c r="E149" s="13" t="n">
        <x:f>D863</x:f>
        <x:v>91</x:v>
      </x:c>
      <x:c r="F149" s="30" t="n">
        <x:f>E863</x:f>
        <x:v>79.1</x:v>
      </x:c>
      <x:c r="G149" s="31" t="n">
        <x:f>C149/$C$22</x:f>
        <x:v>0.005029721079103796</x:v>
      </x:c>
      <x:c r="H149" s="31" t="n">
        <x:f>E149/$D$22</x:f>
        <x:v>0.005303339355440293</x:v>
      </x:c>
      <x:c r="I149" s="31" t="n">
        <x:f>(G149+H149)/2*(F149-D149)</x:f>
        <x:v>0.0976474211064416</x:v>
      </x:c>
      <x:c r="J149" s="31" t="n">
        <x:f>(H149-G149)/2*(F149+D149)</x:f>
        <x:v>0.01905751294683707</x:v>
      </x:c>
      <x:c r="K149" s="31" t="n">
        <x:f>(G149+H149)/2*(MAX(0,F149-$B$3)-MIN(100,D149+$B$3))</x:f>
        <x:v>0.09713076808471442</x:v>
      </x:c>
      <x:c r="L149" s="31" t="n">
        <x:f>(G149+H149)/2*(MIN(100,F149+$B$3)-MAX(0,D149-$B$3))</x:f>
        <x:v>0.09816407412816879</x:v>
      </x:c>
      <x:c r="M149" s="31" t="n">
        <x:f>IF(H149&gt;=G149,(H149-G149)/2*(MAX(0,D149-$B$3)+MAX(0,F149-$B$3)),(H149-G149)/2*(MIN(100,D149+$B$3)+MIN(100,F149+$B$3)))</x:f>
        <x:v>0.01904383203302024</x:v>
      </x:c>
      <x:c r="N149" s="31" t="n">
        <x:f>IF(H149&gt;=G149,(H149-G149)/2*(MIN(100,D149+$B$3)+MIN(100,F149+$B$3)),(H149-G149)/2*(MAX(0,D149-$B$3)+MAX(0,F149-$B$3)))</x:f>
        <x:v>0.01907119386065389</x:v>
      </x:c>
      <x:c r="O149" s="13" t="str">
        <x:v>I03 GP_Code!P2706/U2706; I04 Table_1!P823/U823</x:v>
      </x:c>
    </x:row>
    <x:row r="150" ht="24" customHeight="1">
      <x:c r="A150" s="13" t="str">
        <x:v>QHL</x:v>
      </x:c>
      <x:c r="B150" s="13" t="str">
        <x:v>M85735</x:v>
      </x:c>
      <x:c r="C150" s="13" t="n">
        <x:f>D486</x:f>
        <x:v>92</x:v>
      </x:c>
      <x:c r="D150" s="30" t="n">
        <x:f>E486</x:f>
        <x:v>79.3</x:v>
      </x:c>
      <x:c r="E150" s="13" t="n">
        <x:f>D864</x:f>
        <x:v>101</x:v>
      </x:c>
      <x:c r="F150" s="30" t="n">
        <x:f>E864</x:f>
        <x:v>77.2</x:v>
      </x:c>
      <x:c r="G150" s="31" t="n">
        <x:f>C150/$C$22</x:f>
        <x:v>0.005258344764517604</x:v>
      </x:c>
      <x:c r="H150" s="31" t="n">
        <x:f>E150/$D$22</x:f>
        <x:v>0.005886123899994172</x:v>
      </x:c>
      <x:c r="I150" s="31" t="n">
        <x:f>(G150+H150)/2*(F150-D150)</x:f>
        <x:v>-0.011701692097737334</x:v>
      </x:c>
      <x:c r="J150" s="31" t="n">
        <x:f>(H150-G150)/2*(F150+D150)</x:f>
        <x:v>0.049123717351041485</x:v>
      </x:c>
      <x:c r="K150" s="31" t="n">
        <x:f>(G150+H150)/2*(MAX(0,F150-$B$3)-MIN(100,D150+$B$3))</x:f>
        <x:v>-0.01225891553096289</x:v>
      </x:c>
      <x:c r="L150" s="31" t="n">
        <x:f>(G150+H150)/2*(MIN(100,F150+$B$3)-MAX(0,D150-$B$3))</x:f>
        <x:v>-0.011144468664511777</x:v>
      </x:c>
      <x:c r="M150" s="31" t="n">
        <x:f>IF(H150&gt;=G150,(H150-G150)/2*(MAX(0,D150-$B$3)+MAX(0,F150-$B$3)),(H150-G150)/2*(MIN(100,D150+$B$3)+MIN(100,F150+$B$3)))</x:f>
        <x:v>0.04909232839426766</x:v>
      </x:c>
      <x:c r="N150" s="31" t="n">
        <x:f>IF(H150&gt;=G150,(H150-G150)/2*(MIN(100,D150+$B$3)+MIN(100,F150+$B$3)),(H150-G150)/2*(MAX(0,D150-$B$3)+MAX(0,F150-$B$3)))</x:f>
        <x:v>0.04915510630781531</x:v>
      </x:c>
      <x:c r="O150" s="13" t="str">
        <x:v>I03 GP_Code!P2707/U2707; I04 Table_1!P824/U824</x:v>
      </x:c>
    </x:row>
    <x:row r="151" ht="24" customHeight="1">
      <x:c r="A151" s="13" t="str">
        <x:v>QHL</x:v>
      </x:c>
      <x:c r="B151" s="13" t="str">
        <x:v>M85736</x:v>
      </x:c>
      <x:c r="C151" s="13" t="n">
        <x:f>D487</x:f>
        <x:v>73</x:v>
      </x:c>
      <x:c r="D151" s="30" t="n">
        <x:f>E487</x:f>
        <x:v>75.3</x:v>
      </x:c>
      <x:c r="E151" s="13" t="n">
        <x:f>D865</x:f>
        <x:v>80</x:v>
      </x:c>
      <x:c r="F151" s="30" t="n">
        <x:f>E865</x:f>
        <x:v>70</x:v>
      </x:c>
      <x:c r="G151" s="31" t="n">
        <x:f>C151/$C$22</x:f>
        <x:v>0.004172382258802012</x:v>
      </x:c>
      <x:c r="H151" s="31" t="n">
        <x:f>E151/$D$22</x:f>
        <x:v>0.004662276356431028</x:v>
      </x:c>
      <x:c r="I151" s="31" t="n">
        <x:f>(G151+H151)/2*(F151-D151)</x:f>
        <x:v>-0.023411845330367543</x:v>
      </x:c>
      <x:c r="J151" s="31" t="n">
        <x:f>(H151-G151)/2*(F151+D151)</x:f>
        <x:v>0.035590806192748035</x:v>
      </x:c>
      <x:c r="K151" s="31" t="n">
        <x:f>(G151+H151)/2*(MAX(0,F151-$B$3)-MIN(100,D151+$B$3))</x:f>
        <x:v>-0.02385357826112917</x:v>
      </x:c>
      <x:c r="L151" s="31" t="n">
        <x:f>(G151+H151)/2*(MIN(100,F151+$B$3)-MAX(0,D151-$B$3))</x:f>
        <x:v>-0.02297011239960592</x:v>
      </x:c>
      <x:c r="M151" s="31" t="n">
        <x:f>IF(H151&gt;=G151,(H151-G151)/2*(MAX(0,D151-$B$3)+MAX(0,F151-$B$3)),(H151-G151)/2*(MIN(100,D151+$B$3)+MIN(100,F151+$B$3)))</x:f>
        <x:v>0.03556631148786658</x:v>
      </x:c>
      <x:c r="N151" s="31" t="n">
        <x:f>IF(H151&gt;=G151,(H151-G151)/2*(MIN(100,D151+$B$3)+MIN(100,F151+$B$3)),(H151-G151)/2*(MAX(0,D151-$B$3)+MAX(0,F151-$B$3)))</x:f>
        <x:v>0.03561530089762947</x:v>
      </x:c>
      <x:c r="O151" s="13" t="str">
        <x:v>I03 GP_Code!P2708/U2708; I04 Table_1!P825/U825</x:v>
      </x:c>
    </x:row>
    <x:row r="152" ht="24" customHeight="1">
      <x:c r="A152" s="13" t="str">
        <x:v>QHL</x:v>
      </x:c>
      <x:c r="B152" s="13" t="str">
        <x:v>M85739</x:v>
      </x:c>
      <x:c r="C152" s="13" t="n">
        <x:f>D488</x:f>
        <x:v>66</x:v>
      </x:c>
      <x:c r="D152" s="30" t="n">
        <x:f>E488</x:f>
        <x:v>54.5</x:v>
      </x:c>
      <x:c r="E152" s="13" t="n">
        <x:f>D866</x:f>
        <x:v>71</x:v>
      </x:c>
      <x:c r="F152" s="30" t="n">
        <x:f>E866</x:f>
        <x:v>62</x:v>
      </x:c>
      <x:c r="G152" s="31" t="n">
        <x:f>C152/$C$22</x:f>
        <x:v>0.0037722908093278463</x:v>
      </x:c>
      <x:c r="H152" s="31" t="n">
        <x:f>E152/$D$22</x:f>
        <x:v>0.004137770266332537</x:v>
      </x:c>
      <x:c r="I152" s="31" t="n">
        <x:f>(G152+H152)/2*(F152-D152)</x:f>
        <x:v>0.029662729033726437</x:v>
      </x:c>
      <x:c r="J152" s="31" t="n">
        <x:f>(H152-G152)/2*(F152+D152)</x:f>
        <x:v>0.02128917837052321</x:v>
      </x:c>
      <x:c r="K152" s="31" t="n">
        <x:f>(G152+H152)/2*(MAX(0,F152-$B$3)-MIN(100,D152+$B$3))</x:f>
        <x:v>0.029267225979943443</x:v>
      </x:c>
      <x:c r="L152" s="31" t="n">
        <x:f>(G152+H152)/2*(MIN(100,F152+$B$3)-MAX(0,D152-$B$3))</x:f>
        <x:v>0.030058232087509434</x:v>
      </x:c>
      <x:c r="M152" s="31" t="n">
        <x:f>IF(H152&gt;=G152,(H152-G152)/2*(MAX(0,D152-$B$3)+MAX(0,F152-$B$3)),(H152-G152)/2*(MIN(100,D152+$B$3)+MIN(100,F152+$B$3)))</x:f>
        <x:v>0.021270904397672978</x:v>
      </x:c>
      <x:c r="N152" s="31" t="n">
        <x:f>IF(H152&gt;=G152,(H152-G152)/2*(MIN(100,D152+$B$3)+MIN(100,F152+$B$3)),(H152-G152)/2*(MAX(0,D152-$B$3)+MAX(0,F152-$B$3)))</x:f>
        <x:v>0.021307452343373445</x:v>
      </x:c>
      <x:c r="O152" s="13" t="str">
        <x:v>I03 GP_Code!P2709/U2709; I04 Table_1!P826/U826</x:v>
      </x:c>
    </x:row>
    <x:row r="153" ht="24" customHeight="1">
      <x:c r="A153" s="13" t="str">
        <x:v>QHL</x:v>
      </x:c>
      <x:c r="B153" s="13" t="str">
        <x:v>M85746</x:v>
      </x:c>
      <x:c r="C153" s="13" t="n">
        <x:f>D489</x:f>
        <x:v>108</x:v>
      </x:c>
      <x:c r="D153" s="30" t="n">
        <x:f>E489</x:f>
        <x:v>70.4</x:v>
      </x:c>
      <x:c r="E153" s="13" t="n">
        <x:f>D867</x:f>
        <x:v>77</x:v>
      </x:c>
      <x:c r="F153" s="30" t="n">
        <x:f>E867</x:f>
        <x:v>77.9</x:v>
      </x:c>
      <x:c r="G153" s="31" t="n">
        <x:f>C153/$C$22</x:f>
        <x:v>0.006172839506172839</x:v>
      </x:c>
      <x:c r="H153" s="31" t="n">
        <x:f>E153/$D$22</x:f>
        <x:v>0.0044874409930648635</x:v>
      </x:c>
      <x:c r="I153" s="31" t="n">
        <x:f>(G153+H153)/2*(F153-D153)</x:f>
        <x:v>0.039976051872141385</x:v>
      </x:c>
      <x:c r="J153" s="31" t="n">
        <x:f>(H153-G153)/2*(F153+D153)</x:f>
        <x:v>-0.12497229974695641</x:v>
      </x:c>
      <x:c r="K153" s="31" t="n">
        <x:f>(G153+H153)/2*(MAX(0,F153-$B$3)-MIN(100,D153+$B$3))</x:f>
        <x:v>0.03944303784717953</x:v>
      </x:c>
      <x:c r="L153" s="31" t="n">
        <x:f>(G153+H153)/2*(MIN(100,F153+$B$3)-MAX(0,D153-$B$3))</x:f>
        <x:v>0.04050906589710324</x:v>
      </x:c>
      <x:c r="M153" s="31" t="n">
        <x:f>IF(H153&gt;=G153,(H153-G153)/2*(MAX(0,D153-$B$3)+MAX(0,F153-$B$3)),(H153-G153)/2*(MIN(100,D153+$B$3)+MIN(100,F153+$B$3)))</x:f>
        <x:v>-0.1250565696726118</x:v>
      </x:c>
      <x:c r="N153" s="31" t="n">
        <x:f>IF(H153&gt;=G153,(H153-G153)/2*(MIN(100,D153+$B$3)+MIN(100,F153+$B$3)),(H153-G153)/2*(MAX(0,D153-$B$3)+MAX(0,F153-$B$3)))</x:f>
        <x:v>-0.12488802982130101</x:v>
      </x:c>
      <x:c r="O153" s="13" t="str">
        <x:v>I03 GP_Code!P2710/U2710; I04 Table_1!P827/U827</x:v>
      </x:c>
    </x:row>
    <x:row r="154" ht="24" customHeight="1">
      <x:c r="A154" s="13" t="str">
        <x:v>QHL</x:v>
      </x:c>
      <x:c r="B154" s="13" t="str">
        <x:v>M85749</x:v>
      </x:c>
      <x:c r="C154" s="13" t="n">
        <x:f>D490</x:f>
        <x:v>42</x:v>
      </x:c>
      <x:c r="D154" s="30" t="n">
        <x:f>E490</x:f>
        <x:v>76.2</x:v>
      </x:c>
      <x:c r="E154" s="13" t="n">
        <x:f>D868</x:f>
        <x:v>43</x:v>
      </x:c>
      <x:c r="F154" s="30" t="n">
        <x:f>E868</x:f>
        <x:v>83.7</x:v>
      </x:c>
      <x:c r="G154" s="31" t="n">
        <x:f>C154/$C$22</x:f>
        <x:v>0.0024005486968449933</x:v>
      </x:c>
      <x:c r="H154" s="31" t="n">
        <x:f>E154/$D$22</x:f>
        <x:v>0.0025059735415816774</x:v>
      </x:c>
      <x:c r="I154" s="31" t="n">
        <x:f>(G154+H154)/2*(F154-D154)</x:f>
        <x:v>0.018399458394100017</x:v>
      </x:c>
      <x:c r="J154" s="31" t="n">
        <x:f>(H154-G154)/2*(F154+D154)</x:f>
        <x:v>0.00842871633669789</x:v>
      </x:c>
      <x:c r="K154" s="31" t="n">
        <x:f>(G154+H154)/2*(MAX(0,F154-$B$3)-MIN(100,D154+$B$3))</x:f>
        <x:v>0.018154132282178697</x:v>
      </x:c>
      <x:c r="L154" s="31" t="n">
        <x:f>(G154+H154)/2*(MIN(100,F154+$B$3)-MAX(0,D154-$B$3))</x:f>
        <x:v>0.018644784506021334</x:v>
      </x:c>
      <x:c r="M154" s="31" t="n">
        <x:f>IF(H154&gt;=G154,(H154-G154)/2*(MAX(0,D154-$B$3)+MAX(0,F154-$B$3)),(H154-G154)/2*(MIN(100,D154+$B$3)+MIN(100,F154+$B$3)))</x:f>
        <x:v>0.008423445094461055</x:v>
      </x:c>
      <x:c r="N154" s="31" t="n">
        <x:f>IF(H154&gt;=G154,(H154-G154)/2*(MIN(100,D154+$B$3)+MIN(100,F154+$B$3)),(H154-G154)/2*(MAX(0,D154-$B$3)+MAX(0,F154-$B$3)))</x:f>
        <x:v>0.008433987578934724</x:v>
      </x:c>
      <x:c r="O154" s="13" t="str">
        <x:v>I03 GP_Code!P2711/U2711; I04 Table_1!P828/U828</x:v>
      </x:c>
    </x:row>
    <x:row r="155" ht="24" customHeight="1">
      <x:c r="A155" s="13" t="str">
        <x:v>QHL</x:v>
      </x:c>
      <x:c r="B155" s="13" t="str">
        <x:v>M85756</x:v>
      </x:c>
      <x:c r="C155" s="13" t="n">
        <x:f>D491</x:f>
        <x:v>25</x:v>
      </x:c>
      <x:c r="D155" s="30" t="n">
        <x:f>E491</x:f>
        <x:v>72</x:v>
      </x:c>
      <x:c r="E155" s="13" t="n">
        <x:f>D869</x:f>
        <x:v>25</x:v>
      </x:c>
      <x:c r="F155" s="30" t="n">
        <x:f>E869</x:f>
        <x:v>80</x:v>
      </x:c>
      <x:c r="G155" s="31" t="n">
        <x:f>C155/$C$22</x:f>
        <x:v>0.0014288980338363053</x:v>
      </x:c>
      <x:c r="H155" s="31" t="n">
        <x:f>E155/$D$22</x:f>
        <x:v>0.0014569613613846961</x:v>
      </x:c>
      <x:c r="I155" s="31" t="n">
        <x:f>(G155+H155)/2*(F155-D155)</x:f>
        <x:v>0.011543437580884006</x:v>
      </x:c>
      <x:c r="J155" s="31" t="n">
        <x:f>(H155-G155)/2*(F155+D155)</x:f>
        <x:v>0.002132812893677701</x:v>
      </x:c>
      <x:c r="K155" s="31" t="n">
        <x:f>(G155+H155)/2*(MAX(0,F155-$B$3)-MIN(100,D155+$B$3))</x:f>
        <x:v>0.011399144611122965</x:v>
      </x:c>
      <x:c r="L155" s="31" t="n">
        <x:f>(G155+H155)/2*(MIN(100,F155+$B$3)-MAX(0,D155-$B$3))</x:f>
        <x:v>0.011687730550645047</x:v>
      </x:c>
      <x:c r="M155" s="31" t="n">
        <x:f>IF(H155&gt;=G155,(H155-G155)/2*(MAX(0,D155-$B$3)+MAX(0,F155-$B$3)),(H155-G155)/2*(MIN(100,D155+$B$3)+MIN(100,F155+$B$3)))</x:f>
        <x:v>0.0021314097273002815</x:v>
      </x:c>
      <x:c r="N155" s="31" t="n">
        <x:f>IF(H155&gt;=G155,(H155-G155)/2*(MIN(100,D155+$B$3)+MIN(100,F155+$B$3)),(H155-G155)/2*(MAX(0,D155-$B$3)+MAX(0,F155-$B$3)))</x:f>
        <x:v>0.00213421606005512</x:v>
      </x:c>
      <x:c r="O155" s="13" t="str">
        <x:v>I03 GP_Code!P2712/U2712; I04 Table_1!P829/U829</x:v>
      </x:c>
    </x:row>
    <x:row r="156" ht="24" customHeight="1">
      <x:c r="A156" s="13" t="str">
        <x:v>QHL</x:v>
      </x:c>
      <x:c r="B156" s="13" t="str">
        <x:v>M85759</x:v>
      </x:c>
      <x:c r="C156" s="13" t="n">
        <x:f>D492</x:f>
        <x:v>119</x:v>
      </x:c>
      <x:c r="D156" s="30" t="n">
        <x:f>E492</x:f>
        <x:v>62.2</x:v>
      </x:c>
      <x:c r="E156" s="13" t="n">
        <x:f>D871</x:f>
        <x:v>106</x:v>
      </x:c>
      <x:c r="F156" s="30" t="n">
        <x:f>E871</x:f>
        <x:v>50.9</x:v>
      </x:c>
      <x:c r="G156" s="31" t="n">
        <x:f>C156/$C$22</x:f>
        <x:v>0.006801554641060814</x:v>
      </x:c>
      <x:c r="H156" s="31" t="n">
        <x:f>E156/$D$22</x:f>
        <x:v>0.0061775161722711115</x:v>
      </x:c>
      <x:c r="I156" s="31" t="n">
        <x:f>(G156+H156)/2*(F156-D156)</x:f>
        <x:v>-0.0733317500953254</x:v>
      </x:c>
      <x:c r="J156" s="31" t="n">
        <x:f>(H156-G156)/2*(F156+D156)</x:f>
        <x:v>-0.03528937541005769</x:v>
      </x:c>
      <x:c r="K156" s="31" t="n">
        <x:f>(G156+H156)/2*(MAX(0,F156-$B$3)-MIN(100,D156+$B$3))</x:f>
        <x:v>-0.07398070363599196</x:v>
      </x:c>
      <x:c r="L156" s="31" t="n">
        <x:f>(G156+H156)/2*(MIN(100,F156+$B$3)-MAX(0,D156-$B$3))</x:f>
        <x:v>-0.07268279655465884</x:v>
      </x:c>
      <x:c r="M156" s="31" t="n">
        <x:f>IF(H156&gt;=G156,(H156-G156)/2*(MAX(0,D156-$B$3)+MAX(0,F156-$B$3)),(H156-G156)/2*(MIN(100,D156+$B$3)+MIN(100,F156+$B$3)))</x:f>
        <x:v>-0.03532057733349717</x:v>
      </x:c>
      <x:c r="N156" s="31" t="n">
        <x:f>IF(H156&gt;=G156,(H156-G156)/2*(MIN(100,D156+$B$3)+MIN(100,F156+$B$3)),(H156-G156)/2*(MAX(0,D156-$B$3)+MAX(0,F156-$B$3)))</x:f>
        <x:v>-0.03525817348661821</x:v>
      </x:c>
      <x:c r="O156" s="13" t="str">
        <x:v>I03 GP_Code!P2713/U2713; I04 Table_1!P831/U831</x:v>
      </x:c>
    </x:row>
    <x:row r="157" ht="24" customHeight="1">
      <x:c r="A157" s="13" t="str">
        <x:v>QHL</x:v>
      </x:c>
      <x:c r="B157" s="13" t="str">
        <x:v>M85766</x:v>
      </x:c>
      <x:c r="C157" s="13" t="n">
        <x:f>D493</x:f>
        <x:v>44</x:v>
      </x:c>
      <x:c r="D157" s="30" t="n">
        <x:f>E493</x:f>
        <x:v>79.5</x:v>
      </x:c>
      <x:c r="E157" s="13" t="n">
        <x:f>D872</x:f>
        <x:v>54</x:v>
      </x:c>
      <x:c r="F157" s="30" t="n">
        <x:f>E872</x:f>
        <x:v>85.2</x:v>
      </x:c>
      <x:c r="G157" s="31" t="n">
        <x:f>C157/$C$22</x:f>
        <x:v>0.002514860539551898</x:v>
      </x:c>
      <x:c r="H157" s="31" t="n">
        <x:f>E157/$D$22</x:f>
        <x:v>0.0031470365405909437</x:v>
      </x:c>
      <x:c r="I157" s="31" t="n">
        <x:f>(G157+H157)/2*(F157-D157)</x:f>
        <x:v>0.016136406678407104</x:v>
      </x:c>
      <x:c r="J157" s="31" t="n">
        <x:f>(H157-G157)/2*(F157+D157)</x:f>
        <x:v>0.05205969368556543</x:v>
      </x:c>
      <x:c r="K157" s="31" t="n">
        <x:f>(G157+H157)/2*(MAX(0,F157-$B$3)-MIN(100,D157+$B$3))</x:f>
        <x:v>0.01585331182439998</x:v>
      </x:c>
      <x:c r="L157" s="31" t="n">
        <x:f>(G157+H157)/2*(MIN(100,F157+$B$3)-MAX(0,D157-$B$3))</x:f>
        <x:v>0.01641950153241423</x:v>
      </x:c>
      <x:c r="M157" s="31" t="n">
        <x:f>IF(H157&gt;=G157,(H157-G157)/2*(MAX(0,D157-$B$3)+MAX(0,F157-$B$3)),(H157-G157)/2*(MIN(100,D157+$B$3)+MIN(100,F157+$B$3)))</x:f>
        <x:v>0.05202808488551349</x:v>
      </x:c>
      <x:c r="N157" s="31" t="n">
        <x:f>IF(H157&gt;=G157,(H157-G157)/2*(MIN(100,D157+$B$3)+MIN(100,F157+$B$3)),(H157-G157)/2*(MAX(0,D157-$B$3)+MAX(0,F157-$B$3)))</x:f>
        <x:v>0.052091302485617386</x:v>
      </x:c>
      <x:c r="O157" s="13" t="str">
        <x:v>I03 GP_Code!P2714/U2714; I04 Table_1!P832/U832</x:v>
      </x:c>
    </x:row>
    <x:row r="158" ht="24" customHeight="1">
      <x:c r="A158" s="13" t="str">
        <x:v>QHL</x:v>
      </x:c>
      <x:c r="B158" s="13" t="str">
        <x:v>M85770</x:v>
      </x:c>
      <x:c r="C158" s="13" t="n">
        <x:f>D494</x:f>
        <x:v>15</x:v>
      </x:c>
      <x:c r="D158" s="30" t="n">
        <x:f>E494</x:f>
        <x:v>93.3</x:v>
      </x:c>
      <x:c r="E158" s="13" t="n">
        <x:f>D873</x:f>
        <x:v>29</x:v>
      </x:c>
      <x:c r="F158" s="30" t="n">
        <x:f>E873</x:f>
        <x:v>93.1</x:v>
      </x:c>
      <x:c r="G158" s="31" t="n">
        <x:f>C158/$C$22</x:f>
        <x:v>0.0008573388203017832</x:v>
      </x:c>
      <x:c r="H158" s="31" t="n">
        <x:f>E158/$D$22</x:f>
        <x:v>0.0016900751792062474</x:v>
      </x:c>
      <x:c r="I158" s="31" t="n">
        <x:f>(G158+H158)/2*(F158-D158)</x:f>
        <x:v>-0.0002547413999508067</x:v>
      </x:c>
      <x:c r="J158" s="31" t="n">
        <x:f>(H158-G158)/2*(F158+D158)</x:f>
        <x:v>0.07761102864989605</x:v>
      </x:c>
      <x:c r="K158" s="31" t="n">
        <x:f>(G158+H158)/2*(MAX(0,F158-$B$3)-MIN(100,D158+$B$3))</x:f>
        <x:v>-0.000382112099926201</x:v>
      </x:c>
      <x:c r="L158" s="31" t="n">
        <x:f>(G158+H158)/2*(MIN(100,F158+$B$3)-MAX(0,D158-$B$3))</x:f>
        <x:v>-0.0001273706999754124</x:v>
      </x:c>
      <x:c r="M158" s="31" t="n">
        <x:f>IF(H158&gt;=G158,(H158-G158)/2*(MAX(0,D158-$B$3)+MAX(0,F158-$B$3)),(H158-G158)/2*(MIN(100,D158+$B$3)+MIN(100,F158+$B$3)))</x:f>
        <x:v>0.07756939183195084</x:v>
      </x:c>
      <x:c r="N158" s="31" t="n">
        <x:f>IF(H158&gt;=G158,(H158-G158)/2*(MIN(100,D158+$B$3)+MIN(100,F158+$B$3)),(H158-G158)/2*(MAX(0,D158-$B$3)+MAX(0,F158-$B$3)))</x:f>
        <x:v>0.07765266546784128</x:v>
      </x:c>
      <x:c r="O158" s="13" t="str">
        <x:v>I03 GP_Code!P2715/U2715; I04 Table_1!P833/U833</x:v>
      </x:c>
    </x:row>
    <x:row r="159" ht="24" customHeight="1">
      <x:c r="A159" s="13" t="str">
        <x:v>QHL</x:v>
      </x:c>
      <x:c r="B159" s="13" t="str">
        <x:v>M85774</x:v>
      </x:c>
      <x:c r="C159" s="13" t="n">
        <x:f>D495</x:f>
        <x:v>122</x:v>
      </x:c>
      <x:c r="D159" s="30" t="n">
        <x:f>E495</x:f>
        <x:v>72.1</x:v>
      </x:c>
      <x:c r="E159" s="13" t="n">
        <x:f>D874</x:f>
        <x:v>113</x:v>
      </x:c>
      <x:c r="F159" s="30" t="n">
        <x:f>E874</x:f>
        <x:v>69.9</x:v>
      </x:c>
      <x:c r="G159" s="31" t="n">
        <x:f>C159/$C$22</x:f>
        <x:v>0.006973022405121171</x:v>
      </x:c>
      <x:c r="H159" s="31" t="n">
        <x:f>E159/$D$22</x:f>
        <x:v>0.006585465353458826</x:v>
      </x:c>
      <x:c r="I159" s="31" t="n">
        <x:f>(G159+H159)/2*(F159-D159)</x:f>
        <x:v>-0.01491433653443792</x:v>
      </x:c>
      <x:c r="J159" s="31" t="n">
        <x:f>(H159-G159)/2*(F159+D159)</x:f>
        <x:v>-0.027516550668026475</x:v>
      </x:c>
      <x:c r="K159" s="31" t="n">
        <x:f>(G159+H159)/2*(MAX(0,F159-$B$3)-MIN(100,D159+$B$3))</x:f>
        <x:v>-0.015592260922366881</x:v>
      </x:c>
      <x:c r="L159" s="31" t="n">
        <x:f>(G159+H159)/2*(MIN(100,F159+$B$3)-MAX(0,D159-$B$3))</x:f>
        <x:v>-0.014236412146508958</x:v>
      </x:c>
      <x:c r="M159" s="31" t="n">
        <x:f>IF(H159&gt;=G159,(H159-G159)/2*(MAX(0,D159-$B$3)+MAX(0,F159-$B$3)),(H159-G159)/2*(MIN(100,D159+$B$3)+MIN(100,F159+$B$3)))</x:f>
        <x:v>-0.02753592852060959</x:v>
      </x:c>
      <x:c r="N159" s="31" t="n">
        <x:f>IF(H159&gt;=G159,(H159-G159)/2*(MIN(100,D159+$B$3)+MIN(100,F159+$B$3)),(H159-G159)/2*(MAX(0,D159-$B$3)+MAX(0,F159-$B$3)))</x:f>
        <x:v>-0.02749717281544336</x:v>
      </x:c>
      <x:c r="O159" s="13" t="str">
        <x:v>I03 GP_Code!P2716/U2716; I04 Table_1!P834/U834</x:v>
      </x:c>
    </x:row>
    <x:row r="160" ht="24" customHeight="1">
      <x:c r="A160" s="13" t="str">
        <x:v>QHL</x:v>
      </x:c>
      <x:c r="B160" s="13" t="str">
        <x:v>M85779</x:v>
      </x:c>
      <x:c r="C160" s="13" t="n">
        <x:f>D496</x:f>
        <x:v>41</x:v>
      </x:c>
      <x:c r="D160" s="30" t="n">
        <x:f>E496</x:f>
        <x:v>87.8</x:v>
      </x:c>
      <x:c r="E160" s="13" t="n">
        <x:f>D876</x:f>
        <x:v>40</x:v>
      </x:c>
      <x:c r="F160" s="30" t="n">
        <x:f>E876</x:f>
        <x:v>80</x:v>
      </x:c>
      <x:c r="G160" s="31" t="n">
        <x:f>C160/$C$22</x:f>
        <x:v>0.002343392775491541</x:v>
      </x:c>
      <x:c r="H160" s="31" t="n">
        <x:f>E160/$D$22</x:f>
        <x:v>0.002331138178215514</x:v>
      </x:c>
      <x:c r="I160" s="31" t="n">
        <x:f>(G160+H160)/2*(F160-D160)</x:f>
        <x:v>-0.01823067071945751</x:v>
      </x:c>
      <x:c r="J160" s="31" t="n">
        <x:f>(H160-G160)/2*(F160+D160)</x:f>
        <x:v>-0.001028160711458664</x:v>
      </x:c>
      <x:c r="K160" s="31" t="n">
        <x:f>(G160+H160)/2*(MAX(0,F160-$B$3)-MIN(100,D160+$B$3))</x:f>
        <x:v>-0.018464397267142846</x:v>
      </x:c>
      <x:c r="L160" s="31" t="n">
        <x:f>(G160+H160)/2*(MIN(100,F160+$B$3)-MAX(0,D160-$B$3))</x:f>
        <x:v>-0.017996944171772167</x:v>
      </x:c>
      <x:c r="M160" s="31" t="n">
        <x:f>IF(H160&gt;=G160,(H160-G160)/2*(MAX(0,D160-$B$3)+MAX(0,F160-$B$3)),(H160-G160)/2*(MIN(100,D160+$B$3)+MIN(100,F160+$B$3)))</x:f>
        <x:v>-0.0010287734413224653</x:v>
      </x:c>
      <x:c r="N160" s="31" t="n">
        <x:f>IF(H160&gt;=G160,(H160-G160)/2*(MIN(100,D160+$B$3)+MIN(100,F160+$B$3)),(H160-G160)/2*(MAX(0,D160-$B$3)+MAX(0,F160-$B$3)))</x:f>
        <x:v>-0.0010275479815948626</x:v>
      </x:c>
      <x:c r="O160" s="13" t="str">
        <x:v>I03 GP_Code!P2717/U2717; I04 Table_1!P836/U836</x:v>
      </x:c>
    </x:row>
    <x:row r="161" ht="24" customHeight="1">
      <x:c r="A161" s="13" t="str">
        <x:v>QHL</x:v>
      </x:c>
      <x:c r="B161" s="13" t="str">
        <x:v>M85781</x:v>
      </x:c>
      <x:c r="C161" s="13" t="n">
        <x:f>D497</x:f>
        <x:v>55</x:v>
      </x:c>
      <x:c r="D161" s="30" t="n">
        <x:f>E497</x:f>
        <x:v>85.5</x:v>
      </x:c>
      <x:c r="E161" s="13" t="n">
        <x:f>D877</x:f>
        <x:v>53</x:v>
      </x:c>
      <x:c r="F161" s="30" t="n">
        <x:f>E877</x:f>
        <x:v>83</x:v>
      </x:c>
      <x:c r="G161" s="31" t="n">
        <x:f>C161/$C$22</x:f>
        <x:v>0.003143575674439872</x:v>
      </x:c>
      <x:c r="H161" s="31" t="n">
        <x:f>E161/$D$22</x:f>
        <x:v>0.0030887580861355558</x:v>
      </x:c>
      <x:c r="I161" s="31" t="n">
        <x:f>(G161+H161)/2*(F161-D161)</x:f>
        <x:v>-0.007790417200719285</x:v>
      </x:c>
      <x:c r="J161" s="31" t="n">
        <x:f>(H161-G161)/2*(F161+D161)</x:f>
        <x:v>-0.004618381814638645</x:v>
      </x:c>
      <x:c r="K161" s="31" t="n">
        <x:f>(G161+H161)/2*(MAX(0,F161-$B$3)-MIN(100,D161+$B$3))</x:f>
        <x:v>-0.008102033888748039</x:v>
      </x:c>
      <x:c r="L161" s="31" t="n">
        <x:f>(G161+H161)/2*(MIN(100,F161+$B$3)-MAX(0,D161-$B$3))</x:f>
        <x:v>-0.007478800512690531</x:v>
      </x:c>
      <x:c r="M161" s="31" t="n">
        <x:f>IF(H161&gt;=G161,(H161-G161)/2*(MAX(0,D161-$B$3)+MAX(0,F161-$B$3)),(H161-G161)/2*(MIN(100,D161+$B$3)+MIN(100,F161+$B$3)))</x:f>
        <x:v>-0.0046211226940538605</x:v>
      </x:c>
      <x:c r="N161" s="31" t="n">
        <x:f>IF(H161&gt;=G161,(H161-G161)/2*(MIN(100,D161+$B$3)+MIN(100,F161+$B$3)),(H161-G161)/2*(MAX(0,D161-$B$3)+MAX(0,F161-$B$3)))</x:f>
        <x:v>-0.004615640935223429</x:v>
      </x:c>
      <x:c r="O161" s="13" t="str">
        <x:v>I03 GP_Code!P2718/U2718; I04 Table_1!P837/U837</x:v>
      </x:c>
    </x:row>
    <x:row r="162" ht="24" customHeight="1">
      <x:c r="A162" s="13" t="str">
        <x:v>QHL</x:v>
      </x:c>
      <x:c r="B162" s="13" t="str">
        <x:v>M85783</x:v>
      </x:c>
      <x:c r="C162" s="13" t="n">
        <x:f>D499</x:f>
        <x:v>117</x:v>
      </x:c>
      <x:c r="D162" s="30" t="n">
        <x:f>E499</x:f>
        <x:v>90.6</x:v>
      </x:c>
      <x:c r="E162" s="13" t="n">
        <x:f>D878</x:f>
        <x:v>76</x:v>
      </x:c>
      <x:c r="F162" s="30" t="n">
        <x:f>E878</x:f>
        <x:v>89.5</x:v>
      </x:c>
      <x:c r="G162" s="31" t="n">
        <x:f>C162/$C$22</x:f>
        <x:v>0.006687242798353909</x:v>
      </x:c>
      <x:c r="H162" s="31" t="n">
        <x:f>E162/$D$22</x:f>
        <x:v>0.004429162538609476</x:v>
      </x:c>
      <x:c r="I162" s="31" t="n">
        <x:f>(G162+H162)/2*(F162-D162)</x:f>
        <x:v>-0.00611402293532983</x:v>
      </x:c>
      <x:c r="J162" s="31" t="n">
        <x:f>(H162-G162)/2*(F162+D162)</x:f>
        <x:v>-0.20334012738998622</x:v>
      </x:c>
      <x:c r="K162" s="31" t="n">
        <x:f>(G162+H162)/2*(MAX(0,F162-$B$3)-MIN(100,D162+$B$3))</x:f>
        <x:v>-0.006669843202177968</x:v>
      </x:c>
      <x:c r="L162" s="31" t="n">
        <x:f>(G162+H162)/2*(MIN(100,F162+$B$3)-MAX(0,D162-$B$3))</x:f>
        <x:v>-0.005558202668481693</x:v>
      </x:c>
      <x:c r="M162" s="31" t="n">
        <x:f>IF(H162&gt;=G162,(H162-G162)/2*(MAX(0,D162-$B$3)+MAX(0,F162-$B$3)),(H162-G162)/2*(MIN(100,D162+$B$3)+MIN(100,F162+$B$3)))</x:f>
        <x:v>-0.20345303140297344</x:v>
      </x:c>
      <x:c r="N162" s="31" t="n">
        <x:f>IF(H162&gt;=G162,(H162-G162)/2*(MIN(100,D162+$B$3)+MIN(100,F162+$B$3)),(H162-G162)/2*(MAX(0,D162-$B$3)+MAX(0,F162-$B$3)))</x:f>
        <x:v>-0.203227223376999</x:v>
      </x:c>
      <x:c r="O162" s="13" t="str">
        <x:v>I03 GP_Code!P2720/U2720; I04 Table_1!P838/U838</x:v>
      </x:c>
    </x:row>
    <x:row r="163" ht="24" customHeight="1">
      <x:c r="A163" s="13" t="str">
        <x:v>QHL</x:v>
      </x:c>
      <x:c r="B163" s="13" t="str">
        <x:v>M85792</x:v>
      </x:c>
      <x:c r="C163" s="13" t="n">
        <x:f>D500</x:f>
        <x:v>38</x:v>
      </x:c>
      <x:c r="D163" s="30" t="n">
        <x:f>E500</x:f>
        <x:v>76.3</x:v>
      </x:c>
      <x:c r="E163" s="13" t="n">
        <x:f>D879</x:f>
        <x:v>42</x:v>
      </x:c>
      <x:c r="F163" s="30" t="n">
        <x:f>E879</x:f>
        <x:v>85.7</x:v>
      </x:c>
      <x:c r="G163" s="31" t="n">
        <x:f>C163/$C$22</x:f>
        <x:v>0.0021719250114311845</x:v>
      </x:c>
      <x:c r="H163" s="31" t="n">
        <x:f>E163/$D$22</x:f>
        <x:v>0.0024476950871262894</x:v>
      </x:c>
      <x:c r="I163" s="31" t="n">
        <x:f>(G163+H163)/2*(F163-D163)</x:f>
        <x:v>0.021712214463220143</x:v>
      </x:c>
      <x:c r="J163" s="31" t="n">
        <x:f>(H163-G163)/2*(F163+D163)</x:f>
        <x:v>0.022337376131303502</x:v>
      </x:c>
      <x:c r="K163" s="31" t="n">
        <x:f>(G163+H163)/2*(MAX(0,F163-$B$3)-MIN(100,D163+$B$3))</x:f>
        <x:v>0.02148123345829228</x:v>
      </x:c>
      <x:c r="L163" s="31" t="n">
        <x:f>(G163+H163)/2*(MIN(100,F163+$B$3)-MAX(0,D163-$B$3))</x:f>
        <x:v>0.021943195468148</x:v>
      </x:c>
      <x:c r="M163" s="31" t="n">
        <x:f>IF(H163&gt;=G163,(H163-G163)/2*(MAX(0,D163-$B$3)+MAX(0,F163-$B$3)),(H163-G163)/2*(MIN(100,D163+$B$3)+MIN(100,F163+$B$3)))</x:f>
        <x:v>0.022323587627518748</x:v>
      </x:c>
      <x:c r="N163" s="31" t="n">
        <x:f>IF(H163&gt;=G163,(H163-G163)/2*(MIN(100,D163+$B$3)+MIN(100,F163+$B$3)),(H163-G163)/2*(MAX(0,D163-$B$3)+MAX(0,F163-$B$3)))</x:f>
        <x:v>0.022351164635088256</x:v>
      </x:c>
      <x:c r="O163" s="13" t="str">
        <x:v>I03 GP_Code!P2721/U2721; I04 Table_1!P839/U839</x:v>
      </x:c>
    </x:row>
    <x:row r="164" ht="24" customHeight="1">
      <x:c r="A164" s="13" t="str">
        <x:v>QHL</x:v>
      </x:c>
      <x:c r="B164" s="13" t="str">
        <x:v>M85794</x:v>
      </x:c>
      <x:c r="C164" s="13" t="n">
        <x:f>D501</x:f>
        <x:v>63</x:v>
      </x:c>
      <x:c r="D164" s="30" t="n">
        <x:f>E501</x:f>
        <x:v>66.7</x:v>
      </x:c>
      <x:c r="E164" s="13" t="n">
        <x:f>D880</x:f>
        <x:v>49</x:v>
      </x:c>
      <x:c r="F164" s="30" t="n">
        <x:f>E880</x:f>
        <x:v>67.3</x:v>
      </x:c>
      <x:c r="G164" s="31" t="n">
        <x:f>C164/$C$22</x:f>
        <x:v>0.00360082304526749</x:v>
      </x:c>
      <x:c r="H164" s="31" t="n">
        <x:f>E164/$D$22</x:f>
        <x:v>0.0028556442683140043</x:v>
      </x:c>
      <x:c r="I164" s="31" t="n">
        <x:f>(G164+H164)/2*(F164-D164)</x:f>
        <x:v>0.00193694019407443</x:v>
      </x:c>
      <x:c r="J164" s="31" t="n">
        <x:f>(H164-G164)/2*(F164+D164)</x:f>
        <x:v>-0.049926978055883524</x:v>
      </x:c>
      <x:c r="K164" s="31" t="n">
        <x:f>(G164+H164)/2*(MAX(0,F164-$B$3)-MIN(100,D164+$B$3))</x:f>
        <x:v>0.0016141168283953736</x:v>
      </x:c>
      <x:c r="L164" s="31" t="n">
        <x:f>(G164+H164)/2*(MIN(100,F164+$B$3)-MAX(0,D164-$B$3))</x:f>
        <x:v>0.0022597635597534863</x:v>
      </x:c>
      <x:c r="M164" s="31" t="n">
        <x:f>IF(H164&gt;=G164,(H164-G164)/2*(MAX(0,D164-$B$3)+MAX(0,F164-$B$3)),(H164-G164)/2*(MIN(100,D164+$B$3)+MIN(100,F164+$B$3)))</x:f>
        <x:v>-0.0499642369947312</x:v>
      </x:c>
      <x:c r="N164" s="31" t="n">
        <x:f>IF(H164&gt;=G164,(H164-G164)/2*(MIN(100,D164+$B$3)+MIN(100,F164+$B$3)),(H164-G164)/2*(MAX(0,D164-$B$3)+MAX(0,F164-$B$3)))</x:f>
        <x:v>-0.04988971911703585</x:v>
      </x:c>
      <x:c r="O164" s="13" t="str">
        <x:v>I03 GP_Code!P2722/U2722; I04 Table_1!P840/U840</x:v>
      </x:c>
    </x:row>
    <x:row r="165" ht="24" customHeight="1">
      <x:c r="A165" s="13" t="str">
        <x:v>QHL</x:v>
      </x:c>
      <x:c r="B165" s="13" t="str">
        <x:v>M85803</x:v>
      </x:c>
      <x:c r="C165" s="13" t="n">
        <x:f>D502</x:f>
        <x:v>184</x:v>
      </x:c>
      <x:c r="D165" s="30" t="n">
        <x:f>E502</x:f>
        <x:v>76.6</x:v>
      </x:c>
      <x:c r="E165" s="13" t="n">
        <x:f>D882</x:f>
        <x:v>157</x:v>
      </x:c>
      <x:c r="F165" s="30" t="n">
        <x:f>E882</x:f>
        <x:v>80.3</x:v>
      </x:c>
      <x:c r="G165" s="31" t="n">
        <x:f>C165/$C$22</x:f>
        <x:v>0.010516689529035207</x:v>
      </x:c>
      <x:c r="H165" s="31" t="n">
        <x:f>E165/$D$22</x:f>
        <x:v>0.009149717349495892</x:v>
      </x:c>
      <x:c r="I165" s="31" t="n">
        <x:f>(G165+H165)/2*(F165-D165)</x:f>
        <x:v>0.03638285272528256</x:v>
      </x:c>
      <x:c r="J165" s="31" t="n">
        <x:f>(H165-G165)/2*(F165+D165)</x:f>
        <x:v>-0.10723896748485924</x:v>
      </x:c>
      <x:c r="K165" s="31" t="n">
        <x:f>(G165+H165)/2*(MAX(0,F165-$B$3)-MIN(100,D165+$B$3))</x:f>
        <x:v>0.03539953238135606</x:v>
      </x:c>
      <x:c r="L165" s="31" t="n">
        <x:f>(G165+H165)/2*(MIN(100,F165+$B$3)-MAX(0,D165-$B$3))</x:f>
        <x:v>0.03736617306920906</x:v>
      </x:c>
      <x:c r="M165" s="31" t="n">
        <x:f>IF(H165&gt;=G165,(H165-G165)/2*(MAX(0,D165-$B$3)+MAX(0,F165-$B$3)),(H165-G165)/2*(MIN(100,D165+$B$3)+MIN(100,F165+$B$3)))</x:f>
        <x:v>-0.10730731609383623</x:v>
      </x:c>
      <x:c r="N165" s="31" t="n">
        <x:f>IF(H165&gt;=G165,(H165-G165)/2*(MIN(100,D165+$B$3)+MIN(100,F165+$B$3)),(H165-G165)/2*(MAX(0,D165-$B$3)+MAX(0,F165-$B$3)))</x:f>
        <x:v>-0.1071706188758823</x:v>
      </x:c>
      <x:c r="O165" s="13" t="str">
        <x:v>I03 GP_Code!P2723/U2723; I04 Table_1!P842/U842</x:v>
      </x:c>
    </x:row>
    <x:row r="166" ht="24" customHeight="1">
      <x:c r="A166" s="13" t="str">
        <x:v>QHL</x:v>
      </x:c>
      <x:c r="B166" s="13" t="str">
        <x:v>M88020</x:v>
      </x:c>
      <x:c r="C166" s="13" t="n">
        <x:f>D503</x:f>
        <x:v>131</x:v>
      </x:c>
      <x:c r="D166" s="30" t="n">
        <x:f>E503</x:f>
        <x:v>78.6</x:v>
      </x:c>
      <x:c r="E166" s="13" t="n">
        <x:f>D883</x:f>
        <x:v>120</x:v>
      </x:c>
      <x:c r="F166" s="30" t="n">
        <x:f>E883</x:f>
        <x:v>84.2</x:v>
      </x:c>
      <x:c r="G166" s="31" t="n">
        <x:f>C166/$C$22</x:f>
        <x:v>0.007487425697302241</x:v>
      </x:c>
      <x:c r="H166" s="31" t="n">
        <x:f>E166/$D$22</x:f>
        <x:v>0.006993414534646541</x:v>
      </x:c>
      <x:c r="I166" s="31" t="n">
        <x:f>(G166+H166)/2*(F166-D166)</x:f>
        <x:v>0.04054635264945665</x:v>
      </x:c>
      <x:c r="J166" s="31" t="n">
        <x:f>(H166-G166)/2*(F166+D166)</x:f>
        <x:v>-0.04021250864017395</x:v>
      </x:c>
      <x:c r="K166" s="31" t="n">
        <x:f>(G166+H166)/2*(MAX(0,F166-$B$3)-MIN(100,D166+$B$3))</x:f>
        <x:v>0.03982231063785925</x:v>
      </x:c>
      <x:c r="L166" s="31" t="n">
        <x:f>(G166+H166)/2*(MIN(100,F166+$B$3)-MAX(0,D166-$B$3))</x:f>
        <x:v>0.04127039466105405</x:v>
      </x:c>
      <x:c r="M166" s="31" t="n">
        <x:f>IF(H166&gt;=G166,(H166-G166)/2*(MAX(0,D166-$B$3)+MAX(0,F166-$B$3)),(H166-G166)/2*(MIN(100,D166+$B$3)+MIN(100,F166+$B$3)))</x:f>
        <x:v>-0.04023720919830673</x:v>
      </x:c>
      <x:c r="N166" s="31" t="n">
        <x:f>IF(H166&gt;=G166,(H166-G166)/2*(MIN(100,D166+$B$3)+MIN(100,F166+$B$3)),(H166-G166)/2*(MAX(0,D166-$B$3)+MAX(0,F166-$B$3)))</x:f>
        <x:v>-0.04018780808204116</x:v>
      </x:c>
      <x:c r="O166" s="13" t="str">
        <x:v>I03 GP_Code!P2724/U2724; I04 Table_1!P843/U843</x:v>
      </x:c>
    </x:row>
    <x:row r="167" ht="24" customHeight="1">
      <x:c r="A167" s="13" t="str">
        <x:v>QHL</x:v>
      </x:c>
      <x:c r="B167" s="13" t="str">
        <x:v>M89001</x:v>
      </x:c>
      <x:c r="C167" s="13" t="n">
        <x:f>D504</x:f>
        <x:v>39</x:v>
      </x:c>
      <x:c r="D167" s="30" t="n">
        <x:f>E504</x:f>
        <x:v>87.2</x:v>
      </x:c>
      <x:c r="E167" s="13" t="n">
        <x:f>D884</x:f>
        <x:v>39</x:v>
      </x:c>
      <x:c r="F167" s="30" t="n">
        <x:f>E884</x:f>
        <x:v>94.9</x:v>
      </x:c>
      <x:c r="G167" s="31" t="n">
        <x:f>C167/$C$22</x:f>
        <x:v>0.0022290809327846365</x:v>
      </x:c>
      <x:c r="H167" s="31" t="n">
        <x:f>E167/$D$22</x:f>
        <x:v>0.002272859723760126</x:v>
      </x:c>
      <x:c r="I167" s="31" t="n">
        <x:f>(G167+H167)/2*(F167-D167)</x:f>
        <x:v>0.017332471527697343</x:v>
      </x:c>
      <x:c r="J167" s="31" t="n">
        <x:f>(H167-G167)/2*(F167+D167)</x:f>
        <x:v>0.003986058918318319</x:v>
      </x:c>
      <x:c r="K167" s="31" t="n">
        <x:f>(G167+H167)/2*(MAX(0,F167-$B$3)-MIN(100,D167+$B$3))</x:f>
        <x:v>0.017107374494870115</x:v>
      </x:c>
      <x:c r="L167" s="31" t="n">
        <x:f>(G167+H167)/2*(MIN(100,F167+$B$3)-MAX(0,D167-$B$3))</x:f>
        <x:v>0.017557568560524567</x:v>
      </x:c>
      <x:c r="M167" s="31" t="n">
        <x:f>IF(H167&gt;=G167,(H167-G167)/2*(MAX(0,D167-$B$3)+MAX(0,F167-$B$3)),(H167-G167)/2*(MIN(100,D167+$B$3)+MIN(100,F167+$B$3)))</x:f>
        <x:v>0.003983869978769544</x:v>
      </x:c>
      <x:c r="N167" s="31" t="n">
        <x:f>IF(H167&gt;=G167,(H167-G167)/2*(MIN(100,D167+$B$3)+MIN(100,F167+$B$3)),(H167-G167)/2*(MAX(0,D167-$B$3)+MAX(0,F167-$B$3)))</x:f>
        <x:v>0.003988247857867093</x:v>
      </x:c>
      <x:c r="O167" s="13" t="str">
        <x:v>I03 GP_Code!P2725/U2725; I04 Table_1!P844/U844</x:v>
      </x:c>
    </x:row>
    <x:row r="168" ht="24" customHeight="1">
      <x:c r="A168" s="13" t="str">
        <x:v>QHL</x:v>
      </x:c>
      <x:c r="B168" s="13" t="str">
        <x:v>M89002</x:v>
      </x:c>
      <x:c r="C168" s="13" t="n">
        <x:f>D505</x:f>
        <x:v>77</x:v>
      </x:c>
      <x:c r="D168" s="30" t="n">
        <x:f>E505</x:f>
        <x:v>76.6</x:v>
      </x:c>
      <x:c r="E168" s="13" t="n">
        <x:f>D885</x:f>
        <x:v>82</x:v>
      </x:c>
      <x:c r="F168" s="30" t="n">
        <x:f>E885</x:f>
        <x:v>93.9</x:v>
      </x:c>
      <x:c r="G168" s="31" t="n">
        <x:f>C168/$C$22</x:f>
        <x:v>0.0044010059442158205</x:v>
      </x:c>
      <x:c r="H168" s="31" t="n">
        <x:f>E168/$D$22</x:f>
        <x:v>0.004778833265341803</x:v>
      </x:c>
      <x:c r="I168" s="31" t="n">
        <x:f>(G168+H168)/2*(F168-D168)</x:f>
        <x:v>0.07940560916267349</x:v>
      </x:c>
      <x:c r="J168" s="31" t="n">
        <x:f>(H168-G168)/2*(F168+D168)</x:f>
        <x:v>0.032209779125990004</x:v>
      </x:c>
      <x:c r="K168" s="31" t="n">
        <x:f>(G168+H168)/2*(MAX(0,F168-$B$3)-MIN(100,D168+$B$3))</x:f>
        <x:v>0.07894661720219565</x:v>
      </x:c>
      <x:c r="L168" s="31" t="n">
        <x:f>(G168+H168)/2*(MIN(100,F168+$B$3)-MAX(0,D168-$B$3))</x:f>
        <x:v>0.07986460112315134</x:v>
      </x:c>
      <x:c r="M168" s="31" t="n">
        <x:f>IF(H168&gt;=G168,(H168-G168)/2*(MAX(0,D168-$B$3)+MAX(0,F168-$B$3)),(H168-G168)/2*(MIN(100,D168+$B$3)+MIN(100,F168+$B$3)))</x:f>
        <x:v>0.0321908877599337</x:v>
      </x:c>
      <x:c r="N168" s="31" t="n">
        <x:f>IF(H168&gt;=G168,(H168-G168)/2*(MIN(100,D168+$B$3)+MIN(100,F168+$B$3)),(H168-G168)/2*(MAX(0,D168-$B$3)+MAX(0,F168-$B$3)))</x:f>
        <x:v>0.0322286704920463</x:v>
      </x:c>
      <x:c r="O168" s="13" t="str">
        <x:v>I03 GP_Code!P2726/U2726; I04 Table_1!P845/U845</x:v>
      </x:c>
    </x:row>
    <x:row r="169" ht="24" customHeight="1">
      <x:c r="A169" s="13" t="str">
        <x:v>QHL</x:v>
      </x:c>
      <x:c r="B169" s="13" t="str">
        <x:v>M89003</x:v>
      </x:c>
      <x:c r="C169" s="13" t="n">
        <x:f>D506</x:f>
        <x:v>440</x:v>
      </x:c>
      <x:c r="D169" s="30" t="n">
        <x:f>E506</x:f>
        <x:v>91.4</x:v>
      </x:c>
      <x:c r="E169" s="13" t="n">
        <x:f>D886</x:f>
        <x:v>397</x:v>
      </x:c>
      <x:c r="F169" s="30" t="n">
        <x:f>E886</x:f>
        <x:v>90.9</x:v>
      </x:c>
      <x:c r="G169" s="31" t="n">
        <x:f>C169/$C$22</x:f>
        <x:v>0.025148605395518976</x:v>
      </x:c>
      <x:c r="H169" s="31" t="n">
        <x:f>E169/$D$22</x:f>
        <x:v>0.023136546418788973</x:v>
      </x:c>
      <x:c r="I169" s="31" t="n">
        <x:f>(G169+H169)/2*(F169-D169)</x:f>
        <x:v>-0.012071287953576988</x:v>
      </x:c>
      <x:c r="J169" s="31" t="n">
        <x:f>(H169-G169)/2*(F169+D169)</x:f>
        <x:v>-0.1833991757289398</x:v>
      </x:c>
      <x:c r="K169" s="31" t="n">
        <x:f>(G169+H169)/2*(MAX(0,F169-$B$3)-MIN(100,D169+$B$3))</x:f>
        <x:v>-0.01448554554429225</x:v>
      </x:c>
      <x:c r="L169" s="31" t="n">
        <x:f>(G169+H169)/2*(MIN(100,F169+$B$3)-MAX(0,D169-$B$3))</x:f>
        <x:v>-0.009657030362861727</x:v>
      </x:c>
      <x:c r="M169" s="31" t="n">
        <x:f>IF(H169&gt;=G169,(H169-G169)/2*(MAX(0,D169-$B$3)+MAX(0,F169-$B$3)),(H169-G169)/2*(MIN(100,D169+$B$3)+MIN(100,F169+$B$3)))</x:f>
        <x:v>-0.18349977867777628</x:v>
      </x:c>
      <x:c r="N169" s="31" t="n">
        <x:f>IF(H169&gt;=G169,(H169-G169)/2*(MIN(100,D169+$B$3)+MIN(100,F169+$B$3)),(H169-G169)/2*(MAX(0,D169-$B$3)+MAX(0,F169-$B$3)))</x:f>
        <x:v>-0.18329857278010328</x:v>
      </x:c>
      <x:c r="O169" s="13" t="str">
        <x:v>I03 GP_Code!P2727/U2727; I04 Table_1!P846/U846</x:v>
      </x:c>
    </x:row>
    <x:row r="170" ht="24" customHeight="1">
      <x:c r="A170" s="13" t="str">
        <x:v>QHL</x:v>
      </x:c>
      <x:c r="B170" s="13" t="str">
        <x:v>M89005</x:v>
      </x:c>
      <x:c r="C170" s="13" t="n">
        <x:f>D507</x:f>
        <x:v>87</x:v>
      </x:c>
      <x:c r="D170" s="30" t="n">
        <x:f>E507</x:f>
        <x:v>93.1</x:v>
      </x:c>
      <x:c r="E170" s="13" t="n">
        <x:f>D887</x:f>
        <x:v>91</x:v>
      </x:c>
      <x:c r="F170" s="30" t="n">
        <x:f>E887</x:f>
        <x:v>85.7</x:v>
      </x:c>
      <x:c r="G170" s="31" t="n">
        <x:f>C170/$C$22</x:f>
        <x:v>0.004972565157750343</x:v>
      </x:c>
      <x:c r="H170" s="31" t="n">
        <x:f>E170/$D$22</x:f>
        <x:v>0.005303339355440293</x:v>
      </x:c>
      <x:c r="I170" s="31" t="n">
        <x:f>(G170+H170)/2*(F170-D170)</x:f>
        <x:v>-0.03802084669880531</x:v>
      </x:c>
      <x:c r="J170" s="31" t="n">
        <x:f>(H170-G170)/2*(F170+D170)</x:f>
        <x:v>0.02957121327348155</x:v>
      </x:c>
      <x:c r="K170" s="31" t="n">
        <x:f>(G170+H170)/2*(MAX(0,F170-$B$3)-MIN(100,D170+$B$3))</x:f>
        <x:v>-0.03853464192446481</x:v>
      </x:c>
      <x:c r="L170" s="31" t="n">
        <x:f>(G170+H170)/2*(MIN(100,F170+$B$3)-MAX(0,D170-$B$3))</x:f>
        <x:v>-0.03750705147314581</x:v>
      </x:c>
      <x:c r="M170" s="31" t="n">
        <x:f>IF(H170&gt;=G170,(H170-G170)/2*(MAX(0,D170-$B$3)+MAX(0,F170-$B$3)),(H170-G170)/2*(MIN(100,D170+$B$3)+MIN(100,F170+$B$3)))</x:f>
        <x:v>0.029554674563597047</x:v>
      </x:c>
      <x:c r="N170" s="31" t="n">
        <x:f>IF(H170&gt;=G170,(H170-G170)/2*(MIN(100,D170+$B$3)+MIN(100,F170+$B$3)),(H170-G170)/2*(MAX(0,D170-$B$3)+MAX(0,F170-$B$3)))</x:f>
        <x:v>0.02958775198336604</x:v>
      </x:c>
      <x:c r="O170" s="13" t="str">
        <x:v>I03 GP_Code!P2728/U2728; I04 Table_1!P847/U847</x:v>
      </x:c>
    </x:row>
    <x:row r="171" ht="24" customHeight="1">
      <x:c r="A171" s="13" t="str">
        <x:v>QHL</x:v>
      </x:c>
      <x:c r="B171" s="13" t="str">
        <x:v>M89007</x:v>
      </x:c>
      <x:c r="C171" s="13" t="n">
        <x:f>D508</x:f>
        <x:v>72</x:v>
      </x:c>
      <x:c r="D171" s="30" t="n">
        <x:f>E508</x:f>
        <x:v>81.9</x:v>
      </x:c>
      <x:c r="E171" s="13" t="n">
        <x:f>D888</x:f>
        <x:v>90</x:v>
      </x:c>
      <x:c r="F171" s="30" t="n">
        <x:f>E888</x:f>
        <x:v>84.4</x:v>
      </x:c>
      <x:c r="G171" s="31" t="n">
        <x:f>C171/$C$22</x:f>
        <x:v>0.00411522633744856</x:v>
      </x:c>
      <x:c r="H171" s="31" t="n">
        <x:f>E171/$D$22</x:f>
        <x:v>0.005245060900984906</x:v>
      </x:c>
      <x:c r="I171" s="31" t="n">
        <x:f>(G171+H171)/2*(F171-D171)</x:f>
        <x:v>0.011700359048041831</x:v>
      </x:c>
      <x:c r="J171" s="31" t="n">
        <x:f>(H171-G171)/2*(F171+D171)</x:f>
        <x:v>0.09394574395804715</x:v>
      </x:c>
      <x:c r="K171" s="31" t="n">
        <x:f>(G171+H171)/2*(MAX(0,F171-$B$3)-MIN(100,D171+$B$3))</x:f>
        <x:v>0.011232344686120185</x:v>
      </x:c>
      <x:c r="L171" s="31" t="n">
        <x:f>(G171+H171)/2*(MIN(100,F171+$B$3)-MAX(0,D171-$B$3))</x:f>
        <x:v>0.01216837340996348</x:v>
      </x:c>
      <x:c r="M171" s="31" t="n">
        <x:f>IF(H171&gt;=G171,(H171-G171)/2*(MAX(0,D171-$B$3)+MAX(0,F171-$B$3)),(H171-G171)/2*(MIN(100,D171+$B$3)+MIN(100,F171+$B$3)))</x:f>
        <x:v>0.09388925222987034</x:v>
      </x:c>
      <x:c r="N171" s="31" t="n">
        <x:f>IF(H171&gt;=G171,(H171-G171)/2*(MIN(100,D171+$B$3)+MIN(100,F171+$B$3)),(H171-G171)/2*(MAX(0,D171-$B$3)+MAX(0,F171-$B$3)))</x:f>
        <x:v>0.09400223568622397</x:v>
      </x:c>
      <x:c r="O171" s="13" t="str">
        <x:v>I03 GP_Code!P2729/U2729; I04 Table_1!P848/U848</x:v>
      </x:c>
    </x:row>
    <x:row r="172" ht="24" customHeight="1">
      <x:c r="A172" s="13" t="str">
        <x:v>QHL</x:v>
      </x:c>
      <x:c r="B172" s="13" t="str">
        <x:v>M89008</x:v>
      </x:c>
      <x:c r="C172" s="13" t="n">
        <x:f>D509</x:f>
        <x:v>181</x:v>
      </x:c>
      <x:c r="D172" s="30" t="n">
        <x:f>E509</x:f>
        <x:v>85.1</x:v>
      </x:c>
      <x:c r="E172" s="13" t="n">
        <x:f>D889</x:f>
        <x:v>165</x:v>
      </x:c>
      <x:c r="F172" s="30" t="n">
        <x:f>E889</x:f>
        <x:v>77.6</x:v>
      </x:c>
      <x:c r="G172" s="31" t="n">
        <x:f>C172/$C$22</x:f>
        <x:v>0.01034522176497485</x:v>
      </x:c>
      <x:c r="H172" s="31" t="n">
        <x:f>E172/$D$22</x:f>
        <x:v>0.009615944985138994</x:v>
      </x:c>
      <x:c r="I172" s="31" t="n">
        <x:f>(G172+H172)/2*(F172-D172)</x:f>
        <x:v>-0.07485437531292692</x:v>
      </x:c>
      <x:c r="J172" s="31" t="n">
        <x:f>(H172-G172)/2*(F172+D172)</x:f>
        <x:v>-0.059326666039646925</x:v>
      </x:c>
      <x:c r="K172" s="31" t="n">
        <x:f>(G172+H172)/2*(MAX(0,F172-$B$3)-MIN(100,D172+$B$3))</x:f>
        <x:v>-0.07585243365043255</x:v>
      </x:c>
      <x:c r="L172" s="31" t="n">
        <x:f>(G172+H172)/2*(MIN(100,F172+$B$3)-MAX(0,D172-$B$3))</x:f>
        <x:v>-0.07385631697542128</x:v>
      </x:c>
      <x:c r="M172" s="31" t="n">
        <x:f>IF(H172&gt;=G172,(H172-G172)/2*(MAX(0,D172-$B$3)+MAX(0,F172-$B$3)),(H172-G172)/2*(MIN(100,D172+$B$3)+MIN(100,F172+$B$3)))</x:f>
        <x:v>-0.05936312987863872</x:v>
      </x:c>
      <x:c r="N172" s="31" t="n">
        <x:f>IF(H172&gt;=G172,(H172-G172)/2*(MIN(100,D172+$B$3)+MIN(100,F172+$B$3)),(H172-G172)/2*(MAX(0,D172-$B$3)+MAX(0,F172-$B$3)))</x:f>
        <x:v>-0.05929020220065513</x:v>
      </x:c>
      <x:c r="O172" s="13" t="str">
        <x:v>I03 GP_Code!P2730/U2730; I04 Table_1!P849/U849</x:v>
      </x:c>
    </x:row>
    <x:row r="173" ht="24" customHeight="1">
      <x:c r="A173" s="13" t="str">
        <x:v>QHL</x:v>
      </x:c>
      <x:c r="B173" s="13" t="str">
        <x:v>M89009</x:v>
      </x:c>
      <x:c r="C173" s="13" t="n">
        <x:f>D510</x:f>
        <x:v>149</x:v>
      </x:c>
      <x:c r="D173" s="30" t="n">
        <x:f>E510</x:f>
        <x:v>79.9</x:v>
      </x:c>
      <x:c r="E173" s="13" t="n">
        <x:f>D890</x:f>
        <x:v>139</x:v>
      </x:c>
      <x:c r="F173" s="30" t="n">
        <x:f>E890</x:f>
        <x:v>82.7</x:v>
      </x:c>
      <x:c r="G173" s="31" t="n">
        <x:f>C173/$C$22</x:f>
        <x:v>0.00851623228166438</x:v>
      </x:c>
      <x:c r="H173" s="31" t="n">
        <x:f>E173/$D$22</x:f>
        <x:v>0.00810070516929891</x:v>
      </x:c>
      <x:c r="I173" s="31" t="n">
        <x:f>(G173+H173)/2*(F173-D173)</x:f>
        <x:v>0.02326371243134858</x:v>
      </x:c>
      <x:c r="J173" s="31" t="n">
        <x:f>(H173-G173)/2*(F173+D173)</x:f>
        <x:v>-0.033782354235312714</x:v>
      </x:c>
      <x:c r="K173" s="31" t="n">
        <x:f>(G173+H173)/2*(MAX(0,F173-$B$3)-MIN(100,D173+$B$3))</x:f>
        <x:v>0.022432865558800464</x:v>
      </x:c>
      <x:c r="L173" s="31" t="n">
        <x:f>(G173+H173)/2*(MIN(100,F173+$B$3)-MAX(0,D173-$B$3))</x:f>
        <x:v>0.024094559303896698</x:v>
      </x:c>
      <x:c r="M173" s="31" t="n">
        <x:f>IF(H173&gt;=G173,(H173-G173)/2*(MAX(0,D173-$B$3)+MAX(0,F173-$B$3)),(H173-G173)/2*(MIN(100,D173+$B$3)+MIN(100,F173+$B$3)))</x:f>
        <x:v>-0.03380313059093098</x:v>
      </x:c>
      <x:c r="N173" s="31" t="n">
        <x:f>IF(H173&gt;=G173,(H173-G173)/2*(MIN(100,D173+$B$3)+MIN(100,F173+$B$3)),(H173-G173)/2*(MAX(0,D173-$B$3)+MAX(0,F173-$B$3)))</x:f>
        <x:v>-0.033761577879694436</x:v>
      </x:c>
      <x:c r="O173" s="13" t="str">
        <x:v>I03 GP_Code!P2731/U2731; I04 Table_1!P850/U850</x:v>
      </x:c>
    </x:row>
    <x:row r="174" ht="24" customHeight="1">
      <x:c r="A174" s="13" t="str">
        <x:v>QHL</x:v>
      </x:c>
      <x:c r="B174" s="13" t="str">
        <x:v>M89010</x:v>
      </x:c>
      <x:c r="C174" s="13" t="n">
        <x:f>D511</x:f>
        <x:v>112</x:v>
      </x:c>
      <x:c r="D174" s="30" t="n">
        <x:f>E511</x:f>
        <x:v>97.3</x:v>
      </x:c>
      <x:c r="E174" s="13" t="n">
        <x:f>D891</x:f>
        <x:v>108</x:v>
      </x:c>
      <x:c r="F174" s="30" t="n">
        <x:f>E891</x:f>
        <x:v>93.5</x:v>
      </x:c>
      <x:c r="G174" s="31" t="n">
        <x:f>C174/$C$22</x:f>
        <x:v>0.006401463191586648</x:v>
      </x:c>
      <x:c r="H174" s="31" t="n">
        <x:f>E174/$D$22</x:f>
        <x:v>0.0062940730811818875</x:v>
      </x:c>
      <x:c r="I174" s="31" t="n">
        <x:f>(G174+H174)/2*(F174-D174)</x:f>
        <x:v>-0.0241215189182602</x:v>
      </x:c>
      <x:c r="J174" s="31" t="n">
        <x:f>(H174-G174)/2*(F174+D174)</x:f>
        <x:v>-0.010245016532614162</x:v>
      </x:c>
      <x:c r="K174" s="31" t="n">
        <x:f>(G174+H174)/2*(MAX(0,F174-$B$3)-MIN(100,D174+$B$3))</x:f>
        <x:v>-0.02475629573189859</x:v>
      </x:c>
      <x:c r="L174" s="31" t="n">
        <x:f>(G174+H174)/2*(MIN(100,F174+$B$3)-MAX(0,D174-$B$3))</x:f>
        <x:v>-0.02348674210462181</x:v>
      </x:c>
      <x:c r="M174" s="31" t="n">
        <x:f>IF(H174&gt;=G174,(H174-G174)/2*(MAX(0,D174-$B$3)+MAX(0,F174-$B$3)),(H174-G174)/2*(MIN(100,D174+$B$3)+MIN(100,F174+$B$3)))</x:f>
        <x:v>-0.010250386038134397</x:v>
      </x:c>
      <x:c r="N174" s="31" t="n">
        <x:f>IF(H174&gt;=G174,(H174-G174)/2*(MIN(100,D174+$B$3)+MIN(100,F174+$B$3)),(H174-G174)/2*(MAX(0,D174-$B$3)+MAX(0,F174-$B$3)))</x:f>
        <x:v>-0.010239647027093922</x:v>
      </x:c>
      <x:c r="O174" s="13" t="str">
        <x:v>I03 GP_Code!P2732/U2732; I04 Table_1!P851/U851</x:v>
      </x:c>
    </x:row>
    <x:row r="175" ht="24" customHeight="1">
      <x:c r="A175" s="13" t="str">
        <x:v>QHL</x:v>
      </x:c>
      <x:c r="B175" s="13" t="str">
        <x:v>M89012</x:v>
      </x:c>
      <x:c r="C175" s="13" t="n">
        <x:f>D512</x:f>
        <x:v>163</x:v>
      </x:c>
      <x:c r="D175" s="30" t="n">
        <x:f>E512</x:f>
        <x:v>78.5</x:v>
      </x:c>
      <x:c r="E175" s="13" t="n">
        <x:f>D892</x:f>
        <x:v>150</x:v>
      </x:c>
      <x:c r="F175" s="30" t="n">
        <x:f>E892</x:f>
        <x:v>82.7</x:v>
      </x:c>
      <x:c r="G175" s="31" t="n">
        <x:f>C175/$C$22</x:f>
        <x:v>0.009316415180612712</x:v>
      </x:c>
      <x:c r="H175" s="31" t="n">
        <x:f>E175/$D$22</x:f>
        <x:v>0.008741768168308177</x:v>
      </x:c>
      <x:c r="I175" s="31" t="n">
        <x:f>(G175+H175)/2*(F175-D175)</x:f>
        <x:v>0.037922185032733896</x:v>
      </x:c>
      <x:c r="J175" s="31" t="n">
        <x:f>(H175-G175)/2*(F175+D175)</x:f>
        <x:v>-0.046316549191745535</x:v>
      </x:c>
      <x:c r="K175" s="31" t="n">
        <x:f>(G175+H175)/2*(MAX(0,F175-$B$3)-MIN(100,D175+$B$3))</x:f>
        <x:v>0.0370192758652879</x:v>
      </x:c>
      <x:c r="L175" s="31" t="n">
        <x:f>(G175+H175)/2*(MIN(100,F175+$B$3)-MAX(0,D175-$B$3))</x:f>
        <x:v>0.03882509420017989</x:v>
      </x:c>
      <x:c r="M175" s="31" t="n">
        <x:f>IF(H175&gt;=G175,(H175-G175)/2*(MAX(0,D175-$B$3)+MAX(0,F175-$B$3)),(H175-G175)/2*(MIN(100,D175+$B$3)+MIN(100,F175+$B$3)))</x:f>
        <x:v>-0.04634528154236076</x:v>
      </x:c>
      <x:c r="N175" s="31" t="n">
        <x:f>IF(H175&gt;=G175,(H175-G175)/2*(MIN(100,D175+$B$3)+MIN(100,F175+$B$3)),(H175-G175)/2*(MAX(0,D175-$B$3)+MAX(0,F175-$B$3)))</x:f>
        <x:v>-0.046287816841130314</x:v>
      </x:c>
      <x:c r="O175" s="13" t="str">
        <x:v>I03 GP_Code!P2733/U2733; I04 Table_1!P852/U852</x:v>
      </x:c>
    </x:row>
    <x:row r="176" ht="24" customHeight="1">
      <x:c r="A176" s="13" t="str">
        <x:v>QHL</x:v>
      </x:c>
      <x:c r="B176" s="13" t="str">
        <x:v>M89013</x:v>
      </x:c>
      <x:c r="C176" s="13" t="n">
        <x:f>D513</x:f>
        <x:v>84</x:v>
      </x:c>
      <x:c r="D176" s="30" t="n">
        <x:f>E513</x:f>
        <x:v>75</x:v>
      </x:c>
      <x:c r="E176" s="13" t="n">
        <x:f>D893</x:f>
        <x:v>88</x:v>
      </x:c>
      <x:c r="F176" s="30" t="n">
        <x:f>E893</x:f>
        <x:v>72.7</x:v>
      </x:c>
      <x:c r="G176" s="31" t="n">
        <x:f>C176/$C$22</x:f>
        <x:v>0.004801097393689987</x:v>
      </x:c>
      <x:c r="H176" s="31" t="n">
        <x:f>E176/$D$22</x:f>
        <x:v>0.00512850399207413</x:v>
      </x:c>
      <x:c r="I176" s="31" t="n">
        <x:f>(G176+H176)/2*(F176-D176)</x:f>
        <x:v>-0.01141904159362872</x:v>
      </x:c>
      <x:c r="J176" s="31" t="n">
        <x:f>(H176-G176)/2*(F176+D176)</x:f>
        <x:v>0.02417897729066897</x:v>
      </x:c>
      <x:c r="K176" s="31" t="n">
        <x:f>(G176+H176)/2*(MAX(0,F176-$B$3)-MIN(100,D176+$B$3))</x:f>
        <x:v>-0.011915521662916897</x:v>
      </x:c>
      <x:c r="L176" s="31" t="n">
        <x:f>(G176+H176)/2*(MIN(100,F176+$B$3)-MAX(0,D176-$B$3))</x:f>
        <x:v>-0.010922561524340542</x:v>
      </x:c>
      <x:c r="M176" s="31" t="n">
        <x:f>IF(H176&gt;=G176,(H176-G176)/2*(MAX(0,D176-$B$3)+MAX(0,F176-$B$3)),(H176-G176)/2*(MIN(100,D176+$B$3)+MIN(100,F176+$B$3)))</x:f>
        <x:v>0.024162606960749768</x:v>
      </x:c>
      <x:c r="N176" s="31" t="n">
        <x:f>IF(H176&gt;=G176,(H176-G176)/2*(MIN(100,D176+$B$3)+MIN(100,F176+$B$3)),(H176-G176)/2*(MAX(0,D176-$B$3)+MAX(0,F176-$B$3)))</x:f>
        <x:v>0.02419534762058818</x:v>
      </x:c>
      <x:c r="O176" s="13" t="str">
        <x:v>I03 GP_Code!P2734/U2734; I04 Table_1!P853/U853</x:v>
      </x:c>
    </x:row>
    <x:row r="177" ht="24" customHeight="1">
      <x:c r="A177" s="13" t="str">
        <x:v>QHL</x:v>
      </x:c>
      <x:c r="B177" s="13" t="str">
        <x:v>M89015</x:v>
      </x:c>
      <x:c r="C177" s="13" t="n">
        <x:f>D514</x:f>
        <x:v>127</x:v>
      </x:c>
      <x:c r="D177" s="30" t="n">
        <x:f>E514</x:f>
        <x:v>84.3</x:v>
      </x:c>
      <x:c r="E177" s="13" t="n">
        <x:f>D894</x:f>
        <x:v>140</x:v>
      </x:c>
      <x:c r="F177" s="30" t="n">
        <x:f>E894</x:f>
        <x:v>90.7</x:v>
      </x:c>
      <x:c r="G177" s="31" t="n">
        <x:f>C177/$C$22</x:f>
        <x:v>0.007258802011888432</x:v>
      </x:c>
      <x:c r="H177" s="31" t="n">
        <x:f>E177/$D$22</x:f>
        <x:v>0.008158983623754298</x:v>
      </x:c>
      <x:c r="I177" s="31" t="n">
        <x:f>(G177+H177)/2*(F177-D177)</x:f>
        <x:v>0.04933691403405678</x:v>
      </x:c>
      <x:c r="J177" s="31" t="n">
        <x:f>(H177-G177)/2*(F177+D177)</x:f>
        <x:v>0.07876589103826327</x:v>
      </x:c>
      <x:c r="K177" s="31" t="n">
        <x:f>(G177+H177)/2*(MAX(0,F177-$B$3)-MIN(100,D177+$B$3))</x:f>
        <x:v>0.048566024752274686</x:v>
      </x:c>
      <x:c r="L177" s="31" t="n">
        <x:f>(G177+H177)/2*(MIN(100,F177+$B$3)-MAX(0,D177-$B$3))</x:f>
        <x:v>0.05010780331583887</x:v>
      </x:c>
      <x:c r="M177" s="31" t="n">
        <x:f>IF(H177&gt;=G177,(H177-G177)/2*(MAX(0,D177-$B$3)+MAX(0,F177-$B$3)),(H177-G177)/2*(MIN(100,D177+$B$3)+MIN(100,F177+$B$3)))</x:f>
        <x:v>0.07872088195766999</x:v>
      </x:c>
      <x:c r="N177" s="31" t="n">
        <x:f>IF(H177&gt;=G177,(H177-G177)/2*(MIN(100,D177+$B$3)+MIN(100,F177+$B$3)),(H177-G177)/2*(MAX(0,D177-$B$3)+MAX(0,F177-$B$3)))</x:f>
        <x:v>0.07881090011885657</x:v>
      </x:c>
      <x:c r="O177" s="13" t="str">
        <x:v>I03 GP_Code!P2735/U2735; I04 Table_1!P854/U854</x:v>
      </x:c>
    </x:row>
    <x:row r="178" ht="24" customHeight="1">
      <x:c r="A178" s="13" t="str">
        <x:v>QHL</x:v>
      </x:c>
      <x:c r="B178" s="13" t="str">
        <x:v>M89016</x:v>
      </x:c>
      <x:c r="C178" s="13" t="n">
        <x:f>D515</x:f>
        <x:v>128</x:v>
      </x:c>
      <x:c r="D178" s="30" t="n">
        <x:f>E515</x:f>
        <x:v>89.1</x:v>
      </x:c>
      <x:c r="E178" s="13" t="n">
        <x:f>D895</x:f>
        <x:v>127</x:v>
      </x:c>
      <x:c r="F178" s="30" t="n">
        <x:f>E895</x:f>
        <x:v>87.4</x:v>
      </x:c>
      <x:c r="G178" s="31" t="n">
        <x:f>C178/$C$22</x:f>
        <x:v>0.007315957933241884</x:v>
      </x:c>
      <x:c r="H178" s="31" t="n">
        <x:f>E178/$D$22</x:f>
        <x:v>0.007401363715834256</x:v>
      </x:c>
      <x:c r="I178" s="31" t="n">
        <x:f>(G178+H178)/2*(F178-D178)</x:f>
        <x:v>-0.012509723401714634</x:v>
      </x:c>
      <x:c r="J178" s="31" t="n">
        <x:f>(H178-G178)/2*(F178+D178)</x:f>
        <x:v>0.007537060313776846</x:v>
      </x:c>
      <x:c r="K178" s="31" t="n">
        <x:f>(G178+H178)/2*(MAX(0,F178-$B$3)-MIN(100,D178+$B$3))</x:f>
        <x:v>-0.013245589484168398</x:v>
      </x:c>
      <x:c r="L178" s="31" t="n">
        <x:f>(G178+H178)/2*(MIN(100,F178+$B$3)-MAX(0,D178-$B$3))</x:f>
        <x:v>-0.011773857319260868</x:v>
      </x:c>
      <x:c r="M178" s="31" t="n">
        <x:f>IF(H178&gt;=G178,(H178-G178)/2*(MAX(0,D178-$B$3)+MAX(0,F178-$B$3)),(H178-G178)/2*(MIN(100,D178+$B$3)+MIN(100,F178+$B$3)))</x:f>
        <x:v>0.007532790024647227</x:v>
      </x:c>
      <x:c r="N178" s="31" t="n">
        <x:f>IF(H178&gt;=G178,(H178-G178)/2*(MIN(100,D178+$B$3)+MIN(100,F178+$B$3)),(H178-G178)/2*(MAX(0,D178-$B$3)+MAX(0,F178-$B$3)))</x:f>
        <x:v>0.007541330602906464</x:v>
      </x:c>
      <x:c r="O178" s="13" t="str">
        <x:v>I03 GP_Code!P2736/U2736; I04 Table_1!P855/U855</x:v>
      </x:c>
    </x:row>
    <x:row r="179" ht="24" customHeight="1">
      <x:c r="A179" s="13" t="str">
        <x:v>QHL</x:v>
      </x:c>
      <x:c r="B179" s="13" t="str">
        <x:v>M89017</x:v>
      </x:c>
      <x:c r="C179" s="13" t="n">
        <x:f>D516</x:f>
        <x:v>644</x:v>
      </x:c>
      <x:c r="D179" s="30" t="n">
        <x:f>E516</x:f>
        <x:v>84.3</x:v>
      </x:c>
      <x:c r="E179" s="13" t="n">
        <x:f>D896</x:f>
        <x:v>593</x:v>
      </x:c>
      <x:c r="F179" s="30" t="n">
        <x:f>E896</x:f>
        <x:v>87.2</x:v>
      </x:c>
      <x:c r="G179" s="31" t="n">
        <x:f>C179/$C$22</x:f>
        <x:v>0.03680841335162323</x:v>
      </x:c>
      <x:c r="H179" s="31" t="n">
        <x:f>E179/$D$22</x:f>
        <x:v>0.03455912349204499</x:v>
      </x:c>
      <x:c r="I179" s="31" t="n">
        <x:f>(G179+H179)/2*(F179-D179)</x:f>
        <x:v>0.10348292842331913</x:v>
      </x:c>
      <x:c r="J179" s="31" t="n">
        <x:f>(H179-G179)/2*(F179+D179)</x:f>
        <x:v>-0.19287660545883378</x:v>
      </x:c>
      <x:c r="K179" s="31" t="n">
        <x:f>(G179+H179)/2*(MAX(0,F179-$B$3)-MIN(100,D179+$B$3))</x:f>
        <x:v>0.09991455158113592</x:v>
      </x:c>
      <x:c r="L179" s="31" t="n">
        <x:f>(G179+H179)/2*(MIN(100,F179+$B$3)-MAX(0,D179-$B$3))</x:f>
        <x:v>0.10705130526550234</x:v>
      </x:c>
      <x:c r="M179" s="31" t="n">
        <x:f>IF(H179&gt;=G179,(H179-G179)/2*(MAX(0,D179-$B$3)+MAX(0,F179-$B$3)),(H179-G179)/2*(MIN(100,D179+$B$3)+MIN(100,F179+$B$3)))</x:f>
        <x:v>-0.1929890699518127</x:v>
      </x:c>
      <x:c r="N179" s="31" t="n">
        <x:f>IF(H179&gt;=G179,(H179-G179)/2*(MIN(100,D179+$B$3)+MIN(100,F179+$B$3)),(H179-G179)/2*(MAX(0,D179-$B$3)+MAX(0,F179-$B$3)))</x:f>
        <x:v>-0.19276414096585487</x:v>
      </x:c>
      <x:c r="O179" s="13" t="str">
        <x:v>I03 GP_Code!P2737/U2737; I04 Table_1!P856/U856</x:v>
      </x:c>
    </x:row>
    <x:row r="180" ht="24" customHeight="1">
      <x:c r="A180" s="13" t="str">
        <x:v>QHL</x:v>
      </x:c>
      <x:c r="B180" s="13" t="str">
        <x:v>M89019</x:v>
      </x:c>
      <x:c r="C180" s="13" t="n">
        <x:f>D517</x:f>
        <x:v>147</x:v>
      </x:c>
      <x:c r="D180" s="30" t="n">
        <x:f>E517</x:f>
        <x:v>87.8</x:v>
      </x:c>
      <x:c r="E180" s="13" t="n">
        <x:f>D897</x:f>
        <x:v>115</x:v>
      </x:c>
      <x:c r="F180" s="30" t="n">
        <x:f>E897</x:f>
        <x:v>81.7</x:v>
      </x:c>
      <x:c r="G180" s="31" t="n">
        <x:f>C180/$C$22</x:f>
        <x:v>0.008401920438957476</x:v>
      </x:c>
      <x:c r="H180" s="31" t="n">
        <x:f>E180/$D$22</x:f>
        <x:v>0.006702022262369602</x:v>
      </x:c>
      <x:c r="I180" s="31" t="n">
        <x:f>(G180+H180)/2*(F180-D180)</x:f>
        <x:v>-0.04606702523904754</x:v>
      </x:c>
      <x:c r="J180" s="31" t="n">
        <x:f>(H180-G180)/2*(F180+D180)</x:f>
        <x:v>-0.14406637046582238</x:v>
      </x:c>
      <x:c r="K180" s="31" t="n">
        <x:f>(G180+H180)/2*(MAX(0,F180-$B$3)-MIN(100,D180+$B$3))</x:f>
        <x:v>-0.046822222374113855</x:v>
      </x:c>
      <x:c r="L180" s="31" t="n">
        <x:f>(G180+H180)/2*(MIN(100,F180+$B$3)-MAX(0,D180-$B$3))</x:f>
        <x:v>-0.04531182810398124</x:v>
      </x:c>
      <x:c r="M180" s="31" t="n">
        <x:f>IF(H180&gt;=G180,(H180-G180)/2*(MAX(0,D180-$B$3)+MAX(0,F180-$B$3)),(H180-G180)/2*(MIN(100,D180+$B$3)+MIN(100,F180+$B$3)))</x:f>
        <x:v>-0.14415136537465176</x:v>
      </x:c>
      <x:c r="N180" s="31" t="n">
        <x:f>IF(H180&gt;=G180,(H180-G180)/2*(MIN(100,D180+$B$3)+MIN(100,F180+$B$3)),(H180-G180)/2*(MAX(0,D180-$B$3)+MAX(0,F180-$B$3)))</x:f>
        <x:v>-0.14398137555699297</x:v>
      </x:c>
      <x:c r="O180" s="13" t="str">
        <x:v>I03 GP_Code!P2738/U2738; I04 Table_1!P857/U857</x:v>
      </x:c>
    </x:row>
    <x:row r="181" ht="24" customHeight="1">
      <x:c r="A181" s="13" t="str">
        <x:v>QHL</x:v>
      </x:c>
      <x:c r="B181" s="13" t="str">
        <x:v>M89021</x:v>
      </x:c>
      <x:c r="C181" s="13" t="n">
        <x:f>D518</x:f>
        <x:v>44</x:v>
      </x:c>
      <x:c r="D181" s="30" t="n">
        <x:f>E518</x:f>
        <x:v>95.5</x:v>
      </x:c>
      <x:c r="E181" s="13" t="n">
        <x:f>D898</x:f>
        <x:v>54</x:v>
      </x:c>
      <x:c r="F181" s="30" t="n">
        <x:f>E898</x:f>
        <x:v>85.2</x:v>
      </x:c>
      <x:c r="G181" s="31" t="n">
        <x:f>C181/$C$22</x:f>
        <x:v>0.002514860539551898</x:v>
      </x:c>
      <x:c r="H181" s="31" t="n">
        <x:f>E181/$D$22</x:f>
        <x:v>0.0031470365405909437</x:v>
      </x:c>
      <x:c r="I181" s="31" t="n">
        <x:f>(G181+H181)/2*(F181-D181)</x:f>
        <x:v>-0.029158769962735625</x:v>
      </x:c>
      <x:c r="J181" s="31" t="n">
        <x:f>(H181-G181)/2*(F181+D181)</x:f>
        <x:v>0.0571171016938778</x:v>
      </x:c>
      <x:c r="K181" s="31" t="n">
        <x:f>(G181+H181)/2*(MAX(0,F181-$B$3)-MIN(100,D181+$B$3))</x:f>
        <x:v>-0.029441864816742748</x:v>
      </x:c>
      <x:c r="L181" s="31" t="n">
        <x:f>(G181+H181)/2*(MIN(100,F181+$B$3)-MAX(0,D181-$B$3))</x:f>
        <x:v>-0.0288756751087285</x:v>
      </x:c>
      <x:c r="M181" s="31" t="n">
        <x:f>IF(H181&gt;=G181,(H181-G181)/2*(MAX(0,D181-$B$3)+MAX(0,F181-$B$3)),(H181-G181)/2*(MIN(100,D181+$B$3)+MIN(100,F181+$B$3)))</x:f>
        <x:v>0.057085492893825855</x:v>
      </x:c>
      <x:c r="N181" s="31" t="n">
        <x:f>IF(H181&gt;=G181,(H181-G181)/2*(MIN(100,D181+$B$3)+MIN(100,F181+$B$3)),(H181-G181)/2*(MAX(0,D181-$B$3)+MAX(0,F181-$B$3)))</x:f>
        <x:v>0.05714871049392976</x:v>
      </x:c>
      <x:c r="O181" s="13" t="str">
        <x:v>I03 GP_Code!P2739/U2739; I04 Table_1!P858/U858</x:v>
      </x:c>
    </x:row>
    <x:row r="182" ht="24" customHeight="1">
      <x:c r="A182" s="13" t="str">
        <x:v>QHL</x:v>
      </x:c>
      <x:c r="B182" s="13" t="str">
        <x:v>M89024</x:v>
      </x:c>
      <x:c r="C182" s="13" t="n">
        <x:f>D519</x:f>
        <x:v>53</x:v>
      </x:c>
      <x:c r="D182" s="30" t="n">
        <x:f>E519</x:f>
        <x:v>88.7</x:v>
      </x:c>
      <x:c r="E182" s="13" t="n">
        <x:f>D899</x:f>
        <x:v>41</x:v>
      </x:c>
      <x:c r="F182" s="30" t="n">
        <x:f>E899</x:f>
        <x:v>85.4</x:v>
      </x:c>
      <x:c r="G182" s="31" t="n">
        <x:f>C182/$C$22</x:f>
        <x:v>0.0030292638317329676</x:v>
      </x:c>
      <x:c r="H182" s="31" t="n">
        <x:f>E182/$D$22</x:f>
        <x:v>0.0023894166326709015</x:v>
      </x:c>
      <x:c r="I182" s="31" t="n">
        <x:f>(G182+H182)/2*(F182-D182)</x:f>
        <x:v>-0.008940822766266376</x:v>
      </x:c>
      <x:c r="J182" s="31" t="n">
        <x:f>(H182-G182)/2*(F182+D182)</x:f>
        <x:v>-0.055698698678352865</x:v>
      </x:c>
      <x:c r="K182" s="31" t="n">
        <x:f>(G182+H182)/2*(MAX(0,F182-$B$3)-MIN(100,D182+$B$3))</x:f>
        <x:v>-0.009211756789486554</x:v>
      </x:c>
      <x:c r="L182" s="31" t="n">
        <x:f>(G182+H182)/2*(MIN(100,F182+$B$3)-MAX(0,D182-$B$3))</x:f>
        <x:v>-0.008669888743046198</x:v>
      </x:c>
      <x:c r="M182" s="31" t="n">
        <x:f>IF(H182&gt;=G182,(H182-G182)/2*(MAX(0,D182-$B$3)+MAX(0,F182-$B$3)),(H182-G182)/2*(MIN(100,D182+$B$3)+MIN(100,F182+$B$3)))</x:f>
        <x:v>-0.055730691038305954</x:v>
      </x:c>
      <x:c r="N182" s="31" t="n">
        <x:f>IF(H182&gt;=G182,(H182-G182)/2*(MIN(100,D182+$B$3)+MIN(100,F182+$B$3)),(H182-G182)/2*(MAX(0,D182-$B$3)+MAX(0,F182-$B$3)))</x:f>
        <x:v>-0.055666706318399754</x:v>
      </x:c>
      <x:c r="O182" s="13" t="str">
        <x:v>I03 GP_Code!P2740/U2740; I04 Table_1!P859/U859</x:v>
      </x:c>
    </x:row>
    <x:row r="183" ht="24" customHeight="1">
      <x:c r="A183" s="13" t="str">
        <x:v>QHL</x:v>
      </x:c>
      <x:c r="B183" s="13" t="str">
        <x:v>M89026</x:v>
      </x:c>
      <x:c r="C183" s="13" t="n">
        <x:f>D520</x:f>
        <x:v>144</x:v>
      </x:c>
      <x:c r="D183" s="30" t="n">
        <x:f>E520</x:f>
        <x:v>93.8</x:v>
      </x:c>
      <x:c r="E183" s="13" t="n">
        <x:f>D900</x:f>
        <x:v>106</x:v>
      </x:c>
      <x:c r="F183" s="30" t="n">
        <x:f>E900</x:f>
        <x:v>86.8</x:v>
      </x:c>
      <x:c r="G183" s="31" t="n">
        <x:f>C183/$C$22</x:f>
        <x:v>0.00823045267489712</x:v>
      </x:c>
      <x:c r="H183" s="31" t="n">
        <x:f>E183/$D$22</x:f>
        <x:v>0.0061775161722711115</x:v>
      </x:c>
      <x:c r="I183" s="31" t="n">
        <x:f>(G183+H183)/2*(F183-D183)</x:f>
        <x:v>-0.05042789096508881</x:v>
      </x:c>
      <x:c r="J183" s="31" t="n">
        <x:f>(H183-G183)/2*(F183+D183)</x:f>
        <x:v>-0.18538016618712858</x:v>
      </x:c>
      <x:c r="K183" s="31" t="n">
        <x:f>(G183+H183)/2*(MAX(0,F183-$B$3)-MIN(100,D183+$B$3))</x:f>
        <x:v>-0.05114828940744718</x:v>
      </x:c>
      <x:c r="L183" s="31" t="n">
        <x:f>(G183+H183)/2*(MIN(100,F183+$B$3)-MAX(0,D183-$B$3))</x:f>
        <x:v>-0.04970749252273044</x:v>
      </x:c>
      <x:c r="M183" s="31" t="n">
        <x:f>IF(H183&gt;=G183,(H183-G183)/2*(MAX(0,D183-$B$3)+MAX(0,F183-$B$3)),(H183-G183)/2*(MIN(100,D183+$B$3)+MIN(100,F183+$B$3)))</x:f>
        <x:v>-0.18548281301225986</x:v>
      </x:c>
      <x:c r="N183" s="31" t="n">
        <x:f>IF(H183&gt;=G183,(H183-G183)/2*(MIN(100,D183+$B$3)+MIN(100,F183+$B$3)),(H183-G183)/2*(MAX(0,D183-$B$3)+MAX(0,F183-$B$3)))</x:f>
        <x:v>-0.18527751936199727</x:v>
      </x:c>
      <x:c r="O183" s="13" t="str">
        <x:v>I03 GP_Code!P2741/U2741; I04 Table_1!P860/U860</x:v>
      </x:c>
    </x:row>
    <x:row r="184" ht="24" customHeight="1">
      <x:c r="A184" s="13" t="str">
        <x:v>QHL</x:v>
      </x:c>
      <x:c r="B184" s="13" t="str">
        <x:v>M89027</x:v>
      </x:c>
      <x:c r="C184" s="13" t="n">
        <x:f>D521</x:f>
        <x:v>108</x:v>
      </x:c>
      <x:c r="D184" s="30" t="n">
        <x:f>E521</x:f>
        <x:v>80.6</x:v>
      </x:c>
      <x:c r="E184" s="13" t="n">
        <x:f>D901</x:f>
        <x:v>117</x:v>
      </x:c>
      <x:c r="F184" s="30" t="n">
        <x:f>E901</x:f>
        <x:v>76.1</x:v>
      </x:c>
      <x:c r="G184" s="31" t="n">
        <x:f>C184/$C$22</x:f>
        <x:v>0.006172839506172839</x:v>
      </x:c>
      <x:c r="H184" s="31" t="n">
        <x:f>E184/$D$22</x:f>
        <x:v>0.006818579171280378</x:v>
      </x:c>
      <x:c r="I184" s="31" t="n">
        <x:f>(G184+H184)/2*(F184-D184)</x:f>
        <x:v>-0.029230692024269735</x:v>
      </x:c>
      <x:c r="J184" s="31" t="n">
        <x:f>(H184-G184)/2*(F184+D184)</x:f>
        <x:v>0.050593702761175655</x:v>
      </x:c>
      <x:c r="K184" s="31" t="n">
        <x:f>(G184+H184)/2*(MAX(0,F184-$B$3)-MIN(100,D184+$B$3))</x:f>
        <x:v>-0.029880262958142362</x:v>
      </x:c>
      <x:c r="L184" s="31" t="n">
        <x:f>(G184+H184)/2*(MIN(100,F184+$B$3)-MAX(0,D184-$B$3))</x:f>
        <x:v>-0.02858112109039711</x:v>
      </x:c>
      <x:c r="M184" s="31" t="n">
        <x:f>IF(H184&gt;=G184,(H184-G184)/2*(MAX(0,D184-$B$3)+MAX(0,F184-$B$3)),(H184-G184)/2*(MIN(100,D184+$B$3)+MIN(100,F184+$B$3)))</x:f>
        <x:v>0.050561415777920275</x:v>
      </x:c>
      <x:c r="N184" s="31" t="n">
        <x:f>IF(H184&gt;=G184,(H184-G184)/2*(MIN(100,D184+$B$3)+MIN(100,F184+$B$3)),(H184-G184)/2*(MAX(0,D184-$B$3)+MAX(0,F184-$B$3)))</x:f>
        <x:v>0.05062598974443103</x:v>
      </x:c>
      <x:c r="O184" s="13" t="str">
        <x:v>I03 GP_Code!P2742/U2742; I04 Table_1!P861/U861</x:v>
      </x:c>
    </x:row>
    <x:row r="185" ht="24" customHeight="1">
      <x:c r="A185" s="13" t="str">
        <x:v>QHL</x:v>
      </x:c>
      <x:c r="B185" s="13" t="str">
        <x:v>M89030</x:v>
      </x:c>
      <x:c r="C185" s="13" t="n">
        <x:f>D522</x:f>
        <x:v>65</x:v>
      </x:c>
      <x:c r="D185" s="30" t="n">
        <x:f>E522</x:f>
        <x:v>86.2</x:v>
      </x:c>
      <x:c r="E185" s="13" t="n">
        <x:f>D902</x:f>
        <x:v>44</x:v>
      </x:c>
      <x:c r="F185" s="30" t="n">
        <x:f>E902</x:f>
        <x:v>90.9</x:v>
      </x:c>
      <x:c r="G185" s="31" t="n">
        <x:f>C185/$C$22</x:f>
        <x:v>0.0037151348879743942</x:v>
      </x:c>
      <x:c r="H185" s="31" t="n">
        <x:f>E185/$D$22</x:f>
        <x:v>0.002564251996037065</x:v>
      </x:c>
      <x:c r="I185" s="31" t="n">
        <x:f>(G185+H185)/2*(F185-D185)</x:f>
        <x:v>0.014756559177426938</x:v>
      </x:c>
      <x:c r="J185" s="31" t="n">
        <x:f>(H185-G185)/2*(F185+D185)</x:f>
        <x:v>-0.10191068008105053</x:v>
      </x:c>
      <x:c r="K185" s="31" t="n">
        <x:f>(G185+H185)/2*(MAX(0,F185-$B$3)-MIN(100,D185+$B$3))</x:f>
        <x:v>0.014442589833226382</x:v>
      </x:c>
      <x:c r="L185" s="31" t="n">
        <x:f>(G185+H185)/2*(MIN(100,F185+$B$3)-MAX(0,D185-$B$3))</x:f>
        <x:v>0.015070528521627493</x:v>
      </x:c>
      <x:c r="M185" s="31" t="n">
        <x:f>IF(H185&gt;=G185,(H185-G185)/2*(MAX(0,D185-$B$3)+MAX(0,F185-$B$3)),(H185-G185)/2*(MIN(100,D185+$B$3)+MIN(100,F185+$B$3)))</x:f>
        <x:v>-0.10196822422564737</x:v>
      </x:c>
      <x:c r="N185" s="31" t="n">
        <x:f>IF(H185&gt;=G185,(H185-G185)/2*(MIN(100,D185+$B$3)+MIN(100,F185+$B$3)),(H185-G185)/2*(MAX(0,D185-$B$3)+MAX(0,F185-$B$3)))</x:f>
        <x:v>-0.10185313593645365</x:v>
      </x:c>
      <x:c r="O185" s="13" t="str">
        <x:v>I03 GP_Code!P2743/U2743; I04 Table_1!P862/U862</x:v>
      </x:c>
    </x:row>
    <x:row r="186" ht="24" customHeight="1">
      <x:c r="A186" s="13" t="str">
        <x:v>QHL</x:v>
      </x:c>
      <x:c r="B186" s="13" t="str">
        <x:v>M89608</x:v>
      </x:c>
      <x:c r="C186" s="13" t="n">
        <x:f>D523</x:f>
        <x:v>33</x:v>
      </x:c>
      <x:c r="D186" s="30" t="n">
        <x:f>E523</x:f>
        <x:v>93.9</x:v>
      </x:c>
      <x:c r="E186" s="13" t="n">
        <x:f>D903</x:f>
        <x:v>39</x:v>
      </x:c>
      <x:c r="F186" s="30" t="n">
        <x:f>E903</x:f>
        <x:v>74.4</x:v>
      </x:c>
      <x:c r="G186" s="31" t="n">
        <x:f>C186/$C$22</x:f>
        <x:v>0.0018861454046639231</x:v>
      </x:c>
      <x:c r="H186" s="31" t="n">
        <x:f>E186/$D$22</x:f>
        <x:v>0.002272859723760126</x:v>
      </x:c>
      <x:c r="I186" s="31" t="n">
        <x:f>(G186+H186)/2*(F186-D186)</x:f>
        <x:v>-0.040550300002134484</x:v>
      </x:c>
      <x:c r="J186" s="31" t="n">
        <x:f>(H186-G186)/2*(F186+D186)</x:f>
        <x:v>0.03254200995194547</x:v>
      </x:c>
      <x:c r="K186" s="31" t="n">
        <x:f>(G186+H186)/2*(MAX(0,F186-$B$3)-MIN(100,D186+$B$3))</x:f>
        <x:v>-0.04075825025855567</x:v>
      </x:c>
      <x:c r="L186" s="31" t="n">
        <x:f>(G186+H186)/2*(MIN(100,F186+$B$3)-MAX(0,D186-$B$3))</x:f>
        <x:v>-0.04034234974571329</x:v>
      </x:c>
      <x:c r="M186" s="31" t="n">
        <x:f>IF(H186&gt;=G186,(H186-G186)/2*(MAX(0,D186-$B$3)+MAX(0,F186-$B$3)),(H186-G186)/2*(MIN(100,D186+$B$3)+MIN(100,F186+$B$3)))</x:f>
        <x:v>0.03252267423599066</x:v>
      </x:c>
      <x:c r="N186" s="31" t="n">
        <x:f>IF(H186&gt;=G186,(H186-G186)/2*(MIN(100,D186+$B$3)+MIN(100,F186+$B$3)),(H186-G186)/2*(MAX(0,D186-$B$3)+MAX(0,F186-$B$3)))</x:f>
        <x:v>0.03256134566790028</x:v>
      </x:c>
      <x:c r="O186" s="13" t="str">
        <x:v>I03 GP_Code!P2744/U2744; I04 Table_1!P863/U863</x:v>
      </x:c>
    </x:row>
    <x:row r="187" ht="24" customHeight="1">
      <x:c r="A187" s="13" t="str">
        <x:v>QHL</x:v>
      </x:c>
      <x:c r="B187" s="13" t="str">
        <x:v>M91642</x:v>
      </x:c>
      <x:c r="C187" s="13" t="n">
        <x:f>D524</x:f>
        <x:v>15</x:v>
      </x:c>
      <x:c r="D187" s="30" t="n">
        <x:f>E524</x:f>
        <x:v>80</x:v>
      </x:c>
      <x:c r="E187" s="13" t="n">
        <x:f>D904</x:f>
        <x:v>22</x:v>
      </x:c>
      <x:c r="F187" s="30" t="n">
        <x:f>E904</x:f>
        <x:v>77.3</x:v>
      </x:c>
      <x:c r="G187" s="31" t="n">
        <x:f>C187/$C$22</x:f>
        <x:v>0.0008573388203017832</x:v>
      </x:c>
      <x:c r="H187" s="31" t="n">
        <x:f>E187/$D$22</x:f>
        <x:v>0.0012821259980185325</x:v>
      </x:c>
      <x:c r="I187" s="31" t="n">
        <x:f>(G187+H187)/2*(F187-D187)</x:f>
        <x:v>-0.0028882775047324293</x:v>
      </x:c>
      <x:c r="J187" s="31" t="n">
        <x:f>(H187-G187)/2*(F187+D187)</x:f>
        <x:v>0.03340951152742233</x:v>
      </x:c>
      <x:c r="K187" s="31" t="n">
        <x:f>(G187+H187)/2*(MAX(0,F187-$B$3)-MIN(100,D187+$B$3))</x:f>
        <x:v>-0.002995250745648439</x:v>
      </x:c>
      <x:c r="L187" s="31" t="n">
        <x:f>(G187+H187)/2*(MIN(100,F187+$B$3)-MAX(0,D187-$B$3))</x:f>
        <x:v>-0.0027813042638164197</x:v>
      </x:c>
      <x:c r="M187" s="31" t="n">
        <x:f>IF(H187&gt;=G187,(H187-G187)/2*(MAX(0,D187-$B$3)+MAX(0,F187-$B$3)),(H187-G187)/2*(MIN(100,D187+$B$3)+MIN(100,F187+$B$3)))</x:f>
        <x:v>0.03338827216853649</x:v>
      </x:c>
      <x:c r="N187" s="31" t="n">
        <x:f>IF(H187&gt;=G187,(H187-G187)/2*(MIN(100,D187+$B$3)+MIN(100,F187+$B$3)),(H187-G187)/2*(MAX(0,D187-$B$3)+MAX(0,F187-$B$3)))</x:f>
        <x:v>0.03343075088630816</x:v>
      </x:c>
      <x:c r="O187" s="13" t="str">
        <x:v>I03 GP_Code!P2745/U2745; I04 Table_1!P864/U864</x:v>
      </x:c>
    </x:row>
    <x:row r="188" ht="24" customHeight="1">
      <x:c r="A188" s="13" t="str">
        <x:v>QHL</x:v>
      </x:c>
      <x:c r="B188" s="13" t="str">
        <x:v>Y00159</x:v>
      </x:c>
      <x:c r="C188" s="13" t="n">
        <x:f>D526</x:f>
        <x:v>414</x:v>
      </x:c>
      <x:c r="D188" s="30" t="n">
        <x:f>E526</x:f>
        <x:v>87.9</x:v>
      </x:c>
      <x:c r="E188" s="13" t="n">
        <x:f>D906</x:f>
        <x:v>389</x:v>
      </x:c>
      <x:c r="F188" s="30" t="n">
        <x:f>E906</x:f>
        <x:v>79.9</x:v>
      </x:c>
      <x:c r="G188" s="31" t="n">
        <x:f>C188/$C$22</x:f>
        <x:v>0.023662551440329218</x:v>
      </x:c>
      <x:c r="H188" s="31" t="n">
        <x:f>E188/$D$22</x:f>
        <x:v>0.02267031878314587</x:v>
      </x:c>
      <x:c r="I188" s="31" t="n">
        <x:f>(G188+H188)/2*(F188-D188)</x:f>
        <x:v>-0.18533148089390034</x:v>
      </x:c>
      <x:c r="J188" s="31" t="n">
        <x:f>(H188-G188)/2*(F188+D188)</x:f>
        <x:v>-0.08324831993768295</x:v>
      </x:c>
      <x:c r="K188" s="31" t="n">
        <x:f>(G188+H188)/2*(MAX(0,F188-$B$3)-MIN(100,D188+$B$3))</x:f>
        <x:v>-0.18764812440507395</x:v>
      </x:c>
      <x:c r="L188" s="31" t="n">
        <x:f>(G188+H188)/2*(MIN(100,F188+$B$3)-MAX(0,D188-$B$3))</x:f>
        <x:v>-0.18301483738272672</x:v>
      </x:c>
      <x:c r="M188" s="31" t="n">
        <x:f>IF(H188&gt;=G188,(H188-G188)/2*(MAX(0,D188-$B$3)+MAX(0,F188-$B$3)),(H188-G188)/2*(MIN(100,D188+$B$3)+MIN(100,F188+$B$3)))</x:f>
        <x:v>-0.08329793157054212</x:v>
      </x:c>
      <x:c r="N188" s="31" t="n">
        <x:f>IF(H188&gt;=G188,(H188-G188)/2*(MIN(100,D188+$B$3)+MIN(100,F188+$B$3)),(H188-G188)/2*(MAX(0,D188-$B$3)+MAX(0,F188-$B$3)))</x:f>
        <x:v>-0.08319870830482379</x:v>
      </x:c>
      <x:c r="O188" s="13" t="str">
        <x:v>I03 GP_Code!P2747/U2747; I04 Table_1!P866/U866</x:v>
      </x:c>
    </x:row>
    <x:row r="189" ht="24" customHeight="1">
      <x:c r="A189" s="13" t="str">
        <x:v>QHL</x:v>
      </x:c>
      <x:c r="B189" s="13" t="str">
        <x:v>Y01068</x:v>
      </x:c>
      <x:c r="C189" s="13" t="n">
        <x:f>D527</x:f>
        <x:v>71</x:v>
      </x:c>
      <x:c r="D189" s="30" t="n">
        <x:f>E527</x:f>
        <x:v>77.5</x:v>
      </x:c>
      <x:c r="E189" s="13" t="n">
        <x:f>D910</x:f>
        <x:v>84</x:v>
      </x:c>
      <x:c r="F189" s="30" t="n">
        <x:f>E910</x:f>
        <x:v>72.6</x:v>
      </x:c>
      <x:c r="G189" s="31" t="n">
        <x:f>C189/$C$22</x:f>
        <x:v>0.004058070416095108</x:v>
      </x:c>
      <x:c r="H189" s="31" t="n">
        <x:f>E189/$D$22</x:f>
        <x:v>0.004895390174252579</x:v>
      </x:c>
      <x:c r="I189" s="31" t="n">
        <x:f>(G189+H189)/2*(F189-D189)</x:f>
        <x:v>-0.02193597844635186</x:v>
      </x:c>
      <x:c r="J189" s="31" t="n">
        <x:f>(H189-G189)/2*(F189+D189)</x:f>
        <x:v>0.06284084784971822</x:v>
      </x:c>
      <x:c r="K189" s="31" t="n">
        <x:f>(G189+H189)/2*(MAX(0,F189-$B$3)-MIN(100,D189+$B$3))</x:f>
        <x:v>-0.022383651475869216</x:v>
      </x:c>
      <x:c r="L189" s="31" t="n">
        <x:f>(G189+H189)/2*(MIN(100,F189+$B$3)-MAX(0,D189-$B$3))</x:f>
        <x:v>-0.0214883054168345</x:v>
      </x:c>
      <x:c r="M189" s="31" t="n">
        <x:f>IF(H189&gt;=G189,(H189-G189)/2*(MAX(0,D189-$B$3)+MAX(0,F189-$B$3)),(H189-G189)/2*(MIN(100,D189+$B$3)+MIN(100,F189+$B$3)))</x:f>
        <x:v>0.06279898186181035</x:v>
      </x:c>
      <x:c r="N189" s="31" t="n">
        <x:f>IF(H189&gt;=G189,(H189-G189)/2*(MIN(100,D189+$B$3)+MIN(100,F189+$B$3)),(H189-G189)/2*(MAX(0,D189-$B$3)+MAX(0,F189-$B$3)))</x:f>
        <x:v>0.06288271383762609</x:v>
      </x:c>
      <x:c r="O189" s="13" t="str">
        <x:v>I03 GP_Code!P2748/U2748; I04 Table_1!P870/U870</x:v>
      </x:c>
    </x:row>
    <x:row r="190" ht="24" customHeight="1">
      <x:c r="A190" s="13" t="str">
        <x:v>QHL</x:v>
      </x:c>
      <x:c r="B190" s="13" t="str">
        <x:v>Y02567</x:v>
      </x:c>
      <x:c r="C190" s="13" t="n">
        <x:f>D528</x:f>
        <x:v>118</x:v>
      </x:c>
      <x:c r="D190" s="30" t="n">
        <x:f>E528</x:f>
        <x:v>73.7</x:v>
      </x:c>
      <x:c r="E190" s="13" t="n">
        <x:f>D911</x:f>
        <x:v>115</x:v>
      </x:c>
      <x:c r="F190" s="30" t="n">
        <x:f>E911</x:f>
        <x:v>75.7</x:v>
      </x:c>
      <x:c r="G190" s="31" t="n">
        <x:f>C190/$C$22</x:f>
        <x:v>0.006744398719707362</x:v>
      </x:c>
      <x:c r="H190" s="31" t="n">
        <x:f>E190/$D$22</x:f>
        <x:v>0.006702022262369602</x:v>
      </x:c>
      <x:c r="I190" s="31" t="n">
        <x:f>(G190+H190)/2*(F190-D190)</x:f>
        <x:v>0.013446420982076964</x:v>
      </x:c>
      <x:c r="J190" s="31" t="n">
        <x:f>(H190-G190)/2*(F190+D190)</x:f>
        <x:v>-0.003165521363130664</x:v>
      </x:c>
      <x:c r="K190" s="31" t="n">
        <x:f>(G190+H190)/2*(MAX(0,F190-$B$3)-MIN(100,D190+$B$3))</x:f>
        <x:v>0.012774099932973154</x:v>
      </x:c>
      <x:c r="L190" s="31" t="n">
        <x:f>(G190+H190)/2*(MIN(100,F190+$B$3)-MAX(0,D190-$B$3))</x:f>
        <x:v>0.014118742031180773</x:v>
      </x:c>
      <x:c r="M190" s="31" t="n">
        <x:f>IF(H190&gt;=G190,(H190-G190)/2*(MAX(0,D190-$B$3)+MAX(0,F190-$B$3)),(H190-G190)/2*(MIN(100,D190+$B$3)+MIN(100,F190+$B$3)))</x:f>
        <x:v>-0.003167640185997552</x:v>
      </x:c>
      <x:c r="N190" s="31" t="n">
        <x:f>IF(H190&gt;=G190,(H190-G190)/2*(MIN(100,D190+$B$3)+MIN(100,F190+$B$3)),(H190-G190)/2*(MAX(0,D190-$B$3)+MAX(0,F190-$B$3)))</x:f>
        <x:v>-0.0031634025402637765</x:v>
      </x:c>
      <x:c r="O190" s="13" t="str">
        <x:v>I03 GP_Code!P2749/U2749; I04 Table_1!P871/U871</x:v>
      </x:c>
    </x:row>
    <x:row r="191" ht="24" customHeight="1">
      <x:c r="A191" s="13" t="str">
        <x:v>QHL</x:v>
      </x:c>
      <x:c r="B191" s="13" t="str">
        <x:v>Y02571</x:v>
      </x:c>
      <x:c r="C191" s="13" t="n">
        <x:f>D529</x:f>
        <x:v>107</x:v>
      </x:c>
      <x:c r="D191" s="30" t="n">
        <x:f>E529</x:f>
        <x:v>81.3</x:v>
      </x:c>
      <x:c r="E191" s="13" t="n">
        <x:f>D912</x:f>
        <x:v>149</x:v>
      </x:c>
      <x:c r="F191" s="30" t="n">
        <x:f>E912</x:f>
        <x:v>78.5</x:v>
      </x:c>
      <x:c r="G191" s="31" t="n">
        <x:f>C191/$C$22</x:f>
        <x:v>0.006115683584819388</x:v>
      </x:c>
      <x:c r="H191" s="31" t="n">
        <x:f>E191/$D$22</x:f>
        <x:v>0.008683489713852788</x:v>
      </x:c>
      <x:c r="I191" s="31" t="n">
        <x:f>(G191+H191)/2*(F191-D191)</x:f>
        <x:v>-0.020718842618141026</x:v>
      </x:c>
      <x:c r="J191" s="31" t="n">
        <x:f>(H191-G191)/2*(F191+D191)</x:f>
        <x:v>0.20516770970976875</x:v>
      </x:c>
      <x:c r="K191" s="31" t="n">
        <x:f>(G191+H191)/2*(MAX(0,F191-$B$3)-MIN(100,D191+$B$3))</x:f>
        <x:v>-0.02145880128307459</x:v>
      </x:c>
      <x:c r="L191" s="31" t="n">
        <x:f>(G191+H191)/2*(MIN(100,F191+$B$3)-MAX(0,D191-$B$3))</x:f>
        <x:v>-0.01997888395320746</x:v>
      </x:c>
      <x:c r="M191" s="31" t="n">
        <x:f>IF(H191&gt;=G191,(H191-G191)/2*(MAX(0,D191-$B$3)+MAX(0,F191-$B$3)),(H191-G191)/2*(MIN(100,D191+$B$3)+MIN(100,F191+$B$3)))</x:f>
        <x:v>0.20503931940331704</x:v>
      </x:c>
      <x:c r="N191" s="31" t="n">
        <x:f>IF(H191&gt;=G191,(H191-G191)/2*(MIN(100,D191+$B$3)+MIN(100,F191+$B$3)),(H191-G191)/2*(MAX(0,D191-$B$3)+MAX(0,F191-$B$3)))</x:f>
        <x:v>0.20529610001622037</x:v>
      </x:c>
      <x:c r="O191" s="13" t="str">
        <x:v>I03 GP_Code!P2750/U2750; I04 Table_1!P872/U872</x:v>
      </x:c>
    </x:row>
    <x:row r="192" ht="24" customHeight="1">
      <x:c r="A192" s="13" t="str">
        <x:v>QHL</x:v>
      </x:c>
      <x:c r="B192" s="13" t="str">
        <x:v>Y02794</x:v>
      </x:c>
      <x:c r="C192" s="13" t="n">
        <x:f>D530</x:f>
        <x:v>247</x:v>
      </x:c>
      <x:c r="D192" s="30" t="n">
        <x:f>E530</x:f>
        <x:v>58.3</x:v>
      </x:c>
      <x:c r="E192" s="13" t="n">
        <x:f>D913</x:f>
        <x:v>257</x:v>
      </x:c>
      <x:c r="F192" s="30" t="n">
        <x:f>E913</x:f>
        <x:v>64.2</x:v>
      </x:c>
      <x:c r="G192" s="31" t="n">
        <x:f>C192/$C$22</x:f>
        <x:v>0.014117512574302698</x:v>
      </x:c>
      <x:c r="H192" s="31" t="n">
        <x:f>E192/$D$22</x:f>
        <x:v>0.014977562795034675</x:v>
      </x:c>
      <x:c r="I192" s="31" t="n">
        <x:f>(G192+H192)/2*(F192-D192)</x:f>
        <x:v>0.08583047233954533</x:v>
      </x:c>
      <x:c r="J192" s="31" t="n">
        <x:f>(H192-G192)/2*(F192+D192)</x:f>
        <x:v>0.052678076019833604</x:v>
      </x:c>
      <x:c r="K192" s="31" t="n">
        <x:f>(G192+H192)/2*(MAX(0,F192-$B$3)-MIN(100,D192+$B$3))</x:f>
        <x:v>0.08437571857107855</x:v>
      </x:c>
      <x:c r="L192" s="31" t="n">
        <x:f>(G192+H192)/2*(MIN(100,F192+$B$3)-MAX(0,D192-$B$3))</x:f>
        <x:v>0.08728522610801212</x:v>
      </x:c>
      <x:c r="M192" s="31" t="n">
        <x:f>IF(H192&gt;=G192,(H192-G192)/2*(MAX(0,D192-$B$3)+MAX(0,F192-$B$3)),(H192-G192)/2*(MIN(100,D192+$B$3)+MIN(100,F192+$B$3)))</x:f>
        <x:v>0.05263507350879701</x:v>
      </x:c>
      <x:c r="N192" s="31" t="n">
        <x:f>IF(H192&gt;=G192,(H192-G192)/2*(MIN(100,D192+$B$3)+MIN(100,F192+$B$3)),(H192-G192)/2*(MAX(0,D192-$B$3)+MAX(0,F192-$B$3)))</x:f>
        <x:v>0.0527210785308702</x:v>
      </x:c>
      <x:c r="O192" s="13" t="str">
        <x:v>I03 GP_Code!P2751/U2751; I04 Table_1!P873/U873</x:v>
      </x:c>
    </x:row>
    <x:row r="193" ht="24" customHeight="1">
      <x:c r="A193" s="13" t="str">
        <x:v>QHL</x:v>
      </x:c>
      <x:c r="B193" s="13" t="str">
        <x:v>Y02893</x:v>
      </x:c>
      <x:c r="C193" s="13" t="n">
        <x:f>D531</x:f>
        <x:v>323</x:v>
      </x:c>
      <x:c r="D193" s="30" t="n">
        <x:f>E531</x:f>
        <x:v>76.8</x:v>
      </x:c>
      <x:c r="E193" s="13" t="n">
        <x:f>D914</x:f>
        <x:v>370</x:v>
      </x:c>
      <x:c r="F193" s="30" t="n">
        <x:f>E914</x:f>
        <x:v>80.5</x:v>
      </x:c>
      <x:c r="G193" s="31" t="n">
        <x:f>C193/$C$22</x:f>
        <x:v>0.018461362597165066</x:v>
      </x:c>
      <x:c r="H193" s="31" t="n">
        <x:f>E193/$D$22</x:f>
        <x:v>0.021563028148493504</x:v>
      </x:c>
      <x:c r="I193" s="31" t="n">
        <x:f>(G193+H193)/2*(F193-D193)</x:f>
        <x:v>0.0740451228794684</x:v>
      </x:c>
      <x:c r="J193" s="31" t="n">
        <x:f>(H193-G193)/2*(F193+D193)</x:f>
        <x:v>0.24394599561198166</x:v>
      </x:c>
      <x:c r="K193" s="31" t="n">
        <x:f>(G193+H193)/2*(MAX(0,F193-$B$3)-MIN(100,D193+$B$3))</x:f>
        <x:v>0.07204390334218559</x:v>
      </x:c>
      <x:c r="L193" s="31" t="n">
        <x:f>(G193+H193)/2*(MIN(100,F193+$B$3)-MAX(0,D193-$B$3))</x:f>
        <x:v>0.07604634241675122</x:v>
      </x:c>
      <x:c r="M193" s="31" t="n">
        <x:f>IF(H193&gt;=G193,(H193-G193)/2*(MAX(0,D193-$B$3)+MAX(0,F193-$B$3)),(H193-G193)/2*(MIN(100,D193+$B$3)+MIN(100,F193+$B$3)))</x:f>
        <x:v>0.2437909123344152</x:v>
      </x:c>
      <x:c r="N193" s="31" t="n">
        <x:f>IF(H193&gt;=G193,(H193-G193)/2*(MIN(100,D193+$B$3)+MIN(100,F193+$B$3)),(H193-G193)/2*(MAX(0,D193-$B$3)+MAX(0,F193-$B$3)))</x:f>
        <x:v>0.24410107888954802</x:v>
      </x:c>
      <x:c r="O193" s="13" t="str">
        <x:v>I03 GP_Code!P2752/U2752; I04 Table_1!P874/U874</x:v>
      </x:c>
    </x:row>
    <x:row r="194" ht="24" customHeight="1">
      <x:c r="A194" s="13" t="str">
        <x:v>QHL</x:v>
      </x:c>
      <x:c r="B194" s="13" t="str">
        <x:v>Y03597</x:v>
      </x:c>
      <x:c r="C194" s="13" t="n">
        <x:f>D532</x:f>
        <x:v>131</x:v>
      </x:c>
      <x:c r="D194" s="30" t="n">
        <x:f>E532</x:f>
        <x:v>66.4</x:v>
      </x:c>
      <x:c r="E194" s="13" t="n">
        <x:f>D915</x:f>
        <x:v>118</x:v>
      </x:c>
      <x:c r="F194" s="30" t="n">
        <x:f>E915</x:f>
        <x:v>67.8</x:v>
      </x:c>
      <x:c r="G194" s="31" t="n">
        <x:f>C194/$C$22</x:f>
        <x:v>0.007487425697302241</x:v>
      </x:c>
      <x:c r="H194" s="31" t="n">
        <x:f>E194/$D$22</x:f>
        <x:v>0.006876857625735765</x:v>
      </x:c>
      <x:c r="I194" s="31" t="n">
        <x:f>(G194+H194)/2*(F194-D194)</x:f>
        <x:v>0.010054998326126543</x:v>
      </x:c>
      <x:c r="J194" s="31" t="n">
        <x:f>(H194-G194)/2*(F194+D194)</x:f>
        <x:v>-0.04096911760211051</x:v>
      </x:c>
      <x:c r="K194" s="31" t="n">
        <x:f>(G194+H194)/2*(MAX(0,F194-$B$3)-MIN(100,D194+$B$3))</x:f>
        <x:v>0.009336784159974684</x:v>
      </x:c>
      <x:c r="L194" s="31" t="n">
        <x:f>(G194+H194)/2*(MIN(100,F194+$B$3)-MAX(0,D194-$B$3))</x:f>
        <x:v>0.010773212492278403</x:v>
      </x:c>
      <x:c r="M194" s="31" t="n">
        <x:f>IF(H194&gt;=G194,(H194-G194)/2*(MAX(0,D194-$B$3)+MAX(0,F194-$B$3)),(H194-G194)/2*(MIN(100,D194+$B$3)+MIN(100,F194+$B$3)))</x:f>
        <x:v>-0.04099964600568884</x:v>
      </x:c>
      <x:c r="N194" s="31" t="n">
        <x:f>IF(H194&gt;=G194,(H194-G194)/2*(MIN(100,D194+$B$3)+MIN(100,F194+$B$3)),(H194-G194)/2*(MAX(0,D194-$B$3)+MAX(0,F194-$B$3)))</x:f>
        <x:v>-0.040938589198532195</x:v>
      </x:c>
      <x:c r="O194" s="13" t="str">
        <x:v>I03 GP_Code!P2753/U2753; I04 Table_1!P875/U875</x:v>
      </x:c>
    </x:row>
    <x:row r="195" ht="24" customHeight="1">
      <x:c r="A195" s="13" t="str">
        <x:v>QHL</x:v>
      </x:c>
      <x:c r="B195" s="13" t="str">
        <x:v>Y05826</x:v>
      </x:c>
      <x:c r="C195" s="13" t="n">
        <x:f>D533</x:f>
        <x:v>110</x:v>
      </x:c>
      <x:c r="D195" s="30" t="n">
        <x:f>E533</x:f>
        <x:v>77.3</x:v>
      </x:c>
      <x:c r="E195" s="13" t="n">
        <x:f>D916</x:f>
        <x:v>124</x:v>
      </x:c>
      <x:c r="F195" s="30" t="n">
        <x:f>E916</x:f>
        <x:v>70.2</x:v>
      </x:c>
      <x:c r="G195" s="31" t="n">
        <x:f>C195/$C$22</x:f>
        <x:v>0.006287151348879744</x:v>
      </x:c>
      <x:c r="H195" s="31" t="n">
        <x:f>E195/$D$22</x:f>
        <x:v>0.007226528352468092</x:v>
      </x:c>
      <x:c r="I195" s="31" t="n">
        <x:f>(G195+H195)/2*(F195-D195)</x:f>
        <x:v>-0.04797356293978478</x:v>
      </x:c>
      <x:c r="J195" s="31" t="n">
        <x:f>(H195-G195)/2*(F195+D195)</x:f>
        <x:v>0.06927905401464068</x:v>
      </x:c>
      <x:c r="K195" s="31" t="n">
        <x:f>(G195+H195)/2*(MAX(0,F195-$B$3)-MIN(100,D195+$B$3))</x:f>
        <x:v>-0.04864924692485213</x:v>
      </x:c>
      <x:c r="L195" s="31" t="n">
        <x:f>(G195+H195)/2*(MIN(100,F195+$B$3)-MAX(0,D195-$B$3))</x:f>
        <x:v>-0.047297878954717425</x:v>
      </x:c>
      <x:c r="M195" s="31" t="n">
        <x:f>IF(H195&gt;=G195,(H195-G195)/2*(MAX(0,D195-$B$3)+MAX(0,F195-$B$3)),(H195-G195)/2*(MIN(100,D195+$B$3)+MIN(100,F195+$B$3)))</x:f>
        <x:v>0.06923208516446128</x:v>
      </x:c>
      <x:c r="N195" s="31" t="n">
        <x:f>IF(H195&gt;=G195,(H195-G195)/2*(MIN(100,D195+$B$3)+MIN(100,F195+$B$3)),(H195-G195)/2*(MAX(0,D195-$B$3)+MAX(0,F195-$B$3)))</x:f>
        <x:v>0.0693260228648201</x:v>
      </x:c>
      <x:c r="O195" s="13" t="str">
        <x:v>I03 GP_Code!P2754/U2754; I04 Table_1!P876/U876</x:v>
      </x:c>
    </x:row>
    <x:row r="196" ht="24" customHeight="1">
      <x:c r="A196" s="13" t="str">
        <x:v>QUA</x:v>
      </x:c>
      <x:c r="B196" s="13" t="str">
        <x:v>M87001</x:v>
      </x:c>
      <x:c r="C196" s="13" t="n">
        <x:f>D553</x:f>
        <x:v>49</x:v>
      </x:c>
      <x:c r="D196" s="30" t="n">
        <x:f>E553</x:f>
        <x:v>100</x:v>
      </x:c>
      <x:c r="E196" s="13" t="n">
        <x:f>D918</x:f>
        <x:v>45</x:v>
      </x:c>
      <x:c r="F196" s="30" t="n">
        <x:f>E918</x:f>
        <x:v>95.6</x:v>
      </x:c>
      <x:c r="G196" s="31" t="n">
        <x:f>C196/$C$23</x:f>
        <x:v>0.0031134832888550005</x:v>
      </x:c>
      <x:c r="H196" s="31" t="n">
        <x:f>E196/$D$23</x:f>
        <x:v>0.0027839643652561247</x:v>
      </x:c>
      <x:c r="I196" s="31" t="n">
        <x:f>(G196+H196)/2*(F196-D196)</x:f>
        <x:v>-0.01297438483904449</x:v>
      </x:c>
      <x:c r="J196" s="31" t="n">
        <x:f>(H196-G196)/2*(F196+D196)</x:f>
        <x:v>-0.03222695072797005</x:v>
      </x:c>
      <x:c r="K196" s="31" t="n">
        <x:f>(G196+H196)/2*(MAX(0,F196-$B$3)-MIN(100,D196+$B$3))</x:f>
        <x:v>-0.013121821030397262</x:v>
      </x:c>
      <x:c r="L196" s="31" t="n">
        <x:f>(G196+H196)/2*(MIN(100,F196+$B$3)-MAX(0,D196-$B$3))</x:f>
        <x:v>-0.012679512456338951</x:v>
      </x:c>
      <x:c r="M196" s="31" t="n">
        <x:f>IF(H196&gt;=G196,(H196-G196)/2*(MAX(0,D196-$B$3)+MAX(0,F196-$B$3)),(H196-G196)/2*(MIN(100,D196+$B$3)+MIN(100,F196+$B$3)))</x:f>
        <x:v>-0.03223518870106002</x:v>
      </x:c>
      <x:c r="N196" s="31" t="n">
        <x:f>IF(H196&gt;=G196,(H196-G196)/2*(MIN(100,D196+$B$3)+MIN(100,F196+$B$3)),(H196-G196)/2*(MAX(0,D196-$B$3)+MAX(0,F196-$B$3)))</x:f>
        <x:v>-0.03221047478179011</x:v>
      </x:c>
      <x:c r="O196" s="13" t="str">
        <x:v>I03 GP_Code!P5536/U5536; I04 Table_1!P4908/U4908</x:v>
      </x:c>
    </x:row>
    <x:row r="197" ht="24" customHeight="1">
      <x:c r="A197" s="13" t="str">
        <x:v>QUA</x:v>
      </x:c>
      <x:c r="B197" s="13" t="str">
        <x:v>M87003</x:v>
      </x:c>
      <x:c r="C197" s="13" t="n">
        <x:f>D554</x:f>
        <x:v>160</x:v>
      </x:c>
      <x:c r="D197" s="30" t="n">
        <x:f>E554</x:f>
        <x:v>93.8</x:v>
      </x:c>
      <x:c r="E197" s="13" t="n">
        <x:f>D919</x:f>
        <x:v>152</x:v>
      </x:c>
      <x:c r="F197" s="30" t="n">
        <x:f>E919</x:f>
        <x:v>95.4</x:v>
      </x:c>
      <x:c r="G197" s="31" t="n">
        <x:f>C197/$C$23</x:f>
        <x:v>0.010166476045240819</x:v>
      </x:c>
      <x:c r="H197" s="31" t="n">
        <x:f>E197/$D$23</x:f>
        <x:v>0.009403612967087355</x:v>
      </x:c>
      <x:c r="I197" s="31" t="n">
        <x:f>(G197+H197)/2*(F197-D197)</x:f>
        <x:v>0.01565607120986262</x:v>
      </x:c>
      <x:c r="J197" s="31" t="n">
        <x:f>(H197-G197)/2*(F197+D197)</x:f>
        <x:v>-0.07216684719331766</x:v>
      </x:c>
      <x:c r="K197" s="31" t="n">
        <x:f>(G197+H197)/2*(MAX(0,F197-$B$3)-MIN(100,D197+$B$3))</x:f>
        <x:v>0.014677566759246268</x:v>
      </x:c>
      <x:c r="L197" s="31" t="n">
        <x:f>(G197+H197)/2*(MIN(100,F197+$B$3)-MAX(0,D197-$B$3))</x:f>
        <x:v>0.016634575660478976</x:v>
      </x:c>
      <x:c r="M197" s="31" t="n">
        <x:f>IF(H197&gt;=G197,(H197-G197)/2*(MAX(0,D197-$B$3)+MAX(0,F197-$B$3)),(H197-G197)/2*(MIN(100,D197+$B$3)+MIN(100,F197+$B$3)))</x:f>
        <x:v>-0.07220499034722534</x:v>
      </x:c>
      <x:c r="N197" s="31" t="n">
        <x:f>IF(H197&gt;=G197,(H197-G197)/2*(MIN(100,D197+$B$3)+MIN(100,F197+$B$3)),(H197-G197)/2*(MAX(0,D197-$B$3)+MAX(0,F197-$B$3)))</x:f>
        <x:v>-0.07212870403940999</x:v>
      </x:c>
      <x:c r="O197" s="13" t="str">
        <x:v>I03 GP_Code!P5537/U5537; I04 Table_1!P4909/U4909</x:v>
      </x:c>
    </x:row>
    <x:row r="198" ht="24" customHeight="1">
      <x:c r="A198" s="13" t="str">
        <x:v>QUA</x:v>
      </x:c>
      <x:c r="B198" s="13" t="str">
        <x:v>M87005</x:v>
      </x:c>
      <x:c r="C198" s="13" t="n">
        <x:f>D555</x:f>
        <x:v>158</x:v>
      </x:c>
      <x:c r="D198" s="30" t="n">
        <x:f>E555</x:f>
        <x:v>96.2</x:v>
      </x:c>
      <x:c r="E198" s="13" t="n">
        <x:f>D920</x:f>
        <x:v>136</x:v>
      </x:c>
      <x:c r="F198" s="30" t="n">
        <x:f>E920</x:f>
        <x:v>91.2</x:v>
      </x:c>
      <x:c r="G198" s="31" t="n">
        <x:f>C198/$C$23</x:f>
        <x:v>0.010039395094675309</x:v>
      </x:c>
      <x:c r="H198" s="31" t="n">
        <x:f>E198/$D$23</x:f>
        <x:v>0.008413758970551844</x:v>
      </x:c>
      <x:c r="I198" s="31" t="n">
        <x:f>(G198+H198)/2*(F198-D198)</x:f>
        <x:v>-0.046132885163067884</x:v>
      </x:c>
      <x:c r="J198" s="31" t="n">
        <x:f>(H198-G198)/2*(F198+D198)</x:f>
        <x:v>-0.15232210483036865</x:v>
      </x:c>
      <x:c r="K198" s="31" t="n">
        <x:f>(G198+H198)/2*(MAX(0,F198-$B$3)-MIN(100,D198+$B$3))</x:f>
        <x:v>-0.04705554286632919</x:v>
      </x:c>
      <x:c r="L198" s="31" t="n">
        <x:f>(G198+H198)/2*(MIN(100,F198+$B$3)-MAX(0,D198-$B$3))</x:f>
        <x:v>-0.04521022745980658</x:v>
      </x:c>
      <x:c r="M198" s="31" t="n">
        <x:f>IF(H198&gt;=G198,(H198-G198)/2*(MAX(0,D198-$B$3)+MAX(0,F198-$B$3)),(H198-G198)/2*(MIN(100,D198+$B$3)+MIN(100,F198+$B$3)))</x:f>
        <x:v>-0.15240338663657482</x:v>
      </x:c>
      <x:c r="N198" s="31" t="n">
        <x:f>IF(H198&gt;=G198,(H198-G198)/2*(MIN(100,D198+$B$3)+MIN(100,F198+$B$3)),(H198-G198)/2*(MAX(0,D198-$B$3)+MAX(0,F198-$B$3)))</x:f>
        <x:v>-0.15224082302416247</x:v>
      </x:c>
      <x:c r="O198" s="13" t="str">
        <x:v>I03 GP_Code!P5538/U5538; I04 Table_1!P4910/U4910</x:v>
      </x:c>
    </x:row>
    <x:row r="199" ht="24" customHeight="1">
      <x:c r="A199" s="13" t="str">
        <x:v>QUA</x:v>
      </x:c>
      <x:c r="B199" s="13" t="str">
        <x:v>M87006</x:v>
      </x:c>
      <x:c r="C199" s="13" t="n">
        <x:f>D556</x:f>
        <x:v>87</x:v>
      </x:c>
      <x:c r="D199" s="30" t="n">
        <x:f>E556</x:f>
        <x:v>94.3</x:v>
      </x:c>
      <x:c r="E199" s="13" t="n">
        <x:f>D921</x:f>
        <x:v>106</x:v>
      </x:c>
      <x:c r="F199" s="30" t="n">
        <x:f>E921</x:f>
        <x:v>88.7</x:v>
      </x:c>
      <x:c r="G199" s="31" t="n">
        <x:f>C199/$C$23</x:f>
        <x:v>0.005528021349599695</x:v>
      </x:c>
      <x:c r="H199" s="31" t="n">
        <x:f>E199/$D$23</x:f>
        <x:v>0.00655778272704776</x:v>
      </x:c>
      <x:c r="I199" s="31" t="n">
        <x:f>(G199+H199)/2*(F199-D199)</x:f>
        <x:v>-0.03384025141461284</x:v>
      </x:c>
      <x:c r="J199" s="31" t="n">
        <x:f>(H199-G199)/2*(F199+D199)</x:f>
        <x:v>0.094223166036498</x:v>
      </x:c>
      <x:c r="K199" s="31" t="n">
        <x:f>(G199+H199)/2*(MAX(0,F199-$B$3)-MIN(100,D199+$B$3))</x:f>
        <x:v>-0.03444454161844518</x:v>
      </x:c>
      <x:c r="L199" s="31" t="n">
        <x:f>(G199+H199)/2*(MIN(100,F199+$B$3)-MAX(0,D199-$B$3))</x:f>
        <x:v>-0.0332359612107805</x:v>
      </x:c>
      <x:c r="M199" s="31" t="n">
        <x:f>IF(H199&gt;=G199,(H199-G199)/2*(MAX(0,D199-$B$3)+MAX(0,F199-$B$3)),(H199-G199)/2*(MIN(100,D199+$B$3)+MIN(100,F199+$B$3)))</x:f>
        <x:v>0.0941716779676256</x:v>
      </x:c>
      <x:c r="N199" s="31" t="n">
        <x:f>IF(H199&gt;=G199,(H199-G199)/2*(MIN(100,D199+$B$3)+MIN(100,F199+$B$3)),(H199-G199)/2*(MAX(0,D199-$B$3)+MAX(0,F199-$B$3)))</x:f>
        <x:v>0.09427465410537039</x:v>
      </x:c>
      <x:c r="O199" s="13" t="str">
        <x:v>I03 GP_Code!P5539/U5539; I04 Table_1!P4911/U4911</x:v>
      </x:c>
    </x:row>
    <x:row r="200" ht="24" customHeight="1">
      <x:c r="A200" s="13" t="str">
        <x:v>QUA</x:v>
      </x:c>
      <x:c r="B200" s="13" t="str">
        <x:v>M87007</x:v>
      </x:c>
      <x:c r="C200" s="13" t="n">
        <x:f>D557</x:f>
        <x:v>131</x:v>
      </x:c>
      <x:c r="D200" s="30" t="n">
        <x:f>E557</x:f>
        <x:v>92.4</x:v>
      </x:c>
      <x:c r="E200" s="13" t="n">
        <x:f>D922</x:f>
        <x:v>113</x:v>
      </x:c>
      <x:c r="F200" s="30" t="n">
        <x:f>E922</x:f>
        <x:v>95.6</x:v>
      </x:c>
      <x:c r="G200" s="31" t="n">
        <x:f>C200/$C$23</x:f>
        <x:v>0.00832380226204092</x:v>
      </x:c>
      <x:c r="H200" s="31" t="n">
        <x:f>E200/$D$23</x:f>
        <x:v>0.006990843850532047</x:v>
      </x:c>
      <x:c r="I200" s="31" t="n">
        <x:f>(G200+H200)/2*(F200-D200)</x:f>
        <x:v>0.02450343378011666</x:v>
      </x:c>
      <x:c r="J200" s="31" t="n">
        <x:f>(H200-G200)/2*(F200+D200)</x:f>
        <x:v>-0.1252980906818341</x:v>
      </x:c>
      <x:c r="K200" s="31" t="n">
        <x:f>(G200+H200)/2*(MAX(0,F200-$B$3)-MIN(100,D200+$B$3))</x:f>
        <x:v>0.023737701474488053</x:v>
      </x:c>
      <x:c r="L200" s="31" t="n">
        <x:f>(G200+H200)/2*(MIN(100,F200+$B$3)-MAX(0,D200-$B$3))</x:f>
        <x:v>0.025269166085745264</x:v>
      </x:c>
      <x:c r="M200" s="31" t="n">
        <x:f>IF(H200&gt;=G200,(H200-G200)/2*(MAX(0,D200-$B$3)+MAX(0,F200-$B$3)),(H200-G200)/2*(MIN(100,D200+$B$3)+MIN(100,F200+$B$3)))</x:f>
        <x:v>-0.12536473860240954</x:v>
      </x:c>
      <x:c r="N200" s="31" t="n">
        <x:f>IF(H200&gt;=G200,(H200-G200)/2*(MIN(100,D200+$B$3)+MIN(100,F200+$B$3)),(H200-G200)/2*(MAX(0,D200-$B$3)+MAX(0,F200-$B$3)))</x:f>
        <x:v>-0.12523144276125867</x:v>
      </x:c>
      <x:c r="O200" s="13" t="str">
        <x:v>I03 GP_Code!P5540/U5540; I04 Table_1!P4912/U4912</x:v>
      </x:c>
    </x:row>
    <x:row r="201" ht="24" customHeight="1">
      <x:c r="A201" s="13" t="str">
        <x:v>QUA</x:v>
      </x:c>
      <x:c r="B201" s="13" t="str">
        <x:v>M87008</x:v>
      </x:c>
      <x:c r="C201" s="13" t="n">
        <x:f>D558</x:f>
        <x:v>85</x:v>
      </x:c>
      <x:c r="D201" s="30" t="n">
        <x:f>E558</x:f>
        <x:v>90.6</x:v>
      </x:c>
      <x:c r="E201" s="13" t="n">
        <x:f>D923</x:f>
        <x:v>81</x:v>
      </x:c>
      <x:c r="F201" s="30" t="n">
        <x:f>E923</x:f>
        <x:v>93.8</x:v>
      </x:c>
      <x:c r="G201" s="31" t="n">
        <x:f>C201/$C$23</x:f>
        <x:v>0.005400940399034185</x:v>
      </x:c>
      <x:c r="H201" s="31" t="n">
        <x:f>E201/$D$23</x:f>
        <x:v>0.005011135857461025</x:v>
      </x:c>
      <x:c r="I201" s="31" t="n">
        <x:f>(G201+H201)/2*(F201-D201)</x:f>
        <x:v>0.01665932201039235</x:v>
      </x:c>
      <x:c r="J201" s="31" t="n">
        <x:f>(H201-G201)/2*(F201+D201)</x:f>
        <x:v>-0.03593997873304536</x:v>
      </x:c>
      <x:c r="K201" s="31" t="n">
        <x:f>(G201+H201)/2*(MAX(0,F201-$B$3)-MIN(100,D201+$B$3))</x:f>
        <x:v>0.01613871819756762</x:v>
      </x:c>
      <x:c r="L201" s="31" t="n">
        <x:f>(G201+H201)/2*(MIN(100,F201+$B$3)-MAX(0,D201-$B$3))</x:f>
        <x:v>0.01717992582321708</x:v>
      </x:c>
      <x:c r="M201" s="31" t="n">
        <x:f>IF(H201&gt;=G201,(H201-G201)/2*(MAX(0,D201-$B$3)+MAX(0,F201-$B$3)),(H201-G201)/2*(MIN(100,D201+$B$3)+MIN(100,F201+$B$3)))</x:f>
        <x:v>-0.03595946896012402</x:v>
      </x:c>
      <x:c r="N201" s="31" t="n">
        <x:f>IF(H201&gt;=G201,(H201-G201)/2*(MIN(100,D201+$B$3)+MIN(100,F201+$B$3)),(H201-G201)/2*(MAX(0,D201-$B$3)+MAX(0,F201-$B$3)))</x:f>
        <x:v>-0.035920488505966706</x:v>
      </x:c>
      <x:c r="O201" s="13" t="str">
        <x:v>I03 GP_Code!P5541/U5541; I04 Table_1!P4913/U4913</x:v>
      </x:c>
    </x:row>
    <x:row r="202" ht="24" customHeight="1">
      <x:c r="A202" s="13" t="str">
        <x:v>QUA</x:v>
      </x:c>
      <x:c r="B202" s="13" t="str">
        <x:v>M87009</x:v>
      </x:c>
      <x:c r="C202" s="13" t="n">
        <x:f>D559</x:f>
        <x:v>205</x:v>
      </x:c>
      <x:c r="D202" s="30" t="n">
        <x:f>E559</x:f>
        <x:v>92.7</x:v>
      </x:c>
      <x:c r="E202" s="13" t="n">
        <x:f>D924</x:f>
        <x:v>178</x:v>
      </x:c>
      <x:c r="F202" s="30" t="n">
        <x:f>E924</x:f>
        <x:v>90.4</x:v>
      </x:c>
      <x:c r="G202" s="31" t="n">
        <x:f>C202/$C$23</x:f>
        <x:v>0.013025797432964798</x:v>
      </x:c>
      <x:c r="H202" s="31" t="n">
        <x:f>E202/$D$23</x:f>
        <x:v>0.01101212571145756</x:v>
      </x:c>
      <x:c r="I202" s="31" t="n">
        <x:f>(G202+H202)/2*(F202-D202)</x:f>
        <x:v>-0.027643611616085677</x:v>
      </x:c>
      <x:c r="J202" s="31" t="n">
        <x:f>(H202-G202)/2*(F202+D202)</x:f>
        <x:v>-0.1843516461039876</x:v>
      </x:c>
      <x:c r="K202" s="31" t="n">
        <x:f>(G202+H202)/2*(MAX(0,F202-$B$3)-MIN(100,D202+$B$3))</x:f>
        <x:v>-0.028845507773306727</x:v>
      </x:c>
      <x:c r="L202" s="31" t="n">
        <x:f>(G202+H202)/2*(MIN(100,F202+$B$3)-MAX(0,D202-$B$3))</x:f>
        <x:v>-0.026441715458864628</x:v>
      </x:c>
      <x:c r="M202" s="31" t="n">
        <x:f>IF(H202&gt;=G202,(H202-G202)/2*(MAX(0,D202-$B$3)+MAX(0,F202-$B$3)),(H202-G202)/2*(MIN(100,D202+$B$3)+MIN(100,F202+$B$3)))</x:f>
        <x:v>-0.18445232969006295</x:v>
      </x:c>
      <x:c r="N202" s="31" t="n">
        <x:f>IF(H202&gt;=G202,(H202-G202)/2*(MIN(100,D202+$B$3)+MIN(100,F202+$B$3)),(H202-G202)/2*(MAX(0,D202-$B$3)+MAX(0,F202-$B$3)))</x:f>
        <x:v>-0.18425096251791223</x:v>
      </x:c>
      <x:c r="O202" s="13" t="str">
        <x:v>I03 GP_Code!P5542/U5542; I04 Table_1!P4914/U4914</x:v>
      </x:c>
    </x:row>
    <x:row r="203" ht="24" customHeight="1">
      <x:c r="A203" s="13" t="str">
        <x:v>QUA</x:v>
      </x:c>
      <x:c r="B203" s="13" t="str">
        <x:v>M87010</x:v>
      </x:c>
      <x:c r="C203" s="13" t="n">
        <x:f>D560</x:f>
        <x:v>122</x:v>
      </x:c>
      <x:c r="D203" s="30" t="n">
        <x:f>E560</x:f>
        <x:v>85.2</x:v>
      </x:c>
      <x:c r="E203" s="13" t="n">
        <x:f>D925</x:f>
        <x:v>101</x:v>
      </x:c>
      <x:c r="F203" s="30" t="n">
        <x:f>E925</x:f>
        <x:v>87.1</x:v>
      </x:c>
      <x:c r="G203" s="31" t="n">
        <x:f>C203/$C$23</x:f>
        <x:v>0.007751937984496124</x:v>
      </x:c>
      <x:c r="H203" s="31" t="n">
        <x:f>E203/$D$23</x:f>
        <x:v>0.006248453353130413</x:v>
      </x:c>
      <x:c r="I203" s="31" t="n">
        <x:f>(G203+H203)/2*(F203-D203)</x:f>
        <x:v>0.01330037177074515</x:v>
      </x:c>
      <x:c r="J203" s="31" t="n">
        <x:f>(H203-G203)/2*(F203+D203)</x:f>
        <x:v>-0.129525200992156</x:v>
      </x:c>
      <x:c r="K203" s="31" t="n">
        <x:f>(G203+H203)/2*(MAX(0,F203-$B$3)-MIN(100,D203+$B$3))</x:f>
        <x:v>0.012600352203863864</x:v>
      </x:c>
      <x:c r="L203" s="31" t="n">
        <x:f>(G203+H203)/2*(MIN(100,F203+$B$3)-MAX(0,D203-$B$3))</x:f>
        <x:v>0.014000391337626438</x:v>
      </x:c>
      <x:c r="M203" s="31" t="n">
        <x:f>IF(H203&gt;=G203,(H203-G203)/2*(MAX(0,D203-$B$3)+MAX(0,F203-$B$3)),(H203-G203)/2*(MIN(100,D203+$B$3)+MIN(100,F203+$B$3)))</x:f>
        <x:v>-0.12960037522372425</x:v>
      </x:c>
      <x:c r="N203" s="31" t="n">
        <x:f>IF(H203&gt;=G203,(H203-G203)/2*(MIN(100,D203+$B$3)+MIN(100,F203+$B$3)),(H203-G203)/2*(MAX(0,D203-$B$3)+MAX(0,F203-$B$3)))</x:f>
        <x:v>-0.1294500267605877</x:v>
      </x:c>
      <x:c r="O203" s="13" t="str">
        <x:v>I03 GP_Code!P5543/U5543; I04 Table_1!P4915/U4915</x:v>
      </x:c>
    </x:row>
    <x:row r="204" ht="24" customHeight="1">
      <x:c r="A204" s="13" t="str">
        <x:v>QUA</x:v>
      </x:c>
      <x:c r="B204" s="13" t="str">
        <x:v>M87011</x:v>
      </x:c>
      <x:c r="C204" s="13" t="n">
        <x:f>D561</x:f>
        <x:v>277</x:v>
      </x:c>
      <x:c r="D204" s="30" t="n">
        <x:f>E561</x:f>
        <x:v>96</x:v>
      </x:c>
      <x:c r="E204" s="13" t="n">
        <x:f>D926</x:f>
        <x:v>248</x:v>
      </x:c>
      <x:c r="F204" s="30" t="n">
        <x:f>E926</x:f>
        <x:v>94.8</x:v>
      </x:c>
      <x:c r="G204" s="31" t="n">
        <x:f>C204/$C$23</x:f>
        <x:v>0.017600711653323168</x:v>
      </x:c>
      <x:c r="H204" s="31" t="n">
        <x:f>E204/$D$23</x:f>
        <x:v>0.015342736946300421</x:v>
      </x:c>
      <x:c r="I204" s="31" t="n">
        <x:f>(G204+H204)/2*(F204-D204)</x:f>
        <x:v>-0.019766069159774198</x:v>
      </x:c>
      <x:c r="J204" s="31" t="n">
        <x:f>(H204-G204)/2*(F204+D204)</x:f>
        <x:v>-0.21541078704997008</x:v>
      </x:c>
      <x:c r="K204" s="31" t="n">
        <x:f>(G204+H204)/2*(MAX(0,F204-$B$3)-MIN(100,D204+$B$3))</x:f>
        <x:v>-0.021413241589755286</x:v>
      </x:c>
      <x:c r="L204" s="31" t="n">
        <x:f>(G204+H204)/2*(MIN(100,F204+$B$3)-MAX(0,D204-$B$3))</x:f>
        <x:v>-0.018118896729793114</x:v>
      </x:c>
      <x:c r="M204" s="31" t="n">
        <x:f>IF(H204&gt;=G204,(H204-G204)/2*(MAX(0,D204-$B$3)+MAX(0,F204-$B$3)),(H204-G204)/2*(MIN(100,D204+$B$3)+MIN(100,F204+$B$3)))</x:f>
        <x:v>-0.2155236857853212</x:v>
      </x:c>
      <x:c r="N204" s="31" t="n">
        <x:f>IF(H204&gt;=G204,(H204-G204)/2*(MIN(100,D204+$B$3)+MIN(100,F204+$B$3)),(H204-G204)/2*(MAX(0,D204-$B$3)+MAX(0,F204-$B$3)))</x:f>
        <x:v>-0.2152978883146189</x:v>
      </x:c>
      <x:c r="O204" s="13" t="str">
        <x:v>I03 GP_Code!P5544/U5544; I04 Table_1!P4916/U4916</x:v>
      </x:c>
    </x:row>
    <x:row r="205" ht="24" customHeight="1">
      <x:c r="A205" s="13" t="str">
        <x:v>QUA</x:v>
      </x:c>
      <x:c r="B205" s="13" t="str">
        <x:v>M87012</x:v>
      </x:c>
      <x:c r="C205" s="13" t="n">
        <x:f>D562</x:f>
        <x:v>99</x:v>
      </x:c>
      <x:c r="D205" s="30" t="n">
        <x:f>E562</x:f>
        <x:v>86.9</x:v>
      </x:c>
      <x:c r="E205" s="13" t="n">
        <x:f>D927</x:f>
        <x:v>97</x:v>
      </x:c>
      <x:c r="F205" s="30" t="n">
        <x:f>E927</x:f>
        <x:v>84.5</x:v>
      </x:c>
      <x:c r="G205" s="31" t="n">
        <x:f>C205/$C$23</x:f>
        <x:v>0.006290507052992757</x:v>
      </x:c>
      <x:c r="H205" s="31" t="n">
        <x:f>E205/$D$23</x:f>
        <x:v>0.006000989853996536</x:v>
      </x:c>
      <x:c r="I205" s="31" t="n">
        <x:f>(G205+H205)/2*(F205-D205)</x:f>
        <x:v>-0.014749796288387185</x:v>
      </x:c>
      <x:c r="J205" s="31" t="n">
        <x:f>(H205-G205)/2*(F205+D205)</x:f>
        <x:v>-0.02481162395397614</x:v>
      </x:c>
      <x:c r="K205" s="31" t="n">
        <x:f>(G205+H205)/2*(MAX(0,F205-$B$3)-MIN(100,D205+$B$3))</x:f>
        <x:v>-0.015364371133736614</x:v>
      </x:c>
      <x:c r="L205" s="31" t="n">
        <x:f>(G205+H205)/2*(MIN(100,F205+$B$3)-MAX(0,D205-$B$3))</x:f>
        <x:v>-0.014135221443037756</x:v>
      </x:c>
      <x:c r="M205" s="31" t="n">
        <x:f>IF(H205&gt;=G205,(H205-G205)/2*(MAX(0,D205-$B$3)+MAX(0,F205-$B$3)),(H205-G205)/2*(MIN(100,D205+$B$3)+MIN(100,F205+$B$3)))</x:f>
        <x:v>-0.024826099813925948</x:v>
      </x:c>
      <x:c r="N205" s="31" t="n">
        <x:f>IF(H205&gt;=G205,(H205-G205)/2*(MIN(100,D205+$B$3)+MIN(100,F205+$B$3)),(H205-G205)/2*(MAX(0,D205-$B$3)+MAX(0,F205-$B$3)))</x:f>
        <x:v>-0.024797148094026326</x:v>
      </x:c>
      <x:c r="O205" s="13" t="str">
        <x:v>I03 GP_Code!P5545/U5545; I04 Table_1!P4917/U4917</x:v>
      </x:c>
    </x:row>
    <x:row r="206" ht="24" customHeight="1">
      <x:c r="A206" s="13" t="str">
        <x:v>QUA</x:v>
      </x:c>
      <x:c r="B206" s="13" t="str">
        <x:v>M87013</x:v>
      </x:c>
      <x:c r="C206" s="13" t="n">
        <x:f>D563</x:f>
        <x:v>126</x:v>
      </x:c>
      <x:c r="D206" s="30" t="n">
        <x:f>E563</x:f>
        <x:v>85.7</x:v>
      </x:c>
      <x:c r="E206" s="13" t="n">
        <x:f>D928</x:f>
        <x:v>121</x:v>
      </x:c>
      <x:c r="F206" s="30" t="n">
        <x:f>E928</x:f>
        <x:v>85.1</x:v>
      </x:c>
      <x:c r="G206" s="31" t="n">
        <x:f>C206/$C$23</x:f>
        <x:v>0.008006099885627144</x:v>
      </x:c>
      <x:c r="H206" s="31" t="n">
        <x:f>E206/$D$23</x:f>
        <x:v>0.007485770848799802</x:v>
      </x:c>
      <x:c r="I206" s="31" t="n">
        <x:f>(G206+H206)/2*(F206-D206)</x:f>
        <x:v>-0.0046475612203281495</x:v>
      </x:c>
      <x:c r="J206" s="31" t="n">
        <x:f>(H206-G206)/2*(F206+D206)</x:f>
        <x:v>-0.04443609974505496</x:v>
      </x:c>
      <x:c r="K206" s="31" t="n">
        <x:f>(G206+H206)/2*(MAX(0,F206-$B$3)-MIN(100,D206+$B$3))</x:f>
        <x:v>-0.005422154757049453</x:v>
      </x:c>
      <x:c r="L206" s="31" t="n">
        <x:f>(G206+H206)/2*(MIN(100,F206+$B$3)-MAX(0,D206-$B$3))</x:f>
        <x:v>-0.0038729676836068466</x:v>
      </x:c>
      <x:c r="M206" s="31" t="n">
        <x:f>IF(H206&gt;=G206,(H206-G206)/2*(MAX(0,D206-$B$3)+MAX(0,F206-$B$3)),(H206-G206)/2*(MIN(100,D206+$B$3)+MIN(100,F206+$B$3)))</x:f>
        <x:v>-0.04446211619689632</x:v>
      </x:c>
      <x:c r="N206" s="31" t="n">
        <x:f>IF(H206&gt;=G206,(H206-G206)/2*(MIN(100,D206+$B$3)+MIN(100,F206+$B$3)),(H206-G206)/2*(MAX(0,D206-$B$3)+MAX(0,F206-$B$3)))</x:f>
        <x:v>-0.04441008329321359</x:v>
      </x:c>
      <x:c r="O206" s="13" t="str">
        <x:v>I03 GP_Code!P5546/U5546; I04 Table_1!P4918/U4918</x:v>
      </x:c>
    </x:row>
    <x:row r="207" ht="24" customHeight="1">
      <x:c r="A207" s="13" t="str">
        <x:v>QUA</x:v>
      </x:c>
      <x:c r="B207" s="13" t="str">
        <x:v>M87014</x:v>
      </x:c>
      <x:c r="C207" s="13" t="n">
        <x:f>D564</x:f>
        <x:v>90</x:v>
      </x:c>
      <x:c r="D207" s="30" t="n">
        <x:f>E564</x:f>
        <x:v>93.3</x:v>
      </x:c>
      <x:c r="E207" s="13" t="n">
        <x:f>D929</x:f>
        <x:v>80</x:v>
      </x:c>
      <x:c r="F207" s="30" t="n">
        <x:f>E929</x:f>
        <x:v>92.5</x:v>
      </x:c>
      <x:c r="G207" s="31" t="n">
        <x:f>C207/$C$23</x:f>
        <x:v>0.0057186427754479605</x:v>
      </x:c>
      <x:c r="H207" s="31" t="n">
        <x:f>E207/$D$23</x:f>
        <x:v>0.004949269982677555</x:v>
      </x:c>
      <x:c r="I207" s="31" t="n">
        <x:f>(G207+H207)/2*(F207-D207)</x:f>
        <x:v>-0.004267165103250191</x:v>
      </x:c>
      <x:c r="J207" s="31" t="n">
        <x:f>(H207-G207)/2*(F207+D207)</x:f>
        <x:v>-0.07147473244837069</x:v>
      </x:c>
      <x:c r="K207" s="31" t="n">
        <x:f>(G207+H207)/2*(MAX(0,F207-$B$3)-MIN(100,D207+$B$3))</x:f>
        <x:v>-0.004800560741156436</x:v>
      </x:c>
      <x:c r="L207" s="31" t="n">
        <x:f>(G207+H207)/2*(MIN(100,F207+$B$3)-MAX(0,D207-$B$3))</x:f>
        <x:v>-0.0037337694653439457</x:v>
      </x:c>
      <x:c r="M207" s="31" t="n">
        <x:f>IF(H207&gt;=G207,(H207-G207)/2*(MAX(0,D207-$B$3)+MAX(0,F207-$B$3)),(H207-G207)/2*(MIN(100,D207+$B$3)+MIN(100,F207+$B$3)))</x:f>
        <x:v>-0.0715132010880092</x:v>
      </x:c>
      <x:c r="N207" s="31" t="n">
        <x:f>IF(H207&gt;=G207,(H207-G207)/2*(MIN(100,D207+$B$3)+MIN(100,F207+$B$3)),(H207-G207)/2*(MAX(0,D207-$B$3)+MAX(0,F207-$B$3)))</x:f>
        <x:v>-0.07143626380873216</x:v>
      </x:c>
      <x:c r="O207" s="13" t="str">
        <x:v>I03 GP_Code!P5547/U5547; I04 Table_1!P4919/U4919</x:v>
      </x:c>
    </x:row>
    <x:row r="208" ht="24" customHeight="1">
      <x:c r="A208" s="13" t="str">
        <x:v>QUA</x:v>
      </x:c>
      <x:c r="B208" s="13" t="str">
        <x:v>M87015</x:v>
      </x:c>
      <x:c r="C208" s="13" t="n">
        <x:f>D565</x:f>
        <x:v>86</x:v>
      </x:c>
      <x:c r="D208" s="30" t="n">
        <x:f>E565</x:f>
        <x:v>87.2</x:v>
      </x:c>
      <x:c r="E208" s="13" t="n">
        <x:f>D930</x:f>
        <x:v>81</x:v>
      </x:c>
      <x:c r="F208" s="30" t="n">
        <x:f>E930</x:f>
        <x:v>84</x:v>
      </x:c>
      <x:c r="G208" s="31" t="n">
        <x:f>C208/$C$23</x:f>
        <x:v>0.00546448087431694</x:v>
      </x:c>
      <x:c r="H208" s="31" t="n">
        <x:f>E208/$D$23</x:f>
        <x:v>0.005011135857461025</x:v>
      </x:c>
      <x:c r="I208" s="31" t="n">
        <x:f>(G208+H208)/2*(F208-D208)</x:f>
        <x:v>-0.016760986770844758</x:v>
      </x:c>
      <x:c r="J208" s="31" t="n">
        <x:f>(H208-G208)/2*(F208+D208)</x:f>
        <x:v>-0.038806333442866325</x:v>
      </x:c>
      <x:c r="K208" s="31" t="n">
        <x:f>(G208+H208)/2*(MAX(0,F208-$B$3)-MIN(100,D208+$B$3))</x:f>
        <x:v>-0.017284767607433627</x:v>
      </x:c>
      <x:c r="L208" s="31" t="n">
        <x:f>(G208+H208)/2*(MIN(100,F208+$B$3)-MAX(0,D208-$B$3))</x:f>
        <x:v>-0.01623720593425589</x:v>
      </x:c>
      <x:c r="M208" s="31" t="n">
        <x:f>IF(H208&gt;=G208,(H208-G208)/2*(MAX(0,D208-$B$3)+MAX(0,F208-$B$3)),(H208-G208)/2*(MIN(100,D208+$B$3)+MIN(100,F208+$B$3)))</x:f>
        <x:v>-0.03882900069370913</x:v>
      </x:c>
      <x:c r="N208" s="31" t="n">
        <x:f>IF(H208&gt;=G208,(H208-G208)/2*(MIN(100,D208+$B$3)+MIN(100,F208+$B$3)),(H208-G208)/2*(MAX(0,D208-$B$3)+MAX(0,F208-$B$3)))</x:f>
        <x:v>-0.03878366619202354</x:v>
      </x:c>
      <x:c r="O208" s="13" t="str">
        <x:v>I03 GP_Code!P5548/U5548; I04 Table_1!P4920/U4920</x:v>
      </x:c>
    </x:row>
    <x:row r="209" ht="24" customHeight="1">
      <x:c r="A209" s="13" t="str">
        <x:v>QUA</x:v>
      </x:c>
      <x:c r="B209" s="13" t="str">
        <x:v>M87016</x:v>
      </x:c>
      <x:c r="C209" s="13" t="n">
        <x:f>D566</x:f>
        <x:v>72</x:v>
      </x:c>
      <x:c r="D209" s="30" t="n">
        <x:f>E566</x:f>
        <x:v>95.8</x:v>
      </x:c>
      <x:c r="E209" s="13" t="n">
        <x:f>D931</x:f>
        <x:v>81</x:v>
      </x:c>
      <x:c r="F209" s="30" t="n">
        <x:f>E931</x:f>
        <x:v>88.9</x:v>
      </x:c>
      <x:c r="G209" s="31" t="n">
        <x:f>C209/$C$23</x:f>
        <x:v>0.004574914220358368</x:v>
      </x:c>
      <x:c r="H209" s="31" t="n">
        <x:f>E209/$D$23</x:f>
        <x:v>0.005011135857461025</x:v>
      </x:c>
      <x:c r="I209" s="31" t="n">
        <x:f>(G209+H209)/2*(F209-D209)</x:f>
        <x:v>-0.03307187276847686</x:v>
      </x:c>
      <x:c r="J209" s="31" t="n">
        <x:f>(H209-G209)/2*(F209+D209)</x:f>
        <x:v>0.04028506818643035</x:v>
      </x:c>
      <x:c r="K209" s="31" t="n">
        <x:f>(G209+H209)/2*(MAX(0,F209-$B$3)-MIN(100,D209+$B$3))</x:f>
        <x:v>-0.033551175272367804</x:v>
      </x:c>
      <x:c r="L209" s="31" t="n">
        <x:f>(G209+H209)/2*(MIN(100,F209+$B$3)-MAX(0,D209-$B$3))</x:f>
        <x:v>-0.03259257026458592</x:v>
      </x:c>
      <x:c r="M209" s="31" t="n">
        <x:f>IF(H209&gt;=G209,(H209-G209)/2*(MAX(0,D209-$B$3)+MAX(0,F209-$B$3)),(H209-G209)/2*(MIN(100,D209+$B$3)+MIN(100,F209+$B$3)))</x:f>
        <x:v>0.04026325710457522</x:v>
      </x:c>
      <x:c r="N209" s="31" t="n">
        <x:f>IF(H209&gt;=G209,(H209-G209)/2*(MIN(100,D209+$B$3)+MIN(100,F209+$B$3)),(H209-G209)/2*(MAX(0,D209-$B$3)+MAX(0,F209-$B$3)))</x:f>
        <x:v>0.04030687926828549</x:v>
      </x:c>
      <x:c r="O209" s="13" t="str">
        <x:v>I03 GP_Code!P5549/U5549; I04 Table_1!P4921/U4921</x:v>
      </x:c>
    </x:row>
    <x:row r="210" ht="24" customHeight="1">
      <x:c r="A210" s="13" t="str">
        <x:v>QUA</x:v>
      </x:c>
      <x:c r="B210" s="13" t="str">
        <x:v>M87017</x:v>
      </x:c>
      <x:c r="C210" s="13" t="n">
        <x:f>D567</x:f>
        <x:v>95</x:v>
      </x:c>
      <x:c r="D210" s="30" t="n">
        <x:f>E567</x:f>
        <x:v>75.8</x:v>
      </x:c>
      <x:c r="E210" s="13" t="n">
        <x:f>D932</x:f>
        <x:v>113</x:v>
      </x:c>
      <x:c r="F210" s="30" t="n">
        <x:f>E932</x:f>
        <x:v>82.3</x:v>
      </x:c>
      <x:c r="G210" s="31" t="n">
        <x:f>C210/$C$23</x:f>
        <x:v>0.006036345151861736</x:v>
      </x:c>
      <x:c r="H210" s="31" t="n">
        <x:f>E210/$D$23</x:f>
        <x:v>0.006990843850532047</x:v>
      </x:c>
      <x:c r="I210" s="31" t="n">
        <x:f>(G210+H210)/2*(F210-D210)</x:f>
        <x:v>0.042338364257779794</x:v>
      </x:c>
      <x:c r="J210" s="31" t="n">
        <x:f>(H210-G210)/2*(F210+D210)</x:f>
        <x:v>0.07545312212988806</x:v>
      </x:c>
      <x:c r="K210" s="31" t="n">
        <x:f>(G210+H210)/2*(MAX(0,F210-$B$3)-MIN(100,D210+$B$3))</x:f>
        <x:v>0.04168700480766014</x:v>
      </x:c>
      <x:c r="L210" s="31" t="n">
        <x:f>(G210+H210)/2*(MIN(100,F210+$B$3)-MAX(0,D210-$B$3))</x:f>
        <x:v>0.04298972370789945</x:v>
      </x:c>
      <x:c r="M210" s="31" t="n">
        <x:f>IF(H210&gt;=G210,(H210-G210)/2*(MAX(0,D210-$B$3)+MAX(0,F210-$B$3)),(H210-G210)/2*(MIN(100,D210+$B$3)+MIN(100,F210+$B$3)))</x:f>
        <x:v>0.07540539719495454</x:v>
      </x:c>
      <x:c r="N210" s="31" t="n">
        <x:f>IF(H210&gt;=G210,(H210-G210)/2*(MIN(100,D210+$B$3)+MIN(100,F210+$B$3)),(H210-G210)/2*(MAX(0,D210-$B$3)+MAX(0,F210-$B$3)))</x:f>
        <x:v>0.07550084706482156</x:v>
      </x:c>
      <x:c r="O210" s="13" t="str">
        <x:v>I03 GP_Code!P5550/U5550; I04 Table_1!P4922/U4922</x:v>
      </x:c>
    </x:row>
    <x:row r="211" ht="24" customHeight="1">
      <x:c r="A211" s="13" t="str">
        <x:v>QUA</x:v>
      </x:c>
      <x:c r="B211" s="13" t="str">
        <x:v>M87018</x:v>
      </x:c>
      <x:c r="C211" s="13" t="n">
        <x:f>D568</x:f>
        <x:v>65</x:v>
      </x:c>
      <x:c r="D211" s="30" t="n">
        <x:f>E568</x:f>
        <x:v>93.8</x:v>
      </x:c>
      <x:c r="E211" s="13" t="n">
        <x:f>D933</x:f>
        <x:v>68</x:v>
      </x:c>
      <x:c r="F211" s="30" t="n">
        <x:f>E933</x:f>
        <x:v>97.1</x:v>
      </x:c>
      <x:c r="G211" s="31" t="n">
        <x:f>C211/$C$23</x:f>
        <x:v>0.004130130893379083</x:v>
      </x:c>
      <x:c r="H211" s="31" t="n">
        <x:f>E211/$D$23</x:f>
        <x:v>0.004206879485275922</x:v>
      </x:c>
      <x:c r="I211" s="31" t="n">
        <x:f>(G211+H211)/2*(F211-D211)</x:f>
        <x:v>0.013756067124780747</x:v>
      </x:c>
      <x:c r="J211" s="31" t="n">
        <x:f>(H211-G211)/2*(F211+D211)</x:f>
        <x:v>0.007325653096553324</x:v>
      </x:c>
      <x:c r="K211" s="31" t="n">
        <x:f>(G211+H211)/2*(MAX(0,F211-$B$3)-MIN(100,D211+$B$3))</x:f>
        <x:v>0.01333921660584802</x:v>
      </x:c>
      <x:c r="L211" s="31" t="n">
        <x:f>(G211+H211)/2*(MIN(100,F211+$B$3)-MAX(0,D211-$B$3))</x:f>
        <x:v>0.014172917643713473</x:v>
      </x:c>
      <x:c r="M211" s="31" t="n">
        <x:f>IF(H211&gt;=G211,(H211-G211)/2*(MAX(0,D211-$B$3)+MAX(0,F211-$B$3)),(H211-G211)/2*(MIN(100,D211+$B$3)+MIN(100,F211+$B$3)))</x:f>
        <x:v>0.007321815666958484</x:v>
      </x:c>
      <x:c r="N211" s="31" t="n">
        <x:f>IF(H211&gt;=G211,(H211-G211)/2*(MIN(100,D211+$B$3)+MIN(100,F211+$B$3)),(H211-G211)/2*(MAX(0,D211-$B$3)+MAX(0,F211-$B$3)))</x:f>
        <x:v>0.007329490526148168</x:v>
      </x:c>
      <x:c r="O211" s="13" t="str">
        <x:v>I03 GP_Code!P5551/U5551; I04 Table_1!P4923/U4923</x:v>
      </x:c>
    </x:row>
    <x:row r="212" ht="24" customHeight="1">
      <x:c r="A212" s="13" t="str">
        <x:v>QUA</x:v>
      </x:c>
      <x:c r="B212" s="13" t="str">
        <x:v>M87019</x:v>
      </x:c>
      <x:c r="C212" s="13" t="n">
        <x:f>D569</x:f>
        <x:v>55</x:v>
      </x:c>
      <x:c r="D212" s="30" t="n">
        <x:f>E569</x:f>
        <x:v>76.4</x:v>
      </x:c>
      <x:c r="E212" s="13" t="n">
        <x:f>D934</x:f>
        <x:v>66</x:v>
      </x:c>
      <x:c r="F212" s="30" t="n">
        <x:f>E934</x:f>
        <x:v>86.4</x:v>
      </x:c>
      <x:c r="G212" s="31" t="n">
        <x:f>C212/$C$23</x:f>
        <x:v>0.0034947261405515314</x:v>
      </x:c>
      <x:c r="H212" s="31" t="n">
        <x:f>E212/$D$23</x:f>
        <x:v>0.004083147735708983</x:v>
      </x:c>
      <x:c r="I212" s="31" t="n">
        <x:f>(G212+H212)/2*(F212-D212)</x:f>
        <x:v>0.03788936938130257</x:v>
      </x:c>
      <x:c r="J212" s="31" t="n">
        <x:f>(H212-G212)/2*(F212+D212)</x:f>
        <x:v>0.047897517845816556</x:v>
      </x:c>
      <x:c r="K212" s="31" t="n">
        <x:f>(G212+H212)/2*(MAX(0,F212-$B$3)-MIN(100,D212+$B$3))</x:f>
        <x:v>0.03751047568748957</x:v>
      </x:c>
      <x:c r="L212" s="31" t="n">
        <x:f>(G212+H212)/2*(MIN(100,F212+$B$3)-MAX(0,D212-$B$3))</x:f>
        <x:v>0.03826826307511558</x:v>
      </x:c>
      <x:c r="M212" s="31" t="n">
        <x:f>IF(H212&gt;=G212,(H212-G212)/2*(MAX(0,D212-$B$3)+MAX(0,F212-$B$3)),(H212-G212)/2*(MIN(100,D212+$B$3)+MIN(100,F212+$B$3)))</x:f>
        <x:v>0.04786809676605869</x:v>
      </x:c>
      <x:c r="N212" s="31" t="n">
        <x:f>IF(H212&gt;=G212,(H212-G212)/2*(MIN(100,D212+$B$3)+MIN(100,F212+$B$3)),(H212-G212)/2*(MAX(0,D212-$B$3)+MAX(0,F212-$B$3)))</x:f>
        <x:v>0.04792693892557443</x:v>
      </x:c>
      <x:c r="O212" s="13" t="str">
        <x:v>I03 GP_Code!P5552/U5552; I04 Table_1!P4924/U4924</x:v>
      </x:c>
    </x:row>
    <x:row r="213" ht="24" customHeight="1">
      <x:c r="A213" s="13" t="str">
        <x:v>QUA</x:v>
      </x:c>
      <x:c r="B213" s="13" t="str">
        <x:v>M87020</x:v>
      </x:c>
      <x:c r="C213" s="13" t="n">
        <x:f>D570</x:f>
        <x:v>118</x:v>
      </x:c>
      <x:c r="D213" s="30" t="n">
        <x:f>E570</x:f>
        <x:v>94.1</x:v>
      </x:c>
      <x:c r="E213" s="13" t="n">
        <x:f>D935</x:f>
        <x:v>80</x:v>
      </x:c>
      <x:c r="F213" s="30" t="n">
        <x:f>E935</x:f>
        <x:v>85</x:v>
      </x:c>
      <x:c r="G213" s="31" t="n">
        <x:f>C213/$C$23</x:f>
        <x:v>0.007497776083365103</x:v>
      </x:c>
      <x:c r="H213" s="31" t="n">
        <x:f>E213/$D$23</x:f>
        <x:v>0.004949269982677555</x:v>
      </x:c>
      <x:c r="I213" s="31" t="n">
        <x:f>(G213+H213)/2*(F213-D213)</x:f>
        <x:v>-0.05663405960049406</x:v>
      </x:c>
      <x:c r="J213" s="31" t="n">
        <x:f>(H213-G213)/2*(F213+D213)</x:f>
        <x:v>-0.22821872131656995</x:v>
      </x:c>
      <x:c r="K213" s="31" t="n">
        <x:f>(G213+H213)/2*(MAX(0,F213-$B$3)-MIN(100,D213+$B$3))</x:f>
        <x:v>-0.057256411903796156</x:v>
      </x:c>
      <x:c r="L213" s="31" t="n">
        <x:f>(G213+H213)/2*(MIN(100,F213+$B$3)-MAX(0,D213-$B$3))</x:f>
        <x:v>-0.05601170729719196</x:v>
      </x:c>
      <x:c r="M213" s="31" t="n">
        <x:f>IF(H213&gt;=G213,(H213-G213)/2*(MAX(0,D213-$B$3)+MAX(0,F213-$B$3)),(H213-G213)/2*(MIN(100,D213+$B$3)+MIN(100,F213+$B$3)))</x:f>
        <x:v>-0.22834614662160432</x:v>
      </x:c>
      <x:c r="N213" s="31" t="n">
        <x:f>IF(H213&gt;=G213,(H213-G213)/2*(MIN(100,D213+$B$3)+MIN(100,F213+$B$3)),(H213-G213)/2*(MAX(0,D213-$B$3)+MAX(0,F213-$B$3)))</x:f>
        <x:v>-0.22809129601153558</x:v>
      </x:c>
      <x:c r="O213" s="13" t="str">
        <x:v>I03 GP_Code!P5553/U5553; I04 Table_1!P4925/U4925</x:v>
      </x:c>
    </x:row>
    <x:row r="214" ht="24" customHeight="1">
      <x:c r="A214" s="13" t="str">
        <x:v>QUA</x:v>
      </x:c>
      <x:c r="B214" s="13" t="str">
        <x:v>M87021</x:v>
      </x:c>
      <x:c r="C214" s="13" t="n">
        <x:f>D571</x:f>
        <x:v>93</x:v>
      </x:c>
      <x:c r="D214" s="30" t="n">
        <x:f>E571</x:f>
        <x:v>87.1</x:v>
      </x:c>
      <x:c r="E214" s="13" t="n">
        <x:f>D936</x:f>
        <x:v>112</x:v>
      </x:c>
      <x:c r="F214" s="30" t="n">
        <x:f>E936</x:f>
        <x:v>83</x:v>
      </x:c>
      <x:c r="G214" s="31" t="n">
        <x:f>C214/$C$23</x:f>
        <x:v>0.005909264201296225</x:v>
      </x:c>
      <x:c r="H214" s="31" t="n">
        <x:f>E214/$D$23</x:f>
        <x:v>0.006928977975748577</x:v>
      </x:c>
      <x:c r="I214" s="31" t="n">
        <x:f>(G214+H214)/2*(F214-D214)</x:f>
        <x:v>-0.026318396462941807</x:v>
      </x:c>
      <x:c r="J214" s="31" t="n">
        <x:f>(H214-G214)/2*(F214+D214)</x:f>
        <x:v>0.08672665651717248</x:v>
      </x:c>
      <x:c r="K214" s="31" t="n">
        <x:f>(G214+H214)/2*(MAX(0,F214-$B$3)-MIN(100,D214+$B$3))</x:f>
        <x:v>-0.02696030857179401</x:v>
      </x:c>
      <x:c r="L214" s="31" t="n">
        <x:f>(G214+H214)/2*(MIN(100,F214+$B$3)-MAX(0,D214-$B$3))</x:f>
        <x:v>-0.025676484354089604</x:v>
      </x:c>
      <x:c r="M214" s="31" t="n">
        <x:f>IF(H214&gt;=G214,(H214-G214)/2*(MAX(0,D214-$B$3)+MAX(0,F214-$B$3)),(H214-G214)/2*(MIN(100,D214+$B$3)+MIN(100,F214+$B$3)))</x:f>
        <x:v>0.08667567082844987</x:v>
      </x:c>
      <x:c r="N214" s="31" t="n">
        <x:f>IF(H214&gt;=G214,(H214-G214)/2*(MIN(100,D214+$B$3)+MIN(100,F214+$B$3)),(H214-G214)/2*(MAX(0,D214-$B$3)+MAX(0,F214-$B$3)))</x:f>
        <x:v>0.0867776422058951</x:v>
      </x:c>
      <x:c r="O214" s="13" t="str">
        <x:v>I03 GP_Code!P5554/U5554; I04 Table_1!P4926/U4926</x:v>
      </x:c>
    </x:row>
    <x:row r="215" ht="24" customHeight="1">
      <x:c r="A215" s="13" t="str">
        <x:v>QUA</x:v>
      </x:c>
      <x:c r="B215" s="13" t="str">
        <x:v>M87023</x:v>
      </x:c>
      <x:c r="C215" s="13" t="n">
        <x:f>D572</x:f>
        <x:v>94</x:v>
      </x:c>
      <x:c r="D215" s="30" t="n">
        <x:f>E572</x:f>
        <x:v>90.4</x:v>
      </x:c>
      <x:c r="E215" s="13" t="n">
        <x:f>D937</x:f>
        <x:v>100</x:v>
      </x:c>
      <x:c r="F215" s="30" t="n">
        <x:f>E937</x:f>
        <x:v>93</x:v>
      </x:c>
      <x:c r="G215" s="31" t="n">
        <x:f>C215/$C$23</x:f>
        <x:v>0.005972804676578981</x:v>
      </x:c>
      <x:c r="H215" s="31" t="n">
        <x:f>E215/$D$23</x:f>
        <x:v>0.006186587478346944</x:v>
      </x:c>
      <x:c r="I215" s="31" t="n">
        <x:f>(G215+H215)/2*(F215-D215)</x:f>
        <x:v>0.01580720980140367</x:v>
      </x:c>
      <x:c r="J215" s="31" t="n">
        <x:f>(H215-G215)/2*(F215+D215)</x:f>
        <x:v>0.01960388292212219</x:v>
      </x:c>
      <x:c r="K215" s="31" t="n">
        <x:f>(G215+H215)/2*(MAX(0,F215-$B$3)-MIN(100,D215+$B$3))</x:f>
        <x:v>0.015199240193657405</x:v>
      </x:c>
      <x:c r="L215" s="31" t="n">
        <x:f>(G215+H215)/2*(MIN(100,F215+$B$3)-MAX(0,D215-$B$3))</x:f>
        <x:v>0.016415179409149928</x:v>
      </x:c>
      <x:c r="M215" s="31" t="n">
        <x:f>IF(H215&gt;=G215,(H215-G215)/2*(MAX(0,D215-$B$3)+MAX(0,F215-$B$3)),(H215-G215)/2*(MIN(100,D215+$B$3)+MIN(100,F215+$B$3)))</x:f>
        <x:v>0.019593193782033794</x:v>
      </x:c>
      <x:c r="N215" s="31" t="n">
        <x:f>IF(H215&gt;=G215,(H215-G215)/2*(MIN(100,D215+$B$3)+MIN(100,F215+$B$3)),(H215-G215)/2*(MAX(0,D215-$B$3)+MAX(0,F215-$B$3)))</x:f>
        <x:v>0.019614572062210588</x:v>
      </x:c>
      <x:c r="O215" s="13" t="str">
        <x:v>I03 GP_Code!P5555/U5555; I04 Table_1!P4927/U4927</x:v>
      </x:c>
    </x:row>
    <x:row r="216" ht="24" customHeight="1">
      <x:c r="A216" s="13" t="str">
        <x:v>QUA</x:v>
      </x:c>
      <x:c r="B216" s="13" t="str">
        <x:v>M87024</x:v>
      </x:c>
      <x:c r="C216" s="13" t="n">
        <x:f>D573</x:f>
        <x:v>241</x:v>
      </x:c>
      <x:c r="D216" s="30" t="n">
        <x:f>E573</x:f>
        <x:v>89.6</x:v>
      </x:c>
      <x:c r="E216" s="13" t="n">
        <x:f>D938</x:f>
        <x:v>223</x:v>
      </x:c>
      <x:c r="F216" s="30" t="n">
        <x:f>E938</x:f>
        <x:v>89.7</x:v>
      </x:c>
      <x:c r="G216" s="31" t="n">
        <x:f>C216/$C$23</x:f>
        <x:v>0.015313254543143983</x:v>
      </x:c>
      <x:c r="H216" s="31" t="n">
        <x:f>E216/$D$23</x:f>
        <x:v>0.013796090076713684</x:v>
      </x:c>
      <x:c r="I216" s="31" t="n">
        <x:f>(G216+H216)/2*(F216-D216)</x:f>
        <x:v>0.0014554672309930075</x:v>
      </x:c>
      <x:c r="J216" s="31" t="n">
        <x:f>(H216-G216)/2*(F216+D216)</x:f>
        <x:v>-0.13601379441547629</x:v>
      </x:c>
      <x:c r="K216" s="31" t="n">
        <x:f>(G216+H216)/2*(MAX(0,F216-$B$3)-MIN(100,D216+$B$3))</x:f>
        <x:v>2.068343336237722e-16</x:v>
      </x:c>
      <x:c r="L216" s="31" t="n">
        <x:f>(G216+H216)/2*(MIN(100,F216+$B$3)-MAX(0,D216-$B$3))</x:f>
        <x:v>0.002910934461985808</x:v>
      </x:c>
      <x:c r="M216" s="31" t="n">
        <x:f>IF(H216&gt;=G216,(H216-G216)/2*(MAX(0,D216-$B$3)+MAX(0,F216-$B$3)),(H216-G216)/2*(MIN(100,D216+$B$3)+MIN(100,F216+$B$3)))</x:f>
        <x:v>-0.13608965263879777</x:v>
      </x:c>
      <x:c r="N216" s="31" t="n">
        <x:f>IF(H216&gt;=G216,(H216-G216)/2*(MIN(100,D216+$B$3)+MIN(100,F216+$B$3)),(H216-G216)/2*(MAX(0,D216-$B$3)+MAX(0,F216-$B$3)))</x:f>
        <x:v>-0.13593793619215475</x:v>
      </x:c>
      <x:c r="O216" s="13" t="str">
        <x:v>I03 GP_Code!P5556/U5556; I04 Table_1!P4928/U4928</x:v>
      </x:c>
    </x:row>
    <x:row r="217" ht="24" customHeight="1">
      <x:c r="A217" s="13" t="str">
        <x:v>QUA</x:v>
      </x:c>
      <x:c r="B217" s="13" t="str">
        <x:v>M87025</x:v>
      </x:c>
      <x:c r="C217" s="13" t="n">
        <x:f>D574</x:f>
        <x:v>55</x:v>
      </x:c>
      <x:c r="D217" s="30" t="n">
        <x:f>E574</x:f>
        <x:v>81.8</x:v>
      </x:c>
      <x:c r="E217" s="13" t="n">
        <x:f>D939</x:f>
        <x:v>68</x:v>
      </x:c>
      <x:c r="F217" s="30" t="n">
        <x:f>E939</x:f>
        <x:v>76.5</x:v>
      </x:c>
      <x:c r="G217" s="31" t="n">
        <x:f>C217/$C$23</x:f>
        <x:v>0.0034947261405515314</x:v>
      </x:c>
      <x:c r="H217" s="31" t="n">
        <x:f>E217/$D$23</x:f>
        <x:v>0.004206879485275922</x:v>
      </x:c>
      <x:c r="I217" s="31" t="n">
        <x:f>(G217+H217)/2*(F217-D217)</x:f>
        <x:v>-0.02040925490844274</x:v>
      </x:c>
      <x:c r="J217" s="31" t="n">
        <x:f>(H217-G217)/2*(F217+D217)</x:f>
        <x:v>0.05636693723493552</x:v>
      </x:c>
      <x:c r="K217" s="31" t="n">
        <x:f>(G217+H217)/2*(MAX(0,F217-$B$3)-MIN(100,D217+$B$3))</x:f>
        <x:v>-0.02079433518973409</x:v>
      </x:c>
      <x:c r="L217" s="31" t="n">
        <x:f>(G217+H217)/2*(MIN(100,F217+$B$3)-MAX(0,D217-$B$3))</x:f>
        <x:v>-0.02002417462715139</x:v>
      </x:c>
      <x:c r="M217" s="31" t="n">
        <x:f>IF(H217&gt;=G217,(H217-G217)/2*(MAX(0,D217-$B$3)+MAX(0,F217-$B$3)),(H217-G217)/2*(MIN(100,D217+$B$3)+MIN(100,F217+$B$3)))</x:f>
        <x:v>0.0563313295676993</x:v>
      </x:c>
      <x:c r="N217" s="31" t="n">
        <x:f>IF(H217&gt;=G217,(H217-G217)/2*(MIN(100,D217+$B$3)+MIN(100,F217+$B$3)),(H217-G217)/2*(MAX(0,D217-$B$3)+MAX(0,F217-$B$3)))</x:f>
        <x:v>0.05640254490217173</x:v>
      </x:c>
      <x:c r="O217" s="13" t="str">
        <x:v>I03 GP_Code!P5557/U5557; I04 Table_1!P4929/U4929</x:v>
      </x:c>
    </x:row>
    <x:row r="218" ht="24" customHeight="1">
      <x:c r="A218" s="13" t="str">
        <x:v>QUA</x:v>
      </x:c>
      <x:c r="B218" s="13" t="str">
        <x:v>M87026</x:v>
      </x:c>
      <x:c r="C218" s="13" t="n">
        <x:f>D575</x:f>
        <x:v>70</x:v>
      </x:c>
      <x:c r="D218" s="30" t="n">
        <x:f>E575</x:f>
        <x:v>65.7</x:v>
      </x:c>
      <x:c r="E218" s="13" t="n">
        <x:f>D940</x:f>
        <x:v>68</x:v>
      </x:c>
      <x:c r="F218" s="30" t="n">
        <x:f>E940</x:f>
        <x:v>82.4</x:v>
      </x:c>
      <x:c r="G218" s="31" t="n">
        <x:f>C218/$C$23</x:f>
        <x:v>0.004447833269792858</x:v>
      </x:c>
      <x:c r="H218" s="31" t="n">
        <x:f>E218/$D$23</x:f>
        <x:v>0.004206879485275922</x:v>
      </x:c>
      <x:c r="I218" s="31" t="n">
        <x:f>(G218+H218)/2*(F218-D218)</x:f>
        <x:v>0.07226685150482433</x:v>
      </x:c>
      <x:c r="J218" s="31" t="n">
        <x:f>(H218-G218)/2*(F218+D218)</x:f>
        <x:v>-0.017842627743479125</x:v>
      </x:c>
      <x:c r="K218" s="31" t="n">
        <x:f>(G218+H218)/2*(MAX(0,F218-$B$3)-MIN(100,D218+$B$3))</x:f>
        <x:v>0.07183411586707092</x:v>
      </x:c>
      <x:c r="L218" s="31" t="n">
        <x:f>(G218+H218)/2*(MIN(100,F218+$B$3)-MAX(0,D218-$B$3))</x:f>
        <x:v>0.07269958714257774</x:v>
      </x:c>
      <x:c r="M218" s="31" t="n">
        <x:f>IF(H218&gt;=G218,(H218-G218)/2*(MAX(0,D218-$B$3)+MAX(0,F218-$B$3)),(H218-G218)/2*(MIN(100,D218+$B$3)+MIN(100,F218+$B$3)))</x:f>
        <x:v>-0.017854675432704966</x:v>
      </x:c>
      <x:c r="N218" s="31" t="n">
        <x:f>IF(H218&gt;=G218,(H218-G218)/2*(MIN(100,D218+$B$3)+MIN(100,F218+$B$3)),(H218-G218)/2*(MAX(0,D218-$B$3)+MAX(0,F218-$B$3)))</x:f>
        <x:v>-0.017830580054253274</x:v>
      </x:c>
      <x:c r="O218" s="13" t="str">
        <x:v>I03 GP_Code!P5558/U5558; I04 Table_1!P4930/U4930</x:v>
      </x:c>
    </x:row>
    <x:row r="219" ht="24" customHeight="1">
      <x:c r="A219" s="13" t="str">
        <x:v>QUA</x:v>
      </x:c>
      <x:c r="B219" s="13" t="str">
        <x:v>M87027</x:v>
      </x:c>
      <x:c r="C219" s="13" t="n">
        <x:f>D576</x:f>
        <x:v>45</x:v>
      </x:c>
      <x:c r="D219" s="30" t="n">
        <x:f>E576</x:f>
        <x:v>91.1</x:v>
      </x:c>
      <x:c r="E219" s="13" t="n">
        <x:f>D941</x:f>
        <x:v>53</x:v>
      </x:c>
      <x:c r="F219" s="30" t="n">
        <x:f>E941</x:f>
        <x:v>83</x:v>
      </x:c>
      <x:c r="G219" s="31" t="n">
        <x:f>C219/$C$23</x:f>
        <x:v>0.0028593213877239803</x:v>
      </x:c>
      <x:c r="H219" s="31" t="n">
        <x:f>E219/$D$23</x:f>
        <x:v>0.00327889136352388</x:v>
      </x:c>
      <x:c r="I219" s="31" t="n">
        <x:f>(G219+H219)/2*(F219-D219)</x:f>
        <x:v>-0.024859761642553817</x:v>
      </x:c>
      <x:c r="J219" s="31" t="n">
        <x:f>(H219-G219)/2*(F219+D219)</x:f>
        <x:v>0.036523566393381286</x:v>
      </x:c>
      <x:c r="K219" s="31" t="n">
        <x:f>(G219+H219)/2*(MAX(0,F219-$B$3)-MIN(100,D219+$B$3))</x:f>
        <x:v>-0.02516667228011619</x:v>
      </x:c>
      <x:c r="L219" s="31" t="n">
        <x:f>(G219+H219)/2*(MIN(100,F219+$B$3)-MAX(0,D219-$B$3))</x:f>
        <x:v>-0.024552851004991442</x:v>
      </x:c>
      <x:c r="M219" s="31" t="n">
        <x:f>IF(H219&gt;=G219,(H219-G219)/2*(MAX(0,D219-$B$3)+MAX(0,F219-$B$3)),(H219-G219)/2*(MIN(100,D219+$B$3)+MIN(100,F219+$B$3)))</x:f>
        <x:v>0.03650258789459129</x:v>
      </x:c>
      <x:c r="N219" s="31" t="n">
        <x:f>IF(H219&gt;=G219,(H219-G219)/2*(MIN(100,D219+$B$3)+MIN(100,F219+$B$3)),(H219-G219)/2*(MAX(0,D219-$B$3)+MAX(0,F219-$B$3)))</x:f>
        <x:v>0.03654454489217128</x:v>
      </x:c>
      <x:c r="O219" s="13" t="str">
        <x:v>I03 GP_Code!P5559/U5559; I04 Table_1!P4931/U4931</x:v>
      </x:c>
    </x:row>
    <x:row r="220" ht="24" customHeight="1">
      <x:c r="A220" s="13" t="str">
        <x:v>QUA</x:v>
      </x:c>
      <x:c r="B220" s="13" t="str">
        <x:v>M87028</x:v>
      </x:c>
      <x:c r="C220" s="13" t="n">
        <x:f>D577</x:f>
        <x:v>113</x:v>
      </x:c>
      <x:c r="D220" s="30" t="n">
        <x:f>E577</x:f>
        <x:v>84.1</x:v>
      </x:c>
      <x:c r="E220" s="13" t="n">
        <x:f>D942</x:f>
        <x:v>109</x:v>
      </x:c>
      <x:c r="F220" s="30" t="n">
        <x:f>E942</x:f>
        <x:v>88.1</x:v>
      </x:c>
      <x:c r="G220" s="31" t="n">
        <x:f>C220/$C$23</x:f>
        <x:v>0.007180073706951328</x:v>
      </x:c>
      <x:c r="H220" s="31" t="n">
        <x:f>E220/$D$23</x:f>
        <x:v>0.006743380351398169</x:v>
      </x:c>
      <x:c r="I220" s="31" t="n">
        <x:f>(G220+H220)/2*(F220-D220)</x:f>
        <x:v>0.027846908116698994</x:v>
      </x:c>
      <x:c r="J220" s="31" t="n">
        <x:f>(H220-G220)/2*(F220+D220)</x:f>
        <x:v>-0.037599297913126994</x:v>
      </x:c>
      <x:c r="K220" s="31" t="n">
        <x:f>(G220+H220)/2*(MAX(0,F220-$B$3)-MIN(100,D220+$B$3))</x:f>
        <x:v>0.02715073541378156</x:v>
      </x:c>
      <x:c r="L220" s="31" t="n">
        <x:f>(G220+H220)/2*(MIN(100,F220+$B$3)-MAX(0,D220-$B$3))</x:f>
        <x:v>0.02854308081961643</x:v>
      </x:c>
      <x:c r="M220" s="31" t="n">
        <x:f>IF(H220&gt;=G220,(H220-G220)/2*(MAX(0,D220-$B$3)+MAX(0,F220-$B$3)),(H220-G220)/2*(MIN(100,D220+$B$3)+MIN(100,F220+$B$3)))</x:f>
        <x:v>-0.03762113258090465</x:v>
      </x:c>
      <x:c r="N220" s="31" t="n">
        <x:f>IF(H220&gt;=G220,(H220-G220)/2*(MIN(100,D220+$B$3)+MIN(100,F220+$B$3)),(H220-G220)/2*(MAX(0,D220-$B$3)+MAX(0,F220-$B$3)))</x:f>
        <x:v>-0.03757746324534934</x:v>
      </x:c>
      <x:c r="O220" s="13" t="str">
        <x:v>I03 GP_Code!P5560/U5560; I04 Table_1!P4932/U4932</x:v>
      </x:c>
    </x:row>
    <x:row r="221" ht="24" customHeight="1">
      <x:c r="A221" s="13" t="str">
        <x:v>QUA</x:v>
      </x:c>
      <x:c r="B221" s="13" t="str">
        <x:v>M87030</x:v>
      </x:c>
      <x:c r="C221" s="13" t="n">
        <x:f>D578</x:f>
        <x:v>25</x:v>
      </x:c>
      <x:c r="D221" s="30" t="n">
        <x:f>E578</x:f>
        <x:v>100</x:v>
      </x:c>
      <x:c r="E221" s="13" t="n">
        <x:f>D943</x:f>
        <x:v>54</x:v>
      </x:c>
      <x:c r="F221" s="30" t="n">
        <x:f>E943</x:f>
        <x:v>90.7</x:v>
      </x:c>
      <x:c r="G221" s="31" t="n">
        <x:f>C221/$C$23</x:f>
        <x:v>0.001588511882068878</x:v>
      </x:c>
      <x:c r="H221" s="31" t="n">
        <x:f>E221/$D$23</x:f>
        <x:v>0.0033407572383073497</x:v>
      </x:c>
      <x:c r="I221" s="31" t="n">
        <x:f>(G221+H221)/2*(F221-D221)</x:f>
        <x:v>-0.022921101409749452</x:v>
      </x:c>
      <x:c r="J221" s="31" t="n">
        <x:f>(H221-G221)/2*(F221+D221)</x:f>
        <x:v>0.16707659471733827</x:v>
      </x:c>
      <x:c r="K221" s="31" t="n">
        <x:f>(G221+H221)/2*(MAX(0,F221-$B$3)-MIN(100,D221+$B$3))</x:f>
        <x:v>-0.023044333137758853</x:v>
      </x:c>
      <x:c r="L221" s="31" t="n">
        <x:f>(G221+H221)/2*(MIN(100,F221+$B$3)-MAX(0,D221-$B$3))</x:f>
        <x:v>-0.022674637953730658</x:v>
      </x:c>
      <x:c r="M221" s="31" t="n">
        <x:f>IF(H221&gt;=G221,(H221-G221)/2*(MAX(0,D221-$B$3)+MAX(0,F221-$B$3)),(H221-G221)/2*(MIN(100,D221+$B$3)+MIN(100,F221+$B$3)))</x:f>
        <x:v>0.1669889824495264</x:v>
      </x:c>
      <x:c r="N221" s="31" t="n">
        <x:f>IF(H221&gt;=G221,(H221-G221)/2*(MIN(100,D221+$B$3)+MIN(100,F221+$B$3)),(H221-G221)/2*(MAX(0,D221-$B$3)+MAX(0,F221-$B$3)))</x:f>
        <x:v>0.16712040085124424</x:v>
      </x:c>
      <x:c r="O221" s="13" t="str">
        <x:v>I03 GP_Code!P5561/U5561; I04 Table_1!P4933/U4933</x:v>
      </x:c>
    </x:row>
    <x:row r="222" ht="24" customHeight="1">
      <x:c r="A222" s="13" t="str">
        <x:v>QUA</x:v>
      </x:c>
      <x:c r="B222" s="13" t="str">
        <x:v>M87034</x:v>
      </x:c>
      <x:c r="C222" s="13" t="n">
        <x:f>D579</x:f>
        <x:v>80</x:v>
      </x:c>
      <x:c r="D222" s="30" t="n">
        <x:f>E579</x:f>
        <x:v>88.8</x:v>
      </x:c>
      <x:c r="E222" s="13" t="n">
        <x:f>D944</x:f>
        <x:v>76</x:v>
      </x:c>
      <x:c r="F222" s="30" t="n">
        <x:f>E944</x:f>
        <x:v>73.7</x:v>
      </x:c>
      <x:c r="G222" s="31" t="n">
        <x:f>C222/$C$23</x:f>
        <x:v>0.005083238022620409</x:v>
      </x:c>
      <x:c r="H222" s="31" t="n">
        <x:f>E222/$D$23</x:f>
        <x:v>0.0047018064835436775</x:v>
      </x:c>
      <x:c r="I222" s="31" t="n">
        <x:f>(G222+H222)/2*(F222-D222)</x:f>
        <x:v>-0.07387708602153882</x:v>
      </x:c>
      <x:c r="J222" s="31" t="n">
        <x:f>(H222-G222)/2*(F222+D222)</x:f>
        <x:v>-0.03099131254998446</x:v>
      </x:c>
      <x:c r="K222" s="31" t="n">
        <x:f>(G222+H222)/2*(MAX(0,F222-$B$3)-MIN(100,D222+$B$3))</x:f>
        <x:v>-0.07436633824684699</x:v>
      </x:c>
      <x:c r="L222" s="31" t="n">
        <x:f>(G222+H222)/2*(MIN(100,F222+$B$3)-MAX(0,D222-$B$3))</x:f>
        <x:v>-0.07338783379623065</x:v>
      </x:c>
      <x:c r="M222" s="31" t="n">
        <x:f>IF(H222&gt;=G222,(H222-G222)/2*(MAX(0,D222-$B$3)+MAX(0,F222-$B$3)),(H222-G222)/2*(MIN(100,D222+$B$3)+MIN(100,F222+$B$3)))</x:f>
        <x:v>-0.031010384126938295</x:v>
      </x:c>
      <x:c r="N222" s="31" t="n">
        <x:f>IF(H222&gt;=G222,(H222-G222)/2*(MIN(100,D222+$B$3)+MIN(100,F222+$B$3)),(H222-G222)/2*(MAX(0,D222-$B$3)+MAX(0,F222-$B$3)))</x:f>
        <x:v>-0.030972240973030626</x:v>
      </x:c>
      <x:c r="O222" s="13" t="str">
        <x:v>I03 GP_Code!P5562/U5562; I04 Table_1!P4934/U4934</x:v>
      </x:c>
    </x:row>
    <x:row r="223" ht="24" customHeight="1">
      <x:c r="A223" s="13" t="str">
        <x:v>QUA</x:v>
      </x:c>
      <x:c r="B223" s="13" t="str">
        <x:v>M87036</x:v>
      </x:c>
      <x:c r="C223" s="13" t="n">
        <x:f>D580</x:f>
        <x:v>54</x:v>
      </x:c>
      <x:c r="D223" s="30" t="n">
        <x:f>E580</x:f>
        <x:v>87</x:v>
      </x:c>
      <x:c r="E223" s="13" t="n">
        <x:f>D945</x:f>
        <x:v>42</x:v>
      </x:c>
      <x:c r="F223" s="30" t="n">
        <x:f>E945</x:f>
        <x:v>69</x:v>
      </x:c>
      <x:c r="G223" s="31" t="n">
        <x:f>C223/$C$23</x:f>
        <x:v>0.003431185665268776</x:v>
      </x:c>
      <x:c r="H223" s="31" t="n">
        <x:f>E223/$D$23</x:f>
        <x:v>0.0025983667409057165</x:v>
      </x:c>
      <x:c r="I223" s="31" t="n">
        <x:f>(G223+H223)/2*(F223-D223)</x:f>
        <x:v>-0.05426597165557043</x:v>
      </x:c>
      <x:c r="J223" s="31" t="n">
        <x:f>(H223-G223)/2*(F223+D223)</x:f>
        <x:v>-0.06495987610031864</x:v>
      </x:c>
      <x:c r="K223" s="31" t="n">
        <x:f>(G223+H223)/2*(MAX(0,F223-$B$3)-MIN(100,D223+$B$3))</x:f>
        <x:v>-0.054567449275879136</x:v>
      </x:c>
      <x:c r="L223" s="31" t="n">
        <x:f>(G223+H223)/2*(MIN(100,F223+$B$3)-MAX(0,D223-$B$3))</x:f>
        <x:v>-0.05396449403526172</x:v>
      </x:c>
      <x:c r="M223" s="31" t="n">
        <x:f>IF(H223&gt;=G223,(H223-G223)/2*(MAX(0,D223-$B$3)+MAX(0,F223-$B$3)),(H223-G223)/2*(MIN(100,D223+$B$3)+MIN(100,F223+$B$3)))</x:f>
        <x:v>-0.0650015170465368</x:v>
      </x:c>
      <x:c r="N223" s="31" t="n">
        <x:f>IF(H223&gt;=G223,(H223-G223)/2*(MIN(100,D223+$B$3)+MIN(100,F223+$B$3)),(H223-G223)/2*(MAX(0,D223-$B$3)+MAX(0,F223-$B$3)))</x:f>
        <x:v>-0.0649182351541005</x:v>
      </x:c>
      <x:c r="O223" s="13" t="str">
        <x:v>I03 GP_Code!P5563/U5563; I04 Table_1!P4935/U4935</x:v>
      </x:c>
    </x:row>
    <x:row r="224" ht="24" customHeight="1">
      <x:c r="A224" s="13" t="str">
        <x:v>QUA</x:v>
      </x:c>
      <x:c r="B224" s="13" t="str">
        <x:v>M87037</x:v>
      </x:c>
      <x:c r="C224" s="13" t="n">
        <x:f>D581</x:f>
        <x:v>67</x:v>
      </x:c>
      <x:c r="D224" s="30" t="n">
        <x:f>E581</x:f>
        <x:v>97</x:v>
      </x:c>
      <x:c r="E224" s="13" t="n">
        <x:f>D946</x:f>
        <x:v>74</x:v>
      </x:c>
      <x:c r="F224" s="30" t="n">
        <x:f>E946</x:f>
        <x:v>95.9</x:v>
      </x:c>
      <x:c r="G224" s="31" t="n">
        <x:f>C224/$C$23</x:f>
        <x:v>0.0042572118439445925</x:v>
      </x:c>
      <x:c r="H224" s="31" t="n">
        <x:f>E224/$D$23</x:f>
        <x:v>0.0045780747339767384</x:v>
      </x:c>
      <x:c r="I224" s="31" t="n">
        <x:f>(G224+H224)/2*(F224-D224)</x:f>
        <x:v>-0.004859407617856706</x:v>
      </x:c>
      <x:c r="J224" s="31" t="n">
        <x:f>(H224-G224)/2*(F224+D224)</x:f>
        <x:v>0.030947225743600478</x:v>
      </x:c>
      <x:c r="K224" s="31" t="n">
        <x:f>(G224+H224)/2*(MAX(0,F224-$B$3)-MIN(100,D224+$B$3))</x:f>
        <x:v>-0.005301171946752748</x:v>
      </x:c>
      <x:c r="L224" s="31" t="n">
        <x:f>(G224+H224)/2*(MIN(100,F224+$B$3)-MAX(0,D224-$B$3))</x:f>
        <x:v>-0.004417643288960665</x:v>
      </x:c>
      <x:c r="M224" s="31" t="n">
        <x:f>IF(H224&gt;=G224,(H224-G224)/2*(MAX(0,D224-$B$3)+MAX(0,F224-$B$3)),(H224-G224)/2*(MIN(100,D224+$B$3)+MIN(100,F224+$B$3)))</x:f>
        <x:v>0.030931182599098873</x:v>
      </x:c>
      <x:c r="N224" s="31" t="n">
        <x:f>IF(H224&gt;=G224,(H224-G224)/2*(MIN(100,D224+$B$3)+MIN(100,F224+$B$3)),(H224-G224)/2*(MAX(0,D224-$B$3)+MAX(0,F224-$B$3)))</x:f>
        <x:v>0.030963268888102084</x:v>
      </x:c>
      <x:c r="O224" s="13" t="str">
        <x:v>I03 GP_Code!P5564/U5564; I04 Table_1!P4936/U4936</x:v>
      </x:c>
    </x:row>
    <x:row r="225" ht="24" customHeight="1">
      <x:c r="A225" s="13" t="str">
        <x:v>QUA</x:v>
      </x:c>
      <x:c r="B225" s="13" t="str">
        <x:v>M87041</x:v>
      </x:c>
      <x:c r="C225" s="13" t="n">
        <x:f>D582</x:f>
        <x:v>82</x:v>
      </x:c>
      <x:c r="D225" s="30" t="n">
        <x:f>E582</x:f>
        <x:v>96.3</x:v>
      </x:c>
      <x:c r="E225" s="13" t="n">
        <x:f>D947</x:f>
        <x:v>68</x:v>
      </x:c>
      <x:c r="F225" s="30" t="n">
        <x:f>E947</x:f>
        <x:v>94.1</x:v>
      </x:c>
      <x:c r="G225" s="31" t="n">
        <x:f>C225/$C$23</x:f>
        <x:v>0.005210318973185919</x:v>
      </x:c>
      <x:c r="H225" s="31" t="n">
        <x:f>E225/$D$23</x:f>
        <x:v>0.004206879485275922</x:v>
      </x:c>
      <x:c r="I225" s="31" t="n">
        <x:f>(G225+H225)/2*(F225-D225)</x:f>
        <x:v>-0.010358918304308039</x:v>
      </x:c>
      <x:c r="J225" s="31" t="n">
        <x:f>(H225-G225)/2*(F225+D225)</x:f>
        <x:v>-0.09552743924903172</x:v>
      </x:c>
      <x:c r="K225" s="31" t="n">
        <x:f>(G225+H225)/2*(MAX(0,F225-$B$3)-MIN(100,D225+$B$3))</x:f>
        <x:v>-0.010829778227231104</x:v>
      </x:c>
      <x:c r="L225" s="31" t="n">
        <x:f>(G225+H225)/2*(MIN(100,F225+$B$3)-MAX(0,D225-$B$3))</x:f>
        <x:v>-0.009888058381384974</x:v>
      </x:c>
      <x:c r="M225" s="31" t="n">
        <x:f>IF(H225&gt;=G225,(H225-G225)/2*(MAX(0,D225-$B$3)+MAX(0,F225-$B$3)),(H225-G225)/2*(MIN(100,D225+$B$3)+MIN(100,F225+$B$3)))</x:f>
        <x:v>-0.09557761122342723</x:v>
      </x:c>
      <x:c r="N225" s="31" t="n">
        <x:f>IF(H225&gt;=G225,(H225-G225)/2*(MIN(100,D225+$B$3)+MIN(100,F225+$B$3)),(H225-G225)/2*(MAX(0,D225-$B$3)+MAX(0,F225-$B$3)))</x:f>
        <x:v>-0.09547726727463623</x:v>
      </x:c>
      <x:c r="O225" s="13" t="str">
        <x:v>I03 GP_Code!P5565/U5565; I04 Table_1!P4937/U4937</x:v>
      </x:c>
    </x:row>
    <x:row r="226" ht="24" customHeight="1">
      <x:c r="A226" s="13" t="str">
        <x:v>QUA</x:v>
      </x:c>
      <x:c r="B226" s="13" t="str">
        <x:v>M87601</x:v>
      </x:c>
      <x:c r="C226" s="13" t="n">
        <x:f>D583</x:f>
        <x:v>93</x:v>
      </x:c>
      <x:c r="D226" s="30" t="n">
        <x:f>E583</x:f>
        <x:v>84.9</x:v>
      </x:c>
      <x:c r="E226" s="13" t="n">
        <x:f>D948</x:f>
        <x:v>112</x:v>
      </x:c>
      <x:c r="F226" s="30" t="n">
        <x:f>E948</x:f>
        <x:v>77.7</x:v>
      </x:c>
      <x:c r="G226" s="31" t="n">
        <x:f>C226/$C$23</x:f>
        <x:v>0.005909264201296225</x:v>
      </x:c>
      <x:c r="H226" s="31" t="n">
        <x:f>E226/$D$23</x:f>
        <x:v>0.006928977975748577</x:v>
      </x:c>
      <x:c r="I226" s="31" t="n">
        <x:f>(G226+H226)/2*(F226-D226)</x:f>
        <x:v>-0.04621767183736131</x:v>
      </x:c>
      <x:c r="J226" s="31" t="n">
        <x:f>(H226-G226)/2*(F226+D226)</x:f>
        <x:v>0.08290272986297618</x:v>
      </x:c>
      <x:c r="K226" s="31" t="n">
        <x:f>(G226+H226)/2*(MAX(0,F226-$B$3)-MIN(100,D226+$B$3))</x:f>
        <x:v>-0.04685958394621351</x:v>
      </x:c>
      <x:c r="L226" s="31" t="n">
        <x:f>(G226+H226)/2*(MIN(100,F226+$B$3)-MAX(0,D226-$B$3))</x:f>
        <x:v>-0.0455757597285091</x:v>
      </x:c>
      <x:c r="M226" s="31" t="n">
        <x:f>IF(H226&gt;=G226,(H226-G226)/2*(MAX(0,D226-$B$3)+MAX(0,F226-$B$3)),(H226-G226)/2*(MIN(100,D226+$B$3)+MIN(100,F226+$B$3)))</x:f>
        <x:v>0.08285174417425355</x:v>
      </x:c>
      <x:c r="N226" s="31" t="n">
        <x:f>IF(H226&gt;=G226,(H226-G226)/2*(MIN(100,D226+$B$3)+MIN(100,F226+$B$3)),(H226-G226)/2*(MAX(0,D226-$B$3)+MAX(0,F226-$B$3)))</x:f>
        <x:v>0.08295371555169878</x:v>
      </x:c>
      <x:c r="O226" s="13" t="str">
        <x:v>I03 GP_Code!P5566/U5566; I04 Table_1!P4938/U4938</x:v>
      </x:c>
    </x:row>
    <x:row r="227" ht="24" customHeight="1">
      <x:c r="A227" s="13" t="str">
        <x:v>QUA</x:v>
      </x:c>
      <x:c r="B227" s="13" t="str">
        <x:v>M87602</x:v>
      </x:c>
      <x:c r="C227" s="13" t="n">
        <x:f>D584</x:f>
        <x:v>105</x:v>
      </x:c>
      <x:c r="D227" s="30" t="n">
        <x:f>E584</x:f>
        <x:v>97.1</x:v>
      </x:c>
      <x:c r="E227" s="13" t="n">
        <x:f>D949</x:f>
        <x:v>103</x:v>
      </x:c>
      <x:c r="F227" s="30" t="n">
        <x:f>E949</x:f>
        <x:v>92.2</x:v>
      </x:c>
      <x:c r="G227" s="31" t="n">
        <x:f>C227/$C$23</x:f>
        <x:v>0.006671749904689287</x:v>
      </x:c>
      <x:c r="H227" s="31" t="n">
        <x:f>E227/$D$23</x:f>
        <x:v>0.006372185102697352</x:v>
      </x:c>
      <x:c r="I227" s="31" t="n">
        <x:f>(G227+H227)/2*(F227-D227)</x:f>
        <x:v>-0.03195764076809721</x:v>
      </x:c>
      <x:c r="J227" s="31" t="n">
        <x:f>(H227-G227)/2*(F227+D227)</x:f>
        <x:v>-0.02835380850853666</x:v>
      </x:c>
      <x:c r="K227" s="31" t="n">
        <x:f>(G227+H227)/2*(MAX(0,F227-$B$3)-MIN(100,D227+$B$3))</x:f>
        <x:v>-0.03260983751846651</x:v>
      </x:c>
      <x:c r="L227" s="31" t="n">
        <x:f>(G227+H227)/2*(MIN(100,F227+$B$3)-MAX(0,D227-$B$3))</x:f>
        <x:v>-0.03130544401772792</x:v>
      </x:c>
      <x:c r="M227" s="31" t="n">
        <x:f>IF(H227&gt;=G227,(H227-G227)/2*(MAX(0,D227-$B$3)+MAX(0,F227-$B$3)),(H227-G227)/2*(MIN(100,D227+$B$3)+MIN(100,F227+$B$3)))</x:f>
        <x:v>-0.02836878674863625</x:v>
      </x:c>
      <x:c r="N227" s="31" t="n">
        <x:f>IF(H227&gt;=G227,(H227-G227)/2*(MIN(100,D227+$B$3)+MIN(100,F227+$B$3)),(H227-G227)/2*(MAX(0,D227-$B$3)+MAX(0,F227-$B$3)))</x:f>
        <x:v>-0.02833883026843706</x:v>
      </x:c>
      <x:c r="O227" s="13" t="str">
        <x:v>I03 GP_Code!P5567/U5567; I04 Table_1!P4939/U4939</x:v>
      </x:c>
    </x:row>
    <x:row r="228" ht="24" customHeight="1">
      <x:c r="A228" s="13" t="str">
        <x:v>QUA</x:v>
      </x:c>
      <x:c r="B228" s="13" t="str">
        <x:v>M87605</x:v>
      </x:c>
      <x:c r="C228" s="13" t="n">
        <x:f>D585</x:f>
        <x:v>77</x:v>
      </x:c>
      <x:c r="D228" s="30" t="n">
        <x:f>E585</x:f>
        <x:v>72.7</x:v>
      </x:c>
      <x:c r="E228" s="13" t="n">
        <x:f>D950</x:f>
        <x:v>80</x:v>
      </x:c>
      <x:c r="F228" s="30" t="n">
        <x:f>E950</x:f>
        <x:v>75</x:v>
      </x:c>
      <x:c r="G228" s="31" t="n">
        <x:f>C228/$C$23</x:f>
        <x:v>0.004892616596772144</x:v>
      </x:c>
      <x:c r="H228" s="31" t="n">
        <x:f>E228/$D$23</x:f>
        <x:v>0.004949269982677555</x:v>
      </x:c>
      <x:c r="I228" s="31" t="n">
        <x:f>(G228+H228)/2*(F228-D228)</x:f>
        <x:v>0.011318169566367138</x:v>
      </x:c>
      <x:c r="J228" s="31" t="n">
        <x:f>(H228-G228)/2*(F228+D228)</x:f>
        <x:v>0.004183852549114616</x:v>
      </x:c>
      <x:c r="K228" s="31" t="n">
        <x:f>(G228+H228)/2*(MAX(0,F228-$B$3)-MIN(100,D228+$B$3))</x:f>
        <x:v>0.010826075237394681</x:v>
      </x:c>
      <x:c r="L228" s="31" t="n">
        <x:f>(G228+H228)/2*(MIN(100,F228+$B$3)-MAX(0,D228-$B$3))</x:f>
        <x:v>0.011810263895339596</x:v>
      </x:c>
      <x:c r="M228" s="31" t="n">
        <x:f>IF(H228&gt;=G228,(H228-G228)/2*(MAX(0,D228-$B$3)+MAX(0,F228-$B$3)),(H228-G228)/2*(MIN(100,D228+$B$3)+MIN(100,F228+$B$3)))</x:f>
        <x:v>0.004181019879819346</x:v>
      </x:c>
      <x:c r="N228" s="31" t="n">
        <x:f>IF(H228&gt;=G228,(H228-G228)/2*(MIN(100,D228+$B$3)+MIN(100,F228+$B$3)),(H228-G228)/2*(MAX(0,D228-$B$3)+MAX(0,F228-$B$3)))</x:f>
        <x:v>0.004186685218409886</x:v>
      </x:c>
      <x:c r="O228" s="13" t="str">
        <x:v>I03 GP_Code!P5568/U5568; I04 Table_1!P4940/U4940</x:v>
      </x:c>
    </x:row>
    <x:row r="229" ht="24" customHeight="1">
      <x:c r="A229" s="13" t="str">
        <x:v>QUA</x:v>
      </x:c>
      <x:c r="B229" s="13" t="str">
        <x:v>M87612</x:v>
      </x:c>
      <x:c r="C229" s="13" t="n">
        <x:f>D586</x:f>
        <x:v>24</x:v>
      </x:c>
      <x:c r="D229" s="30" t="n">
        <x:f>E586</x:f>
        <x:v>91.7</x:v>
      </x:c>
      <x:c r="E229" s="13" t="n">
        <x:f>D951</x:f>
        <x:v>32</x:v>
      </x:c>
      <x:c r="F229" s="30" t="n">
        <x:f>E951</x:f>
        <x:v>78.1</x:v>
      </x:c>
      <x:c r="G229" s="31" t="n">
        <x:f>C229/$C$23</x:f>
        <x:v>0.0015249714067861228</x:v>
      </x:c>
      <x:c r="H229" s="31" t="n">
        <x:f>E229/$D$23</x:f>
        <x:v>0.001979707993071022</x:v>
      </x:c>
      <x:c r="I229" s="31" t="n">
        <x:f>(G229+H229)/2*(F229-D229)</x:f>
        <x:v>-0.0238318199190286</x:v>
      </x:c>
      <x:c r="J229" s="31" t="n">
        <x:f>(H229-G229)/2*(F229+D229)</x:f>
        <x:v>0.03860713617558794</x:v>
      </x:c>
      <x:c r="K229" s="31" t="n">
        <x:f>(G229+H229)/2*(MAX(0,F229-$B$3)-MIN(100,D229+$B$3))</x:f>
        <x:v>-0.024007053889021447</x:v>
      </x:c>
      <x:c r="L229" s="31" t="n">
        <x:f>(G229+H229)/2*(MIN(100,F229+$B$3)-MAX(0,D229-$B$3))</x:f>
        <x:v>-0.023656585949035754</x:v>
      </x:c>
      <x:c r="M229" s="31" t="n">
        <x:f>IF(H229&gt;=G229,(H229-G229)/2*(MAX(0,D229-$B$3)+MAX(0,F229-$B$3)),(H229-G229)/2*(MIN(100,D229+$B$3)+MIN(100,F229+$B$3)))</x:f>
        <x:v>0.038584399346273696</x:v>
      </x:c>
      <x:c r="N229" s="31" t="n">
        <x:f>IF(H229&gt;=G229,(H229-G229)/2*(MIN(100,D229+$B$3)+MIN(100,F229+$B$3)),(H229-G229)/2*(MAX(0,D229-$B$3)+MAX(0,F229-$B$3)))</x:f>
        <x:v>0.03862987300490218</x:v>
      </x:c>
      <x:c r="O229" s="13" t="str">
        <x:v>I03 GP_Code!P5569/U5569; I04 Table_1!P4941/U4941</x:v>
      </x:c>
    </x:row>
    <x:row r="230" ht="24" customHeight="1">
      <x:c r="A230" s="13" t="str">
        <x:v>QUA</x:v>
      </x:c>
      <x:c r="B230" s="13" t="str">
        <x:v>M87617</x:v>
      </x:c>
      <x:c r="C230" s="13" t="n">
        <x:f>D587</x:f>
        <x:v>90</x:v>
      </x:c>
      <x:c r="D230" s="30" t="n">
        <x:f>E587</x:f>
        <x:v>84.4</x:v>
      </x:c>
      <x:c r="E230" s="13" t="n">
        <x:f>D952</x:f>
        <x:v>99</x:v>
      </x:c>
      <x:c r="F230" s="30" t="n">
        <x:f>E952</x:f>
        <x:v>88.9</x:v>
      </x:c>
      <x:c r="G230" s="31" t="n">
        <x:f>C230/$C$23</x:f>
        <x:v>0.0057186427754479605</x:v>
      </x:c>
      <x:c r="H230" s="31" t="n">
        <x:f>E230/$D$23</x:f>
        <x:v>0.006124721603563474</x:v>
      </x:c>
      <x:c r="I230" s="31" t="n">
        <x:f>(G230+H230)/2*(F230-D230)</x:f>
        <x:v>0.026647569852775728</x:v>
      </x:c>
      <x:c r="J230" s="31" t="n">
        <x:f>(H230-G230)/2*(F230+D230)</x:f>
        <x:v>0.03518673045620924</x:v>
      </x:c>
      <x:c r="K230" s="31" t="n">
        <x:f>(G230+H230)/2*(MAX(0,F230-$B$3)-MIN(100,D230+$B$3))</x:f>
        <x:v>0.026055401633825193</x:v>
      </x:c>
      <x:c r="L230" s="31" t="n">
        <x:f>(G230+H230)/2*(MIN(100,F230+$B$3)-MAX(0,D230-$B$3))</x:f>
        <x:v>0.027239738071726267</x:v>
      </x:c>
      <x:c r="M230" s="31" t="n">
        <x:f>IF(H230&gt;=G230,(H230-G230)/2*(MAX(0,D230-$B$3)+MAX(0,F230-$B$3)),(H230-G230)/2*(MIN(100,D230+$B$3)+MIN(100,F230+$B$3)))</x:f>
        <x:v>0.03516642651480347</x:v>
      </x:c>
      <x:c r="N230" s="31" t="n">
        <x:f>IF(H230&gt;=G230,(H230-G230)/2*(MIN(100,D230+$B$3)+MIN(100,F230+$B$3)),(H230-G230)/2*(MAX(0,D230-$B$3)+MAX(0,F230-$B$3)))</x:f>
        <x:v>0.03520703439761502</x:v>
      </x:c>
      <x:c r="O230" s="13" t="str">
        <x:v>I03 GP_Code!P5570/U5570; I04 Table_1!P4942/U4942</x:v>
      </x:c>
    </x:row>
    <x:row r="231" ht="24" customHeight="1">
      <x:c r="A231" s="13" t="str">
        <x:v>QUA</x:v>
      </x:c>
      <x:c r="B231" s="13" t="str">
        <x:v>M87618</x:v>
      </x:c>
      <x:c r="C231" s="13" t="n">
        <x:f>D588</x:f>
        <x:v>22</x:v>
      </x:c>
      <x:c r="D231" s="30" t="n">
        <x:f>E588</x:f>
        <x:v>100</x:v>
      </x:c>
      <x:c r="E231" s="13" t="n">
        <x:f>D953</x:f>
        <x:v>32</x:v>
      </x:c>
      <x:c r="F231" s="30" t="n">
        <x:f>E953</x:f>
        <x:v>93.8</x:v>
      </x:c>
      <x:c r="G231" s="31" t="n">
        <x:f>C231/$C$23</x:f>
        <x:v>0.0013978904562206124</x:v>
      </x:c>
      <x:c r="H231" s="31" t="n">
        <x:f>E231/$D$23</x:f>
        <x:v>0.001979707993071022</x:v>
      </x:c>
      <x:c r="I231" s="31" t="n">
        <x:f>(G231+H231)/2*(F231-D231)</x:f>
        <x:v>-0.01047055519280407</x:v>
      </x:c>
      <x:c r="J231" s="31" t="n">
        <x:f>(H231-G231)/2*(F231+D231)</x:f>
        <x:v>0.056378119320804686</x:v>
      </x:c>
      <x:c r="K231" s="31" t="n">
        <x:f>(G231+H231)/2*(MAX(0,F231-$B$3)-MIN(100,D231+$B$3))</x:f>
        <x:v>-0.010554995154036358</x:v>
      </x:c>
      <x:c r="L231" s="31" t="n">
        <x:f>(G231+H231)/2*(MIN(100,F231+$B$3)-MAX(0,D231-$B$3))</x:f>
        <x:v>-0.010301675270339499</x:v>
      </x:c>
      <x:c r="M231" s="31" t="n">
        <x:f>IF(H231&gt;=G231,(H231-G231)/2*(MAX(0,D231-$B$3)+MAX(0,F231-$B$3)),(H231-G231)/2*(MIN(100,D231+$B$3)+MIN(100,F231+$B$3)))</x:f>
        <x:v>0.056349028443962154</x:v>
      </x:c>
      <x:c r="N231" s="31" t="n">
        <x:f>IF(H231&gt;=G231,(H231-G231)/2*(MIN(100,D231+$B$3)+MIN(100,F231+$B$3)),(H231-G231)/2*(MAX(0,D231-$B$3)+MAX(0,F231-$B$3)))</x:f>
        <x:v>0.05639266475922594</x:v>
      </x:c>
      <x:c r="O231" s="13" t="str">
        <x:v>I03 GP_Code!P5571/U5571; I04 Table_1!P4943/U4943</x:v>
      </x:c>
    </x:row>
    <x:row r="232" ht="24" customHeight="1">
      <x:c r="A232" s="13" t="str">
        <x:v>QUA</x:v>
      </x:c>
      <x:c r="B232" s="13" t="str">
        <x:v>M87620</x:v>
      </x:c>
      <x:c r="C232" s="13" t="n">
        <x:f>D589</x:f>
        <x:v>96</x:v>
      </x:c>
      <x:c r="D232" s="30" t="n">
        <x:f>E589</x:f>
        <x:v>91.7</x:v>
      </x:c>
      <x:c r="E232" s="13" t="n">
        <x:f>D954</x:f>
        <x:v>105</x:v>
      </x:c>
      <x:c r="F232" s="30" t="n">
        <x:f>E954</x:f>
        <x:v>91.4</x:v>
      </x:c>
      <x:c r="G232" s="31" t="n">
        <x:f>C232/$C$23</x:f>
        <x:v>0.006099885627144491</x:v>
      </x:c>
      <x:c r="H232" s="31" t="n">
        <x:f>E232/$D$23</x:f>
        <x:v>0.006495916852264291</x:v>
      </x:c>
      <x:c r="I232" s="31" t="n">
        <x:f>(G232+H232)/2*(F232-D232)</x:f>
        <x:v>-0.0018893703719112995</x:v>
      </x:c>
      <x:c r="J232" s="31" t="n">
        <x:f>(H232-G232)/2*(F232+D232)</x:f>
        <x:v>0.036256658659717715</x:v>
      </x:c>
      <x:c r="K232" s="31" t="n">
        <x:f>(G232+H232)/2*(MAX(0,F232-$B$3)-MIN(100,D232+$B$3))</x:f>
        <x:v>-0.0025191604958817028</x:v>
      </x:c>
      <x:c r="L232" s="31" t="n">
        <x:f>(G232+H232)/2*(MIN(100,F232+$B$3)-MAX(0,D232-$B$3))</x:f>
        <x:v>-0.0012595802479408963</x:v>
      </x:c>
      <x:c r="M232" s="31" t="n">
        <x:f>IF(H232&gt;=G232,(H232-G232)/2*(MAX(0,D232-$B$3)+MAX(0,F232-$B$3)),(H232-G232)/2*(MIN(100,D232+$B$3)+MIN(100,F232+$B$3)))</x:f>
        <x:v>0.03623685709846172</x:v>
      </x:c>
      <x:c r="N232" s="31" t="n">
        <x:f>IF(H232&gt;=G232,(H232-G232)/2*(MIN(100,D232+$B$3)+MIN(100,F232+$B$3)),(H232-G232)/2*(MAX(0,D232-$B$3)+MAX(0,F232-$B$3)))</x:f>
        <x:v>0.0362764602209737</x:v>
      </x:c>
      <x:c r="O232" s="13" t="str">
        <x:v>I03 GP_Code!P5572/U5572; I04 Table_1!P4944/U4944</x:v>
      </x:c>
    </x:row>
    <x:row r="233" ht="24" customHeight="1">
      <x:c r="A233" s="13" t="str">
        <x:v>QUA</x:v>
      </x:c>
      <x:c r="B233" s="13" t="str">
        <x:v>M87621</x:v>
      </x:c>
      <x:c r="C233" s="13" t="n">
        <x:f>D590</x:f>
        <x:v>42</x:v>
      </x:c>
      <x:c r="D233" s="30" t="n">
        <x:f>E590</x:f>
        <x:v>88.1</x:v>
      </x:c>
      <x:c r="E233" s="13" t="n">
        <x:f>D955</x:f>
        <x:v>34</x:v>
      </x:c>
      <x:c r="F233" s="30" t="n">
        <x:f>E955</x:f>
        <x:v>82.4</x:v>
      </x:c>
      <x:c r="G233" s="31" t="n">
        <x:f>C233/$C$23</x:f>
        <x:v>0.002668699961875715</x:v>
      </x:c>
      <x:c r="H233" s="31" t="n">
        <x:f>E233/$D$23</x:f>
        <x:v>0.002103439742637961</x:v>
      </x:c>
      <x:c r="I233" s="31" t="n">
        <x:f>(G233+H233)/2*(F233-D233)</x:f>
        <x:v>-0.013600598157863951</x:v>
      </x:c>
      <x:c r="J233" s="31" t="n">
        <x:f>(H233-G233)/2*(F233+D233)</x:f>
        <x:v>-0.048188433690018524</x:v>
      </x:c>
      <x:c r="K233" s="31" t="n">
        <x:f>(G233+H233)/2*(MAX(0,F233-$B$3)-MIN(100,D233+$B$3))</x:f>
        <x:v>-0.01383920514308962</x:v>
      </x:c>
      <x:c r="L233" s="31" t="n">
        <x:f>(G233+H233)/2*(MIN(100,F233+$B$3)-MAX(0,D233-$B$3))</x:f>
        <x:v>-0.01336199117263828</x:v>
      </x:c>
      <x:c r="M233" s="31" t="n">
        <x:f>IF(H233&gt;=G233,(H233-G233)/2*(MAX(0,D233-$B$3)+MAX(0,F233-$B$3)),(H233-G233)/2*(MIN(100,D233+$B$3)+MIN(100,F233+$B$3)))</x:f>
        <x:v>-0.04821669670098041</x:v>
      </x:c>
      <x:c r="N233" s="31" t="n">
        <x:f>IF(H233&gt;=G233,(H233-G233)/2*(MIN(100,D233+$B$3)+MIN(100,F233+$B$3)),(H233-G233)/2*(MAX(0,D233-$B$3)+MAX(0,F233-$B$3)))</x:f>
        <x:v>-0.04816017067905664</x:v>
      </x:c>
      <x:c r="O233" s="13" t="str">
        <x:v>I03 GP_Code!P5573/U5573; I04 Table_1!P4945/U4945</x:v>
      </x:c>
    </x:row>
    <x:row r="234" ht="24" customHeight="1">
      <x:c r="A234" s="13" t="str">
        <x:v>QUA</x:v>
      </x:c>
      <x:c r="B234" s="13" t="str">
        <x:v>M87623</x:v>
      </x:c>
      <x:c r="C234" s="13" t="n">
        <x:f>D591</x:f>
        <x:v>43</x:v>
      </x:c>
      <x:c r="D234" s="30" t="n">
        <x:f>E591</x:f>
        <x:v>86</x:v>
      </x:c>
      <x:c r="E234" s="13" t="n">
        <x:f>D956</x:f>
        <x:v>44</x:v>
      </x:c>
      <x:c r="F234" s="30" t="n">
        <x:f>E956</x:f>
        <x:v>90.9</x:v>
      </x:c>
      <x:c r="G234" s="31" t="n">
        <x:f>C234/$C$23</x:f>
        <x:v>0.00273224043715847</x:v>
      </x:c>
      <x:c r="H234" s="31" t="n">
        <x:f>E234/$D$23</x:f>
        <x:v>0.002722098490472655</x:v>
      </x:c>
      <x:c r="I234" s="31" t="n">
        <x:f>(G234+H234)/2*(F234-D234)</x:f>
        <x:v>0.013363130372696272</x:v>
      </x:c>
      <x:c r="J234" s="31" t="n">
        <x:f>(H234-G234)/2*(F234+D234)</x:f>
        <x:v>-0.0008970551843603172</x:v>
      </x:c>
      <x:c r="K234" s="31" t="n">
        <x:f>(G234+H234)/2*(MAX(0,F234-$B$3)-MIN(100,D234+$B$3))</x:f>
        <x:v>0.01309041342631473</x:v>
      </x:c>
      <x:c r="L234" s="31" t="n">
        <x:f>(G234+H234)/2*(MIN(100,F234+$B$3)-MAX(0,D234-$B$3))</x:f>
        <x:v>0.013635847319077812</x:v>
      </x:c>
      <x:c r="M234" s="31" t="n">
        <x:f>IF(H234&gt;=G234,(H234-G234)/2*(MAX(0,D234-$B$3)+MAX(0,F234-$B$3)),(H234-G234)/2*(MIN(100,D234+$B$3)+MIN(100,F234+$B$3)))</x:f>
        <x:v>-0.0008975622816946079</x:v>
      </x:c>
      <x:c r="N234" s="31" t="n">
        <x:f>IF(H234&gt;=G234,(H234-G234)/2*(MIN(100,D234+$B$3)+MIN(100,F234+$B$3)),(H234-G234)/2*(MAX(0,D234-$B$3)+MAX(0,F234-$B$3)))</x:f>
        <x:v>-0.0008965480870260265</x:v>
      </x:c>
      <x:c r="O234" s="13" t="str">
        <x:v>I03 GP_Code!P5574/U5574; I04 Table_1!P4946/U4946</x:v>
      </x:c>
    </x:row>
    <x:row r="235" ht="24" customHeight="1">
      <x:c r="A235" s="13" t="str">
        <x:v>QUA</x:v>
      </x:c>
      <x:c r="B235" s="13" t="str">
        <x:v>M87628</x:v>
      </x:c>
      <x:c r="C235" s="13" t="n">
        <x:f>D592</x:f>
        <x:v>38</x:v>
      </x:c>
      <x:c r="D235" s="30" t="n">
        <x:f>E592</x:f>
        <x:v>68.4</x:v>
      </x:c>
      <x:c r="E235" s="13" t="n">
        <x:f>D957</x:f>
        <x:v>34</x:v>
      </x:c>
      <x:c r="F235" s="30" t="n">
        <x:f>E957</x:f>
        <x:v>70.6</x:v>
      </x:c>
      <x:c r="G235" s="31" t="n">
        <x:f>C235/$C$23</x:f>
        <x:v>0.0024145380607446944</x:v>
      </x:c>
      <x:c r="H235" s="31" t="n">
        <x:f>E235/$D$23</x:f>
        <x:v>0.002103439742637961</x:v>
      </x:c>
      <x:c r="I235" s="31" t="n">
        <x:f>(G235+H235)/2*(F235-D235)</x:f>
        <x:v>0.004969775583720895</x:v>
      </x:c>
      <x:c r="J235" s="31" t="n">
        <x:f>(H235-G235)/2*(F235+D235)</x:f>
        <x:v>-0.021621333108417965</x:v>
      </x:c>
      <x:c r="K235" s="31" t="n">
        <x:f>(G235+H235)/2*(MAX(0,F235-$B$3)-MIN(100,D235+$B$3))</x:f>
        <x:v>0.004743876693551775</x:v>
      </x:c>
      <x:c r="L235" s="31" t="n">
        <x:f>(G235+H235)/2*(MIN(100,F235+$B$3)-MAX(0,D235-$B$3))</x:f>
        <x:v>0.005195674473890015</x:v>
      </x:c>
      <x:c r="M235" s="31" t="n">
        <x:f>IF(H235&gt;=G235,(H235-G235)/2*(MAX(0,D235-$B$3)+MAX(0,F235-$B$3)),(H235-G235)/2*(MIN(100,D235+$B$3)+MIN(100,F235+$B$3)))</x:f>
        <x:v>-0.021636888024323304</x:v>
      </x:c>
      <x:c r="N235" s="31" t="n">
        <x:f>IF(H235&gt;=G235,(H235-G235)/2*(MIN(100,D235+$B$3)+MIN(100,F235+$B$3)),(H235-G235)/2*(MAX(0,D235-$B$3)+MAX(0,F235-$B$3)))</x:f>
        <x:v>-0.02160577819251263</x:v>
      </x:c>
      <x:c r="O235" s="13" t="str">
        <x:v>I03 GP_Code!P5575/U5575; I04 Table_1!P4947/U4947</x:v>
      </x:c>
    </x:row>
    <x:row r="236" ht="24" customHeight="1">
      <x:c r="A236" s="13" t="str">
        <x:v>QUA</x:v>
      </x:c>
      <x:c r="B236" s="13" t="str">
        <x:v>M87638</x:v>
      </x:c>
      <x:c r="C236" s="13" t="n">
        <x:f>D593</x:f>
        <x:v>36</x:v>
      </x:c>
      <x:c r="D236" s="30" t="n">
        <x:f>E593</x:f>
        <x:v>88.9</x:v>
      </x:c>
      <x:c r="E236" s="13" t="n">
        <x:f>D958</x:f>
        <x:v>40</x:v>
      </x:c>
      <x:c r="F236" s="30" t="n">
        <x:f>E958</x:f>
        <x:v>87.5</x:v>
      </x:c>
      <x:c r="G236" s="31" t="n">
        <x:f>C236/$C$23</x:f>
        <x:v>0.002287457110179184</x:v>
      </x:c>
      <x:c r="H236" s="31" t="n">
        <x:f>E236/$D$23</x:f>
        <x:v>0.0024746349913387774</x:v>
      </x:c>
      <x:c r="I236" s="31" t="n">
        <x:f>(G236+H236)/2*(F236-D236)</x:f>
        <x:v>-0.0033334644710625865</x:v>
      </x:c>
      <x:c r="J236" s="31" t="n">
        <x:f>(H236-G236)/2*(F236+D236)</x:f>
        <x:v>0.016509089118276137</x:v>
      </x:c>
      <x:c r="K236" s="31" t="n">
        <x:f>(G236+H236)/2*(MAX(0,F236-$B$3)-MIN(100,D236+$B$3))</x:f>
        <x:v>-0.003571569076138471</x:v>
      </x:c>
      <x:c r="L236" s="31" t="n">
        <x:f>(G236+H236)/2*(MIN(100,F236+$B$3)-MAX(0,D236-$B$3))</x:f>
        <x:v>-0.003095359865986702</x:v>
      </x:c>
      <x:c r="M236" s="31" t="n">
        <x:f>IF(H236&gt;=G236,(H236-G236)/2*(MAX(0,D236-$B$3)+MAX(0,F236-$B$3)),(H236-G236)/2*(MIN(100,D236+$B$3)+MIN(100,F236+$B$3)))</x:f>
        <x:v>0.01649973022421816</x:v>
      </x:c>
      <x:c r="N236" s="31" t="n">
        <x:f>IF(H236&gt;=G236,(H236-G236)/2*(MIN(100,D236+$B$3)+MIN(100,F236+$B$3)),(H236-G236)/2*(MAX(0,D236-$B$3)+MAX(0,F236-$B$3)))</x:f>
        <x:v>0.016518448012334118</x:v>
      </x:c>
      <x:c r="O236" s="13" t="str">
        <x:v>I03 GP_Code!P5576/U5576; I04 Table_1!P4948/U4948</x:v>
      </x:c>
    </x:row>
    <x:row r="237" ht="24" customHeight="1">
      <x:c r="A237" s="13" t="str">
        <x:v>QUA</x:v>
      </x:c>
      <x:c r="B237" s="13" t="str">
        <x:v>M88001</x:v>
      </x:c>
      <x:c r="C237" s="13" t="n">
        <x:f>D594</x:f>
        <x:v>153</x:v>
      </x:c>
      <x:c r="D237" s="30" t="n">
        <x:f>E594</x:f>
        <x:v>83.7</x:v>
      </x:c>
      <x:c r="E237" s="13" t="n">
        <x:f>D959</x:f>
        <x:v>143</x:v>
      </x:c>
      <x:c r="F237" s="30" t="n">
        <x:f>E959</x:f>
        <x:v>76.2</x:v>
      </x:c>
      <x:c r="G237" s="31" t="n">
        <x:f>C237/$C$23</x:f>
        <x:v>0.009721692718261532</x:v>
      </x:c>
      <x:c r="H237" s="31" t="n">
        <x:f>E237/$D$23</x:f>
        <x:v>0.00884682009403613</x:v>
      </x:c>
      <x:c r="I237" s="31" t="n">
        <x:f>(G237+H237)/2*(F237-D237)</x:f>
        <x:v>-0.06963192304611623</x:v>
      </x:c>
      <x:c r="J237" s="31" t="n">
        <x:f>(H237-G237)/2*(F237+D237)</x:f>
        <x:v>-0.06994606630682096</x:v>
      </x:c>
      <x:c r="K237" s="31" t="n">
        <x:f>(G237+H237)/2*(MAX(0,F237-$B$3)-MIN(100,D237+$B$3))</x:f>
        <x:v>-0.07056034868673106</x:v>
      </x:c>
      <x:c r="L237" s="31" t="n">
        <x:f>(G237+H237)/2*(MIN(100,F237+$B$3)-MAX(0,D237-$B$3))</x:f>
        <x:v>-0.0687034974055014</x:v>
      </x:c>
      <x:c r="M237" s="31" t="n">
        <x:f>IF(H237&gt;=G237,(H237-G237)/2*(MAX(0,D237-$B$3)+MAX(0,F237-$B$3)),(H237-G237)/2*(MIN(100,D237+$B$3)+MIN(100,F237+$B$3)))</x:f>
        <x:v>-0.06998980993803222</x:v>
      </x:c>
      <x:c r="N237" s="31" t="n">
        <x:f>IF(H237&gt;=G237,(H237-G237)/2*(MIN(100,D237+$B$3)+MIN(100,F237+$B$3)),(H237-G237)/2*(MAX(0,D237-$B$3)+MAX(0,F237-$B$3)))</x:f>
        <x:v>-0.06990232267560968</x:v>
      </x:c>
      <x:c r="O237" s="13" t="str">
        <x:v>I03 GP_Code!P5577/U5577; I04 Table_1!P4949/U4949</x:v>
      </x:c>
    </x:row>
    <x:row r="238" ht="24" customHeight="1">
      <x:c r="A238" s="13" t="str">
        <x:v>QUA</x:v>
      </x:c>
      <x:c r="B238" s="13" t="str">
        <x:v>M88002</x:v>
      </x:c>
      <x:c r="C238" s="13" t="n">
        <x:f>D595</x:f>
        <x:v>113</x:v>
      </x:c>
      <x:c r="D238" s="30" t="n">
        <x:f>E595</x:f>
        <x:v>68.1</x:v>
      </x:c>
      <x:c r="E238" s="13" t="n">
        <x:f>D960</x:f>
        <x:v>116</x:v>
      </x:c>
      <x:c r="F238" s="30" t="n">
        <x:f>E960</x:f>
        <x:v>73.3</x:v>
      </x:c>
      <x:c r="G238" s="31" t="n">
        <x:f>C238/$C$23</x:f>
        <x:v>0.007180073706951328</x:v>
      </x:c>
      <x:c r="H238" s="31" t="n">
        <x:f>E238/$D$23</x:f>
        <x:v>0.007176441474882455</x:v>
      </x:c>
      <x:c r="I238" s="31" t="n">
        <x:f>(G238+H238)/2*(F238-D238)</x:f>
        <x:v>0.037326939472767856</x:v>
      </x:c>
      <x:c r="J238" s="31" t="n">
        <x:f>(H238-G238)/2*(F238+D238)</x:f>
        <x:v>-0.00025679880726930265</x:v>
      </x:c>
      <x:c r="K238" s="31" t="n">
        <x:f>(G238+H238)/2*(MAX(0,F238-$B$3)-MIN(100,D238+$B$3))</x:f>
        <x:v>0.03660911371367621</x:v>
      </x:c>
      <x:c r="L238" s="31" t="n">
        <x:f>(G238+H238)/2*(MIN(100,F238+$B$3)-MAX(0,D238-$B$3))</x:f>
        <x:v>0.038044765231859505</x:v>
      </x:c>
      <x:c r="M238" s="31" t="n">
        <x:f>IF(H238&gt;=G238,(H238-G238)/2*(MAX(0,D238-$B$3)+MAX(0,F238-$B$3)),(H238-G238)/2*(MIN(100,D238+$B$3)+MIN(100,F238+$B$3)))</x:f>
        <x:v>-0.00025698041887274635</x:v>
      </x:c>
      <x:c r="N238" s="31" t="n">
        <x:f>IF(H238&gt;=G238,(H238-G238)/2*(MIN(100,D238+$B$3)+MIN(100,F238+$B$3)),(H238-G238)/2*(MAX(0,D238-$B$3)+MAX(0,F238-$B$3)))</x:f>
        <x:v>-0.0002566171956658591</x:v>
      </x:c>
      <x:c r="O238" s="13" t="str">
        <x:v>I03 GP_Code!P5578/U5578; I04 Table_1!P4950/U4950</x:v>
      </x:c>
    </x:row>
    <x:row r="239" ht="24" customHeight="1">
      <x:c r="A239" s="13" t="str">
        <x:v>QUA</x:v>
      </x:c>
      <x:c r="B239" s="13" t="str">
        <x:v>M88003</x:v>
      </x:c>
      <x:c r="C239" s="13" t="n">
        <x:f>D596</x:f>
        <x:v>126</x:v>
      </x:c>
      <x:c r="D239" s="30" t="n">
        <x:f>E596</x:f>
        <x:v>89.7</x:v>
      </x:c>
      <x:c r="E239" s="13" t="n">
        <x:f>D961</x:f>
        <x:v>133</x:v>
      </x:c>
      <x:c r="F239" s="30" t="n">
        <x:f>E961</x:f>
        <x:v>76.7</x:v>
      </x:c>
      <x:c r="G239" s="31" t="n">
        <x:f>C239/$C$23</x:f>
        <x:v>0.008006099885627144</x:v>
      </x:c>
      <x:c r="H239" s="31" t="n">
        <x:f>E239/$D$23</x:f>
        <x:v>0.008228161346201435</x:v>
      </x:c>
      <x:c r="I239" s="31" t="n">
        <x:f>(G239+H239)/2*(F239-D239)</x:f>
        <x:v>-0.10552269800688575</x:v>
      </x:c>
      <x:c r="J239" s="31" t="n">
        <x:f>(H239-G239)/2*(F239+D239)</x:f>
        <x:v>0.01847551351978104</x:v>
      </x:c>
      <x:c r="K239" s="31" t="n">
        <x:f>(G239+H239)/2*(MAX(0,F239-$B$3)-MIN(100,D239+$B$3))</x:f>
        <x:v>-0.10633441106847713</x:v>
      </x:c>
      <x:c r="L239" s="31" t="n">
        <x:f>(G239+H239)/2*(MIN(100,F239+$B$3)-MAX(0,D239-$B$3))</x:f>
        <x:v>-0.10471098494529436</x:v>
      </x:c>
      <x:c r="M239" s="31" t="n">
        <x:f>IF(H239&gt;=G239,(H239-G239)/2*(MAX(0,D239-$B$3)+MAX(0,F239-$B$3)),(H239-G239)/2*(MIN(100,D239+$B$3)+MIN(100,F239+$B$3)))</x:f>
        <x:v>0.018464410446752327</x:v>
      </x:c>
      <x:c r="N239" s="31" t="n">
        <x:f>IF(H239&gt;=G239,(H239-G239)/2*(MIN(100,D239+$B$3)+MIN(100,F239+$B$3)),(H239-G239)/2*(MAX(0,D239-$B$3)+MAX(0,F239-$B$3)))</x:f>
        <x:v>0.018486616592809754</x:v>
      </x:c>
      <x:c r="O239" s="13" t="str">
        <x:v>I03 GP_Code!P5579/U5579; I04 Table_1!P4951/U4951</x:v>
      </x:c>
    </x:row>
    <x:row r="240" ht="24" customHeight="1">
      <x:c r="A240" s="13" t="str">
        <x:v>QUA</x:v>
      </x:c>
      <x:c r="B240" s="13" t="str">
        <x:v>M88004</x:v>
      </x:c>
      <x:c r="C240" s="13" t="n">
        <x:f>D597</x:f>
        <x:v>570</x:v>
      </x:c>
      <x:c r="D240" s="30" t="n">
        <x:f>E597</x:f>
        <x:v>86.1</x:v>
      </x:c>
      <x:c r="E240" s="13" t="n">
        <x:f>D962</x:f>
        <x:v>520</x:v>
      </x:c>
      <x:c r="F240" s="30" t="n">
        <x:f>E962</x:f>
        <x:v>82.1</x:v>
      </x:c>
      <x:c r="G240" s="31" t="n">
        <x:f>C240/$C$23</x:f>
        <x:v>0.036218070911170415</x:v>
      </x:c>
      <x:c r="H240" s="31" t="n">
        <x:f>E240/$D$23</x:f>
        <x:v>0.03217025488740411</x:v>
      </x:c>
      <x:c r="I240" s="31" t="n">
        <x:f>(G240+H240)/2*(F240-D240)</x:f>
        <x:v>-0.13677665159714905</x:v>
      </x:c>
      <x:c r="J240" s="31" t="n">
        <x:f>(H240-G240)/2*(F240+D240)</x:f>
        <x:v>-0.34042132759874616</x:v>
      </x:c>
      <x:c r="K240" s="31" t="n">
        <x:f>(G240+H240)/2*(MAX(0,F240-$B$3)-MIN(100,D240+$B$3))</x:f>
        <x:v>-0.14019606788707759</x:v>
      </x:c>
      <x:c r="L240" s="31" t="n">
        <x:f>(G240+H240)/2*(MIN(100,F240+$B$3)-MAX(0,D240-$B$3))</x:f>
        <x:v>-0.13335723530722052</x:v>
      </x:c>
      <x:c r="M240" s="31" t="n">
        <x:f>IF(H240&gt;=G240,(H240-G240)/2*(MAX(0,D240-$B$3)+MAX(0,F240-$B$3)),(H240-G240)/2*(MIN(100,D240+$B$3)+MIN(100,F240+$B$3)))</x:f>
        <x:v>-0.34062371839993444</x:v>
      </x:c>
      <x:c r="N240" s="31" t="n">
        <x:f>IF(H240&gt;=G240,(H240-G240)/2*(MIN(100,D240+$B$3)+MIN(100,F240+$B$3)),(H240-G240)/2*(MAX(0,D240-$B$3)+MAX(0,F240-$B$3)))</x:f>
        <x:v>-0.3402189367975578</x:v>
      </x:c>
      <x:c r="O240" s="13" t="str">
        <x:v>I03 GP_Code!P5580/U5580; I04 Table_1!P4952/U4952</x:v>
      </x:c>
    </x:row>
    <x:row r="241" ht="24" customHeight="1">
      <x:c r="A241" s="13" t="str">
        <x:v>QUA</x:v>
      </x:c>
      <x:c r="B241" s="13" t="str">
        <x:v>M88006</x:v>
      </x:c>
      <x:c r="C241" s="13" t="n">
        <x:f>D598</x:f>
        <x:v>156</x:v>
      </x:c>
      <x:c r="D241" s="30" t="n">
        <x:f>E598</x:f>
        <x:v>79.5</x:v>
      </x:c>
      <x:c r="E241" s="13" t="n">
        <x:f>D963</x:f>
        <x:v>161</x:v>
      </x:c>
      <x:c r="F241" s="30" t="n">
        <x:f>E963</x:f>
        <x:v>85.1</x:v>
      </x:c>
      <x:c r="G241" s="31" t="n">
        <x:f>C241/$C$23</x:f>
        <x:v>0.009912314144109797</x:v>
      </x:c>
      <x:c r="H241" s="31" t="n">
        <x:f>E241/$D$23</x:f>
        <x:v>0.009960405840138579</x:v>
      </x:c>
      <x:c r="I241" s="31" t="n">
        <x:f>(G241+H241)/2*(F241-D241)</x:f>
        <x:v>0.05564361595589539</x:v>
      </x:c>
      <x:c r="J241" s="31" t="n">
        <x:f>(H241-G241)/2*(F241+D241)</x:f>
        <x:v>0.003957946583168725</x:v>
      </x:c>
      <x:c r="K241" s="31" t="n">
        <x:f>(G241+H241)/2*(MAX(0,F241-$B$3)-MIN(100,D241+$B$3))</x:f>
        <x:v>0.054649979956683026</x:v>
      </x:c>
      <x:c r="L241" s="31" t="n">
        <x:f>(G241+H241)/2*(MIN(100,F241+$B$3)-MAX(0,D241-$B$3))</x:f>
        <x:v>0.056637251955107756</x:v>
      </x:c>
      <x:c r="M241" s="31" t="n">
        <x:f>IF(H241&gt;=G241,(H241-G241)/2*(MAX(0,D241-$B$3)+MAX(0,F241-$B$3)),(H241-G241)/2*(MIN(100,D241+$B$3)+MIN(100,F241+$B$3)))</x:f>
        <x:v>0.003955541998367286</x:v>
      </x:c>
      <x:c r="N241" s="31" t="n">
        <x:f>IF(H241&gt;=G241,(H241-G241)/2*(MIN(100,D241+$B$3)+MIN(100,F241+$B$3)),(H241-G241)/2*(MAX(0,D241-$B$3)+MAX(0,F241-$B$3)))</x:f>
        <x:v>0.003960351167970164</x:v>
      </x:c>
      <x:c r="O241" s="13" t="str">
        <x:v>I03 GP_Code!P5581/U5581; I04 Table_1!P4953/U4953</x:v>
      </x:c>
    </x:row>
    <x:row r="242" ht="24" customHeight="1">
      <x:c r="A242" s="13" t="str">
        <x:v>QUA</x:v>
      </x:c>
      <x:c r="B242" s="13" t="str">
        <x:v>M88007</x:v>
      </x:c>
      <x:c r="C242" s="13" t="n">
        <x:f>D599</x:f>
        <x:v>101</x:v>
      </x:c>
      <x:c r="D242" s="30" t="n">
        <x:f>E599</x:f>
        <x:v>88.1</x:v>
      </x:c>
      <x:c r="E242" s="13" t="n">
        <x:f>D964</x:f>
        <x:v>118</x:v>
      </x:c>
      <x:c r="F242" s="30" t="n">
        <x:f>E964</x:f>
        <x:v>79.7</x:v>
      </x:c>
      <x:c r="G242" s="31" t="n">
        <x:f>C242/$C$23</x:f>
        <x:v>0.006417588003558267</x:v>
      </x:c>
      <x:c r="H242" s="31" t="n">
        <x:f>E242/$D$23</x:f>
        <x:v>0.007300173224449394</x:v>
      </x:c>
      <x:c r="I242" s="31" t="n">
        <x:f>(G242+H242)/2*(F242-D242)</x:f>
        <x:v>-0.05761459715763211</x:v>
      </x:c>
      <x:c r="J242" s="31" t="n">
        <x:f>(H242-G242)/2*(F242+D242)</x:f>
        <x:v>0.0740489000327656</x:v>
      </x:c>
      <x:c r="K242" s="31" t="n">
        <x:f>(G242+H242)/2*(MAX(0,F242-$B$3)-MIN(100,D242+$B$3))</x:f>
        <x:v>-0.05830048521903246</x:v>
      </x:c>
      <x:c r="L242" s="31" t="n">
        <x:f>(G242+H242)/2*(MIN(100,F242+$B$3)-MAX(0,D242-$B$3))</x:f>
        <x:v>-0.05692870909623177</x:v>
      </x:c>
      <x:c r="M242" s="31" t="n">
        <x:f>IF(H242&gt;=G242,(H242-G242)/2*(MAX(0,D242-$B$3)+MAX(0,F242-$B$3)),(H242-G242)/2*(MIN(100,D242+$B$3)+MIN(100,F242+$B$3)))</x:f>
        <x:v>0.07400477077172103</x:v>
      </x:c>
      <x:c r="N242" s="31" t="n">
        <x:f>IF(H242&gt;=G242,(H242-G242)/2*(MIN(100,D242+$B$3)+MIN(100,F242+$B$3)),(H242-G242)/2*(MAX(0,D242-$B$3)+MAX(0,F242-$B$3)))</x:f>
        <x:v>0.07409302929381013</x:v>
      </x:c>
      <x:c r="O242" s="13" t="str">
        <x:v>I03 GP_Code!P5582/U5582; I04 Table_1!P4954/U4954</x:v>
      </x:c>
    </x:row>
    <x:row r="243" ht="24" customHeight="1">
      <x:c r="A243" s="13" t="str">
        <x:v>QUA</x:v>
      </x:c>
      <x:c r="B243" s="13" t="str">
        <x:v>M88008</x:v>
      </x:c>
      <x:c r="C243" s="13" t="n">
        <x:f>D600</x:f>
        <x:v>63</x:v>
      </x:c>
      <x:c r="D243" s="30" t="n">
        <x:f>E600</x:f>
        <x:v>82.5</x:v>
      </x:c>
      <x:c r="E243" s="13" t="n">
        <x:f>D965</x:f>
        <x:v>76</x:v>
      </x:c>
      <x:c r="F243" s="30" t="n">
        <x:f>E965</x:f>
        <x:v>86.8</x:v>
      </x:c>
      <x:c r="G243" s="31" t="n">
        <x:f>C243/$C$23</x:f>
        <x:v>0.004003049942813572</x:v>
      </x:c>
      <x:c r="H243" s="31" t="n">
        <x:f>E243/$D$23</x:f>
        <x:v>0.0047018064835436775</x:v>
      </x:c>
      <x:c r="I243" s="31" t="n">
        <x:f>(G243+H243)/2*(F243-D243)</x:f>
        <x:v>0.018715441316668073</x:v>
      </x:c>
      <x:c r="J243" s="31" t="n">
        <x:f>(H243-G243)/2*(F243+D243)</x:f>
        <x:v>0.05914974117280345</x:v>
      </x:c>
      <x:c r="K243" s="31" t="n">
        <x:f>(G243+H243)/2*(MAX(0,F243-$B$3)-MIN(100,D243+$B$3))</x:f>
        <x:v>0.018280198495350234</x:v>
      </x:c>
      <x:c r="L243" s="31" t="n">
        <x:f>(G243+H243)/2*(MIN(100,F243+$B$3)-MAX(0,D243-$B$3))</x:f>
        <x:v>0.01915068413798591</x:v>
      </x:c>
      <x:c r="M243" s="31" t="n">
        <x:f>IF(H243&gt;=G243,(H243-G243)/2*(MAX(0,D243-$B$3)+MAX(0,F243-$B$3)),(H243-G243)/2*(MIN(100,D243+$B$3)+MIN(100,F243+$B$3)))</x:f>
        <x:v>0.059114803345766936</x:v>
      </x:c>
      <x:c r="N243" s="31" t="n">
        <x:f>IF(H243&gt;=G243,(H243-G243)/2*(MIN(100,D243+$B$3)+MIN(100,F243+$B$3)),(H243-G243)/2*(MAX(0,D243-$B$3)+MAX(0,F243-$B$3)))</x:f>
        <x:v>0.059184678999839944</x:v>
      </x:c>
      <x:c r="O243" s="13" t="str">
        <x:v>I03 GP_Code!P5583/U5583; I04 Table_1!P4955/U4955</x:v>
      </x:c>
    </x:row>
    <x:row r="244" ht="24" customHeight="1">
      <x:c r="A244" s="13" t="str">
        <x:v>QUA</x:v>
      </x:c>
      <x:c r="B244" s="13" t="str">
        <x:v>M88009</x:v>
      </x:c>
      <x:c r="C244" s="13" t="n">
        <x:f>D601</x:f>
        <x:v>136</x:v>
      </x:c>
      <x:c r="D244" s="30" t="n">
        <x:f>E601</x:f>
        <x:v>71.3</x:v>
      </x:c>
      <x:c r="E244" s="13" t="n">
        <x:f>D966</x:f>
        <x:v>117</x:v>
      </x:c>
      <x:c r="F244" s="30" t="n">
        <x:f>E966</x:f>
        <x:v>63.2</x:v>
      </x:c>
      <x:c r="G244" s="31" t="n">
        <x:f>C244/$C$23</x:f>
        <x:v>0.008641504638454695</x:v>
      </x:c>
      <x:c r="H244" s="31" t="n">
        <x:f>E244/$D$23</x:f>
        <x:v>0.007238307349665924</x:v>
      </x:c>
      <x:c r="I244" s="31" t="n">
        <x:f>(G244+H244)/2*(F244-D244)</x:f>
        <x:v>-0.06431323855188847</x:v>
      </x:c>
      <x:c r="J244" s="31" t="n">
        <x:f>(H244-G244)/2*(F244+D244)</x:f>
        <x:v>-0.09436501767104484</x:v>
      </x:c>
      <x:c r="K244" s="31" t="n">
        <x:f>(G244+H244)/2*(MAX(0,F244-$B$3)-MIN(100,D244+$B$3))</x:f>
        <x:v>-0.06510722915129445</x:v>
      </x:c>
      <x:c r="L244" s="31" t="n">
        <x:f>(G244+H244)/2*(MIN(100,F244+$B$3)-MAX(0,D244-$B$3))</x:f>
        <x:v>-0.06351924795248248</x:v>
      </x:c>
      <x:c r="M244" s="31" t="n">
        <x:f>IF(H244&gt;=G244,(H244-G244)/2*(MAX(0,D244-$B$3)+MAX(0,F244-$B$3)),(H244-G244)/2*(MIN(100,D244+$B$3)+MIN(100,F244+$B$3)))</x:f>
        <x:v>-0.09443517753548428</x:v>
      </x:c>
      <x:c r="N244" s="31" t="n">
        <x:f>IF(H244&gt;=G244,(H244-G244)/2*(MIN(100,D244+$B$3)+MIN(100,F244+$B$3)),(H244-G244)/2*(MAX(0,D244-$B$3)+MAX(0,F244-$B$3)))</x:f>
        <x:v>-0.0942948578066054</x:v>
      </x:c>
      <x:c r="O244" s="13" t="str">
        <x:v>I03 GP_Code!P5584/U5584; I04 Table_1!P4956/U4956</x:v>
      </x:c>
    </x:row>
    <x:row r="245" ht="24" customHeight="1">
      <x:c r="A245" s="13" t="str">
        <x:v>QUA</x:v>
      </x:c>
      <x:c r="B245" s="13" t="str">
        <x:v>M88010</x:v>
      </x:c>
      <x:c r="C245" s="13" t="n">
        <x:f>D602</x:f>
        <x:v>138</x:v>
      </x:c>
      <x:c r="D245" s="30" t="n">
        <x:f>E602</x:f>
        <x:v>90.6</x:v>
      </x:c>
      <x:c r="E245" s="13" t="n">
        <x:f>D967</x:f>
        <x:v>114</x:v>
      </x:c>
      <x:c r="F245" s="30" t="n">
        <x:f>E967</x:f>
        <x:v>86</x:v>
      </x:c>
      <x:c r="G245" s="31" t="n">
        <x:f>C245/$C$23</x:f>
        <x:v>0.008768585589020206</x:v>
      </x:c>
      <x:c r="H245" s="31" t="n">
        <x:f>E245/$D$23</x:f>
        <x:v>0.007052709725315516</x:v>
      </x:c>
      <x:c r="I245" s="31" t="n">
        <x:f>(G245+H245)/2*(F245-D245)</x:f>
        <x:v>-0.03638897922297212</x:v>
      </x:c>
      <x:c r="J245" s="31" t="n">
        <x:f>(H245-G245)/2*(F245+D245)</x:f>
        <x:v>-0.15151183876512417</x:v>
      </x:c>
      <x:c r="K245" s="31" t="n">
        <x:f>(G245+H245)/2*(MAX(0,F245-$B$3)-MIN(100,D245+$B$3))</x:f>
        <x:v>-0.03718004398868886</x:v>
      </x:c>
      <x:c r="L245" s="31" t="n">
        <x:f>(G245+H245)/2*(MIN(100,F245+$B$3)-MAX(0,D245-$B$3))</x:f>
        <x:v>-0.03559791445725538</x:v>
      </x:c>
      <x:c r="M245" s="31" t="n">
        <x:f>IF(H245&gt;=G245,(H245-G245)/2*(MAX(0,D245-$B$3)+MAX(0,F245-$B$3)),(H245-G245)/2*(MIN(100,D245+$B$3)+MIN(100,F245+$B$3)))</x:f>
        <x:v>-0.1515976325583094</x:v>
      </x:c>
      <x:c r="N245" s="31" t="n">
        <x:f>IF(H245&gt;=G245,(H245-G245)/2*(MIN(100,D245+$B$3)+MIN(100,F245+$B$3)),(H245-G245)/2*(MAX(0,D245-$B$3)+MAX(0,F245-$B$3)))</x:f>
        <x:v>-0.15142604497193896</x:v>
      </x:c>
      <x:c r="O245" s="13" t="str">
        <x:v>I03 GP_Code!P5585/U5585; I04 Table_1!P4957/U4957</x:v>
      </x:c>
    </x:row>
    <x:row r="246" ht="24" customHeight="1">
      <x:c r="A246" s="13" t="str">
        <x:v>QUA</x:v>
      </x:c>
      <x:c r="B246" s="13" t="str">
        <x:v>M88013</x:v>
      </x:c>
      <x:c r="C246" s="13" t="n">
        <x:f>D603</x:f>
        <x:v>189</x:v>
      </x:c>
      <x:c r="D246" s="30" t="n">
        <x:f>E603</x:f>
        <x:v>48.7</x:v>
      </x:c>
      <x:c r="E246" s="13" t="n">
        <x:f>D968</x:f>
        <x:v>173</x:v>
      </x:c>
      <x:c r="F246" s="30" t="n">
        <x:f>E968</x:f>
        <x:v>76.3</x:v>
      </x:c>
      <x:c r="G246" s="31" t="n">
        <x:f>C246/$C$23</x:f>
        <x:v>0.012009149828440717</x:v>
      </x:c>
      <x:c r="H246" s="31" t="n">
        <x:f>E246/$D$23</x:f>
        <x:v>0.010702796337540213</x:v>
      </x:c>
      <x:c r="I246" s="31" t="n">
        <x:f>(G246+H246)/2*(F246-D246)</x:f>
        <x:v>0.3134248570905368</x:v>
      </x:c>
      <x:c r="J246" s="31" t="n">
        <x:f>(H246-G246)/2*(F246+D246)</x:f>
        <x:v>-0.0816470931812815</x:v>
      </x:c>
      <x:c r="K246" s="31" t="n">
        <x:f>(G246+H246)/2*(MAX(0,F246-$B$3)-MIN(100,D246+$B$3))</x:f>
        <x:v>0.3122892597822378</x:v>
      </x:c>
      <x:c r="L246" s="31" t="n">
        <x:f>(G246+H246)/2*(MIN(100,F246+$B$3)-MAX(0,D246-$B$3))</x:f>
        <x:v>0.3145604543988358</x:v>
      </x:c>
      <x:c r="M246" s="31" t="n">
        <x:f>IF(H246&gt;=G246,(H246-G246)/2*(MAX(0,D246-$B$3)+MAX(0,F246-$B$3)),(H246-G246)/2*(MIN(100,D246+$B$3)+MIN(100,F246+$B$3)))</x:f>
        <x:v>-0.08171241085582652</x:v>
      </x:c>
      <x:c r="N246" s="31" t="n">
        <x:f>IF(H246&gt;=G246,(H246-G246)/2*(MIN(100,D246+$B$3)+MIN(100,F246+$B$3)),(H246-G246)/2*(MAX(0,D246-$B$3)+MAX(0,F246-$B$3)))</x:f>
        <x:v>-0.08158177550673648</x:v>
      </x:c>
      <x:c r="O246" s="13" t="str">
        <x:v>I03 GP_Code!P5586/U5586; I04 Table_1!P4958/U4958</x:v>
      </x:c>
    </x:row>
    <x:row r="247" ht="24" customHeight="1">
      <x:c r="A247" s="13" t="str">
        <x:v>QUA</x:v>
      </x:c>
      <x:c r="B247" s="13" t="str">
        <x:v>M88014</x:v>
      </x:c>
      <x:c r="C247" s="13" t="n">
        <x:f>D604</x:f>
        <x:v>69</x:v>
      </x:c>
      <x:c r="D247" s="30" t="n">
        <x:f>E604</x:f>
        <x:v>91.3</x:v>
      </x:c>
      <x:c r="E247" s="13" t="n">
        <x:f>D969</x:f>
        <x:v>60</x:v>
      </x:c>
      <x:c r="F247" s="30" t="n">
        <x:f>E969</x:f>
        <x:v>80</x:v>
      </x:c>
      <x:c r="G247" s="31" t="n">
        <x:f>C247/$C$23</x:f>
        <x:v>0.004384292794510103</x:v>
      </x:c>
      <x:c r="H247" s="31" t="n">
        <x:f>E247/$D$23</x:f>
        <x:v>0.003711952487008166</x:v>
      </x:c>
      <x:c r="I247" s="31" t="n">
        <x:f>(G247+H247)/2*(F247-D247)</x:f>
        <x:v>-0.045743785840578206</x:v>
      </x:c>
      <x:c r="J247" s="31" t="n">
        <x:f>(H247-G247)/2*(F247+D247)</x:f>
        <x:v>-0.05758594733754092</x:v>
      </x:c>
      <x:c r="K247" s="31" t="n">
        <x:f>(G247+H247)/2*(MAX(0,F247-$B$3)-MIN(100,D247+$B$3))</x:f>
        <x:v>-0.0461485981046541</x:v>
      </x:c>
      <x:c r="L247" s="31" t="n">
        <x:f>(G247+H247)/2*(MIN(100,F247+$B$3)-MAX(0,D247-$B$3))</x:f>
        <x:v>-0.045338973576502316</x:v>
      </x:c>
      <x:c r="M247" s="31" t="n">
        <x:f>IF(H247&gt;=G247,(H247-G247)/2*(MAX(0,D247-$B$3)+MAX(0,F247-$B$3)),(H247-G247)/2*(MIN(100,D247+$B$3)+MIN(100,F247+$B$3)))</x:f>
        <x:v>-0.057619564352916</x:v>
      </x:c>
      <x:c r="N247" s="31" t="n">
        <x:f>IF(H247&gt;=G247,(H247-G247)/2*(MIN(100,D247+$B$3)+MIN(100,F247+$B$3)),(H247-G247)/2*(MAX(0,D247-$B$3)+MAX(0,F247-$B$3)))</x:f>
        <x:v>-0.057552330322165814</x:v>
      </x:c>
      <x:c r="O247" s="13" t="str">
        <x:v>I03 GP_Code!P5587/U5587; I04 Table_1!P4959/U4959</x:v>
      </x:c>
    </x:row>
    <x:row r="248" ht="24" customHeight="1">
      <x:c r="A248" s="13" t="str">
        <x:v>QUA</x:v>
      </x:c>
      <x:c r="B248" s="13" t="str">
        <x:v>M88015</x:v>
      </x:c>
      <x:c r="C248" s="13" t="n">
        <x:f>D605</x:f>
        <x:v>143</x:v>
      </x:c>
      <x:c r="D248" s="30" t="n">
        <x:f>E605</x:f>
        <x:v>76.2</x:v>
      </x:c>
      <x:c r="E248" s="13" t="n">
        <x:f>D970</x:f>
        <x:v>145</x:v>
      </x:c>
      <x:c r="F248" s="30" t="n">
        <x:f>E970</x:f>
        <x:v>77.2</x:v>
      </x:c>
      <x:c r="G248" s="31" t="n">
        <x:f>C248/$C$23</x:f>
        <x:v>0.009086287965433981</x:v>
      </x:c>
      <x:c r="H248" s="31" t="n">
        <x:f>E248/$D$23</x:f>
        <x:v>0.008970551843603068</x:v>
      </x:c>
      <x:c r="I248" s="31" t="n">
        <x:f>(G248+H248)/2*(F248-D248)</x:f>
        <x:v>0.009028419904518525</x:v>
      </x:c>
      <x:c r="J248" s="31" t="n">
        <x:f>(H248-G248)/2*(F248+D248)</x:f>
        <x:v>-0.008876960544431056</x:v>
      </x:c>
      <x:c r="K248" s="31" t="n">
        <x:f>(G248+H248)/2*(MAX(0,F248-$B$3)-MIN(100,D248+$B$3))</x:f>
        <x:v>0.008125577914066724</x:v>
      </x:c>
      <x:c r="L248" s="31" t="n">
        <x:f>(G248+H248)/2*(MIN(100,F248+$B$3)-MAX(0,D248-$B$3))</x:f>
        <x:v>0.009931261894970327</x:v>
      </x:c>
      <x:c r="M248" s="31" t="n">
        <x:f>IF(H248&gt;=G248,(H248-G248)/2*(MAX(0,D248-$B$3)+MAX(0,F248-$B$3)),(H248-G248)/2*(MIN(100,D248+$B$3)+MIN(100,F248+$B$3)))</x:f>
        <x:v>-0.008882747350522602</x:v>
      </x:c>
      <x:c r="N248" s="31" t="n">
        <x:f>IF(H248&gt;=G248,(H248-G248)/2*(MIN(100,D248+$B$3)+MIN(100,F248+$B$3)),(H248-G248)/2*(MAX(0,D248-$B$3)+MAX(0,F248-$B$3)))</x:f>
        <x:v>-0.00887117373833951</x:v>
      </x:c>
      <x:c r="O248" s="13" t="str">
        <x:v>I03 GP_Code!P5588/U5588; I04 Table_1!P4960/U4960</x:v>
      </x:c>
    </x:row>
    <x:row r="249" ht="24" customHeight="1">
      <x:c r="A249" s="13" t="str">
        <x:v>QUA</x:v>
      </x:c>
      <x:c r="B249" s="13" t="str">
        <x:v>M88016</x:v>
      </x:c>
      <x:c r="C249" s="13" t="n">
        <x:f>D606</x:f>
        <x:v>35</x:v>
      </x:c>
      <x:c r="D249" s="30" t="n">
        <x:f>E606</x:f>
        <x:v>91.4</x:v>
      </x:c>
      <x:c r="E249" s="13" t="n">
        <x:f>D971</x:f>
        <x:v>36</x:v>
      </x:c>
      <x:c r="F249" s="30" t="n">
        <x:f>E971</x:f>
        <x:v>75</x:v>
      </x:c>
      <x:c r="G249" s="31" t="n">
        <x:f>C249/$C$23</x:f>
        <x:v>0.002223916634896429</x:v>
      </x:c>
      <x:c r="H249" s="31" t="n">
        <x:f>E249/$D$23</x:f>
        <x:v>0.0022271714922048997</x:v>
      </x:c>
      <x:c r="I249" s="31" t="n">
        <x:f>(G249+H249)/2*(F249-D249)</x:f>
        <x:v>-0.036498922642230903</x:v>
      </x:c>
      <x:c r="J249" s="31" t="n">
        <x:f>(H249-G249)/2*(F249+D249)</x:f>
        <x:v>0.00027080412806475274</x:v>
      </x:c>
      <x:c r="K249" s="31" t="n">
        <x:f>(G249+H249)/2*(MAX(0,F249-$B$3)-MIN(100,D249+$B$3))</x:f>
        <x:v>-0.03672147704858596</x:v>
      </x:c>
      <x:c r="L249" s="31" t="n">
        <x:f>(G249+H249)/2*(MIN(100,F249+$B$3)-MAX(0,D249-$B$3))</x:f>
        <x:v>-0.03627636823587585</x:v>
      </x:c>
      <x:c r="M249" s="31" t="n">
        <x:f>IF(H249&gt;=G249,(H249-G249)/2*(MAX(0,D249-$B$3)+MAX(0,F249-$B$3)),(H249-G249)/2*(MIN(100,D249+$B$3)+MIN(100,F249+$B$3)))</x:f>
        <x:v>0.0002706413851993292</x:v>
      </x:c>
      <x:c r="N249" s="31" t="n">
        <x:f>IF(H249&gt;=G249,(H249-G249)/2*(MIN(100,D249+$B$3)+MIN(100,F249+$B$3)),(H249-G249)/2*(MAX(0,D249-$B$3)+MAX(0,F249-$B$3)))</x:f>
        <x:v>0.00027096687093017627</x:v>
      </x:c>
      <x:c r="O249" s="13" t="str">
        <x:v>I03 GP_Code!P5589/U5589; I04 Table_1!P4961/U4961</x:v>
      </x:c>
    </x:row>
    <x:row r="250" ht="24" customHeight="1">
      <x:c r="A250" s="13" t="str">
        <x:v>QUA</x:v>
      </x:c>
      <x:c r="B250" s="13" t="str">
        <x:v>M88018</x:v>
      </x:c>
      <x:c r="C250" s="13" t="n">
        <x:f>D607</x:f>
        <x:v>278</x:v>
      </x:c>
      <x:c r="D250" s="30" t="n">
        <x:f>E607</x:f>
        <x:v>77.3</x:v>
      </x:c>
      <x:c r="E250" s="13" t="n">
        <x:f>D972</x:f>
        <x:v>264</x:v>
      </x:c>
      <x:c r="F250" s="30" t="n">
        <x:f>E972</x:f>
        <x:v>75</x:v>
      </x:c>
      <x:c r="G250" s="31" t="n">
        <x:f>C250/$C$23</x:f>
        <x:v>0.017664252128605923</x:v>
      </x:c>
      <x:c r="H250" s="31" t="n">
        <x:f>E250/$D$23</x:f>
        <x:v>0.016332590942835932</x:v>
      </x:c>
      <x:c r="I250" s="31" t="n">
        <x:f>(G250+H250)/2*(F250-D250)</x:f>
        <x:v>-0.03909636953215808</x:v>
      </x:c>
      <x:c r="J250" s="31" t="n">
        <x:f>(H250-G250)/2*(F250+D250)</x:f>
        <x:v>-0.10140599929638483</x:v>
      </x:c>
      <x:c r="K250" s="31" t="n">
        <x:f>(G250+H250)/2*(MAX(0,F250-$B$3)-MIN(100,D250+$B$3))</x:f>
        <x:v>-0.040796211685730076</x:v>
      </x:c>
      <x:c r="L250" s="31" t="n">
        <x:f>(G250+H250)/2*(MIN(100,F250+$B$3)-MAX(0,D250-$B$3))</x:f>
        <x:v>-0.037396527378586085</x:v>
      </x:c>
      <x:c r="M250" s="31" t="n">
        <x:f>IF(H250&gt;=G250,(H250-G250)/2*(MAX(0,D250-$B$3)+MAX(0,F250-$B$3)),(H250-G250)/2*(MIN(100,D250+$B$3)+MIN(100,F250+$B$3)))</x:f>
        <x:v>-0.1014725823556733</x:v>
      </x:c>
      <x:c r="N250" s="31" t="n">
        <x:f>IF(H250&gt;=G250,(H250-G250)/2*(MIN(100,D250+$B$3)+MIN(100,F250+$B$3)),(H250-G250)/2*(MAX(0,D250-$B$3)+MAX(0,F250-$B$3)))</x:f>
        <x:v>-0.1013394162370963</x:v>
      </x:c>
      <x:c r="O250" s="13" t="str">
        <x:v>I03 GP_Code!P5590/U5590; I04 Table_1!P4962/U4962</x:v>
      </x:c>
    </x:row>
    <x:row r="251" ht="24" customHeight="1">
      <x:c r="A251" s="13" t="str">
        <x:v>QUA</x:v>
      </x:c>
      <x:c r="B251" s="13" t="str">
        <x:v>M88019</x:v>
      </x:c>
      <x:c r="C251" s="13" t="n">
        <x:f>D608</x:f>
        <x:v>32</x:v>
      </x:c>
      <x:c r="D251" s="30" t="n">
        <x:f>E608</x:f>
        <x:v>62.5</x:v>
      </x:c>
      <x:c r="E251" s="13" t="n">
        <x:f>D973</x:f>
        <x:v>49</x:v>
      </x:c>
      <x:c r="F251" s="30" t="n">
        <x:f>E973</x:f>
        <x:v>61.2</x:v>
      </x:c>
      <x:c r="G251" s="31" t="n">
        <x:f>C251/$C$23</x:f>
        <x:v>0.002033295209048164</x:v>
      </x:c>
      <x:c r="H251" s="31" t="n">
        <x:f>E251/$D$23</x:f>
        <x:v>0.0030314278643900025</x:v>
      </x:c>
      <x:c r="I251" s="31" t="n">
        <x:f>(G251+H251)/2*(F251-D251)</x:f>
        <x:v>-0.003292069997734801</x:v>
      </x:c>
      <x:c r="J251" s="31" t="n">
        <x:f>(H251-G251)/2*(F251+D251)</x:f>
        <x:v>0.06173450473289272</x:v>
      </x:c>
      <x:c r="K251" s="31" t="n">
        <x:f>(G251+H251)/2*(MAX(0,F251-$B$3)-MIN(100,D251+$B$3))</x:f>
        <x:v>-0.0035453061514066947</x:v>
      </x:c>
      <x:c r="L251" s="31" t="n">
        <x:f>(G251+H251)/2*(MIN(100,F251+$B$3)-MAX(0,D251-$B$3))</x:f>
        <x:v>-0.003038833844062907</x:v>
      </x:c>
      <x:c r="M251" s="31" t="n">
        <x:f>IF(H251&gt;=G251,(H251-G251)/2*(MAX(0,D251-$B$3)+MAX(0,F251-$B$3)),(H251-G251)/2*(MIN(100,D251+$B$3)+MIN(100,F251+$B$3)))</x:f>
        <x:v>0.06168459810012563</x:v>
      </x:c>
      <x:c r="N251" s="31" t="n">
        <x:f>IF(H251&gt;=G251,(H251-G251)/2*(MIN(100,D251+$B$3)+MIN(100,F251+$B$3)),(H251-G251)/2*(MAX(0,D251-$B$3)+MAX(0,F251-$B$3)))</x:f>
        <x:v>0.06178441136565981</x:v>
      </x:c>
      <x:c r="O251" s="13" t="str">
        <x:v>I03 GP_Code!P5591/U5591; I04 Table_1!P4963/U4963</x:v>
      </x:c>
    </x:row>
    <x:row r="252" ht="24" customHeight="1">
      <x:c r="A252" s="13" t="str">
        <x:v>QUA</x:v>
      </x:c>
      <x:c r="B252" s="13" t="str">
        <x:v>M88021</x:v>
      </x:c>
      <x:c r="C252" s="13" t="n">
        <x:f>D609</x:f>
        <x:v>124</x:v>
      </x:c>
      <x:c r="D252" s="30" t="n">
        <x:f>E609</x:f>
        <x:v>71</x:v>
      </x:c>
      <x:c r="E252" s="13" t="n">
        <x:f>D974</x:f>
        <x:v>125</x:v>
      </x:c>
      <x:c r="F252" s="30" t="n">
        <x:f>E974</x:f>
        <x:v>76</x:v>
      </x:c>
      <x:c r="G252" s="31" t="n">
        <x:f>C252/$C$23</x:f>
        <x:v>0.007879018935061634</x:v>
      </x:c>
      <x:c r="H252" s="31" t="n">
        <x:f>E252/$D$23</x:f>
        <x:v>0.0077332343479336796</x:v>
      </x:c>
      <x:c r="I252" s="31" t="n">
        <x:f>(G252+H252)/2*(F252-D252)</x:f>
        <x:v>0.039030633207488286</x:v>
      </x:c>
      <x:c r="J252" s="31" t="n">
        <x:f>(H252-G252)/2*(F252+D252)</x:f>
        <x:v>-0.010715167153904638</x:v>
      </x:c>
      <x:c r="K252" s="31" t="n">
        <x:f>(G252+H252)/2*(MAX(0,F252-$B$3)-MIN(100,D252+$B$3))</x:f>
        <x:v>0.038250020543338564</x:v>
      </x:c>
      <x:c r="L252" s="31" t="n">
        <x:f>(G252+H252)/2*(MIN(100,F252+$B$3)-MAX(0,D252-$B$3))</x:f>
        <x:v>0.03981124587163801</x:v>
      </x:c>
      <x:c r="M252" s="31" t="n">
        <x:f>IF(H252&gt;=G252,(H252-G252)/2*(MAX(0,D252-$B$3)+MAX(0,F252-$B$3)),(H252-G252)/2*(MIN(100,D252+$B$3)+MIN(100,F252+$B$3)))</x:f>
        <x:v>-0.010722456383261036</x:v>
      </x:c>
      <x:c r="N252" s="31" t="n">
        <x:f>IF(H252&gt;=G252,(H252-G252)/2*(MIN(100,D252+$B$3)+MIN(100,F252+$B$3)),(H252-G252)/2*(MAX(0,D252-$B$3)+MAX(0,F252-$B$3)))</x:f>
        <x:v>-0.010707877924548241</x:v>
      </x:c>
      <x:c r="O252" s="13" t="str">
        <x:v>I03 GP_Code!P5592/U5592; I04 Table_1!P4964/U4964</x:v>
      </x:c>
    </x:row>
    <x:row r="253" ht="24" customHeight="1">
      <x:c r="A253" s="13" t="str">
        <x:v>QUA</x:v>
      </x:c>
      <x:c r="B253" s="13" t="str">
        <x:v>M88022</x:v>
      </x:c>
      <x:c r="C253" s="13" t="n">
        <x:f>D610</x:f>
        <x:v>33</x:v>
      </x:c>
      <x:c r="D253" s="30" t="n">
        <x:f>E610</x:f>
        <x:v>93.9</x:v>
      </x:c>
      <x:c r="E253" s="13" t="n">
        <x:f>D975</x:f>
        <x:v>32</x:v>
      </x:c>
      <x:c r="F253" s="30" t="n">
        <x:f>E975</x:f>
        <x:v>90.6</x:v>
      </x:c>
      <x:c r="G253" s="31" t="n">
        <x:f>C253/$C$23</x:f>
        <x:v>0.0020968356843309188</x:v>
      </x:c>
      <x:c r="H253" s="31" t="n">
        <x:f>E253/$D$23</x:f>
        <x:v>0.001979707993071022</x:v>
      </x:c>
      <x:c r="I253" s="31" t="n">
        <x:f>(G253+H253)/2*(F253-D253)</x:f>
        <x:v>-0.006726297067713225</x:v>
      </x:c>
      <x:c r="J253" s="31" t="n">
        <x:f>(H253-G253)/2*(F253+D253)</x:f>
        <x:v>-0.010805029518725483</x:v>
      </x:c>
      <x:c r="K253" s="31" t="n">
        <x:f>(G253+H253)/2*(MAX(0,F253-$B$3)-MIN(100,D253+$B$3))</x:f>
        <x:v>-0.00693012425158331</x:v>
      </x:c>
      <x:c r="L253" s="31" t="n">
        <x:f>(G253+H253)/2*(MIN(100,F253+$B$3)-MAX(0,D253-$B$3))</x:f>
        <x:v>-0.006522469883843139</x:v>
      </x:c>
      <x:c r="M253" s="31" t="n">
        <x:f>IF(H253&gt;=G253,(H253-G253)/2*(MAX(0,D253-$B$3)+MAX(0,F253-$B$3)),(H253-G253)/2*(MIN(100,D253+$B$3)+MIN(100,F253+$B$3)))</x:f>
        <x:v>-0.010810885903288478</x:v>
      </x:c>
      <x:c r="N253" s="31" t="n">
        <x:f>IF(H253&gt;=G253,(H253-G253)/2*(MIN(100,D253+$B$3)+MIN(100,F253+$B$3)),(H253-G253)/2*(MAX(0,D253-$B$3)+MAX(0,F253-$B$3)))</x:f>
        <x:v>-0.010799173134162489</x:v>
      </x:c>
      <x:c r="O253" s="13" t="str">
        <x:v>I03 GP_Code!P5593/U5593; I04 Table_1!P4965/U4965</x:v>
      </x:c>
    </x:row>
    <x:row r="254" ht="24" customHeight="1">
      <x:c r="A254" s="13" t="str">
        <x:v>QUA</x:v>
      </x:c>
      <x:c r="B254" s="13" t="str">
        <x:v>M88023</x:v>
      </x:c>
      <x:c r="C254" s="13" t="n">
        <x:f>D611</x:f>
        <x:v>61</x:v>
      </x:c>
      <x:c r="D254" s="30" t="n">
        <x:f>E611</x:f>
        <x:v>95.1</x:v>
      </x:c>
      <x:c r="E254" s="13" t="n">
        <x:f>D976</x:f>
        <x:v>82</x:v>
      </x:c>
      <x:c r="F254" s="30" t="n">
        <x:f>E976</x:f>
        <x:v>92.7</x:v>
      </x:c>
      <x:c r="G254" s="31" t="n">
        <x:f>C254/$C$23</x:f>
        <x:v>0.003875968992248062</x:v>
      </x:c>
      <x:c r="H254" s="31" t="n">
        <x:f>E254/$D$23</x:f>
        <x:v>0.005073001732244494</x:v>
      </x:c>
      <x:c r="I254" s="31" t="n">
        <x:f>(G254+H254)/2*(F254-D254)</x:f>
        <x:v>-0.01073876486939103</x:v>
      </x:c>
      <x:c r="J254" s="31" t="n">
        <x:f>(H254-G254)/2*(F254+D254)</x:f>
        <x:v>0.11240137428566496</x:v>
      </x:c>
      <x:c r="K254" s="31" t="n">
        <x:f>(G254+H254)/2*(MAX(0,F254-$B$3)-MIN(100,D254+$B$3))</x:f>
        <x:v>-0.011186213405615632</x:v>
      </x:c>
      <x:c r="L254" s="31" t="n">
        <x:f>(G254+H254)/2*(MIN(100,F254+$B$3)-MAX(0,D254-$B$3))</x:f>
        <x:v>-0.010291316333166427</x:v>
      </x:c>
      <x:c r="M254" s="31" t="n">
        <x:f>IF(H254&gt;=G254,(H254-G254)/2*(MAX(0,D254-$B$3)+MAX(0,F254-$B$3)),(H254-G254)/2*(MIN(100,D254+$B$3)+MIN(100,F254+$B$3)))</x:f>
        <x:v>0.11234152264866513</x:v>
      </x:c>
      <x:c r="N254" s="31" t="n">
        <x:f>IF(H254&gt;=G254,(H254-G254)/2*(MIN(100,D254+$B$3)+MIN(100,F254+$B$3)),(H254-G254)/2*(MAX(0,D254-$B$3)+MAX(0,F254-$B$3)))</x:f>
        <x:v>0.11246122592266478</x:v>
      </x:c>
      <x:c r="O254" s="13" t="str">
        <x:v>I03 GP_Code!P5594/U5594; I04 Table_1!P4966/U4966</x:v>
      </x:c>
    </x:row>
    <x:row r="255" ht="24" customHeight="1">
      <x:c r="A255" s="13" t="str">
        <x:v>QUA</x:v>
      </x:c>
      <x:c r="B255" s="13" t="str">
        <x:v>M88026</x:v>
      </x:c>
      <x:c r="C255" s="13" t="n">
        <x:f>D612</x:f>
        <x:v>79</x:v>
      </x:c>
      <x:c r="D255" s="30" t="n">
        <x:f>E612</x:f>
        <x:v>86.1</x:v>
      </x:c>
      <x:c r="E255" s="13" t="n">
        <x:f>D977</x:f>
        <x:v>77</x:v>
      </x:c>
      <x:c r="F255" s="30" t="n">
        <x:f>E977</x:f>
        <x:v>84.4</x:v>
      </x:c>
      <x:c r="G255" s="31" t="n">
        <x:f>C255/$C$23</x:f>
        <x:v>0.005019697547337654</x:v>
      </x:c>
      <x:c r="H255" s="31" t="n">
        <x:f>E255/$D$23</x:f>
        <x:v>0.004763672358327147</x:v>
      </x:c>
      <x:c r="I255" s="31" t="n">
        <x:f>(G255+H255)/2*(F255-D255)</x:f>
        <x:v>-0.008315864419815024</x:v>
      </x:c>
      <x:c r="J255" s="31" t="n">
        <x:f>(H255-G255)/2*(F255+D255)</x:f>
        <x:v>-0.02182614736314579</x:v>
      </x:c>
      <x:c r="K255" s="31" t="n">
        <x:f>(G255+H255)/2*(MAX(0,F255-$B$3)-MIN(100,D255+$B$3))</x:f>
        <x:v>-0.008805032915098238</x:v>
      </x:c>
      <x:c r="L255" s="31" t="n">
        <x:f>(G255+H255)/2*(MIN(100,F255+$B$3)-MAX(0,D255-$B$3))</x:f>
        <x:v>-0.007826695924531812</x:v>
      </x:c>
      <x:c r="M255" s="31" t="n">
        <x:f>IF(H255&gt;=G255,(H255-G255)/2*(MAX(0,D255-$B$3)+MAX(0,F255-$B$3)),(H255-G255)/2*(MIN(100,D255+$B$3)+MIN(100,F255+$B$3)))</x:f>
        <x:v>-0.02183894862259631</x:v>
      </x:c>
      <x:c r="N255" s="31" t="n">
        <x:f>IF(H255&gt;=G255,(H255-G255)/2*(MIN(100,D255+$B$3)+MIN(100,F255+$B$3)),(H255-G255)/2*(MAX(0,D255-$B$3)+MAX(0,F255-$B$3)))</x:f>
        <x:v>-0.02181334610369526</x:v>
      </x:c>
      <x:c r="O255" s="13" t="str">
        <x:v>I03 GP_Code!P5595/U5595; I04 Table_1!P4967/U4967</x:v>
      </x:c>
    </x:row>
    <x:row r="256" ht="24" customHeight="1">
      <x:c r="A256" s="13" t="str">
        <x:v>QUA</x:v>
      </x:c>
      <x:c r="B256" s="13" t="str">
        <x:v>M88030</x:v>
      </x:c>
      <x:c r="C256" s="13" t="n">
        <x:f>D613</x:f>
        <x:v>66</x:v>
      </x:c>
      <x:c r="D256" s="30" t="n">
        <x:f>E613</x:f>
        <x:v>95.5</x:v>
      </x:c>
      <x:c r="E256" s="13" t="n">
        <x:f>D978</x:f>
        <x:v>62</x:v>
      </x:c>
      <x:c r="F256" s="30" t="n">
        <x:f>E978</x:f>
        <x:v>93.5</x:v>
      </x:c>
      <x:c r="G256" s="31" t="n">
        <x:f>C256/$C$23</x:f>
        <x:v>0.0041936713686618375</x:v>
      </x:c>
      <x:c r="H256" s="31" t="n">
        <x:f>E256/$D$23</x:f>
        <x:v>0.0038356842365751052</x:v>
      </x:c>
      <x:c r="I256" s="31" t="n">
        <x:f>(G256+H256)/2*(F256-D256)</x:f>
        <x:v>-0.008029355605236942</x:v>
      </x:c>
      <x:c r="J256" s="31" t="n">
        <x:f>(H256-G256)/2*(F256+D256)</x:f>
        <x:v>-0.0338297839821962</x:v>
      </x:c>
      <x:c r="K256" s="31" t="n">
        <x:f>(G256+H256)/2*(MAX(0,F256-$B$3)-MIN(100,D256+$B$3))</x:f>
        <x:v>-0.008430823385498767</x:v>
      </x:c>
      <x:c r="L256" s="31" t="n">
        <x:f>(G256+H256)/2*(MIN(100,F256+$B$3)-MAX(0,D256-$B$3))</x:f>
        <x:v>-0.0076278878249751185</x:v>
      </x:c>
      <x:c r="M256" s="31" t="n">
        <x:f>IF(H256&gt;=G256,(H256-G256)/2*(MAX(0,D256-$B$3)+MAX(0,F256-$B$3)),(H256-G256)/2*(MIN(100,D256+$B$3)+MIN(100,F256+$B$3)))</x:f>
        <x:v>-0.03384768333880054</x:v>
      </x:c>
      <x:c r="N256" s="31" t="n">
        <x:f>IF(H256&gt;=G256,(H256-G256)/2*(MIN(100,D256+$B$3)+MIN(100,F256+$B$3)),(H256-G256)/2*(MAX(0,D256-$B$3)+MAX(0,F256-$B$3)))</x:f>
        <x:v>-0.03381188462559187</x:v>
      </x:c>
      <x:c r="O256" s="13" t="str">
        <x:v>I03 GP_Code!P5596/U5596; I04 Table_1!P4968/U4968</x:v>
      </x:c>
    </x:row>
    <x:row r="257" ht="24" customHeight="1">
      <x:c r="A257" s="13" t="str">
        <x:v>QUA</x:v>
      </x:c>
      <x:c r="B257" s="13" t="str">
        <x:v>M88031</x:v>
      </x:c>
      <x:c r="C257" s="13" t="n">
        <x:f>D614</x:f>
        <x:v>49</x:v>
      </x:c>
      <x:c r="D257" s="30" t="n">
        <x:f>E614</x:f>
        <x:v>81.6</x:v>
      </x:c>
      <x:c r="E257" s="13" t="n">
        <x:f>D979</x:f>
        <x:v>42</x:v>
      </x:c>
      <x:c r="F257" s="30" t="n">
        <x:f>E979</x:f>
        <x:v>85.7</x:v>
      </x:c>
      <x:c r="G257" s="31" t="n">
        <x:f>C257/$C$23</x:f>
        <x:v>0.0031134832888550005</x:v>
      </x:c>
      <x:c r="H257" s="31" t="n">
        <x:f>E257/$D$23</x:f>
        <x:v>0.0025983667409057165</x:v>
      </x:c>
      <x:c r="I257" s="31" t="n">
        <x:f>(G257+H257)/2*(F257-D257)</x:f>
        <x:v>0.011709292561009495</x:v>
      </x:c>
      <x:c r="J257" s="31" t="n">
        <x:f>(H257-G257)/2*(F257+D257)</x:f>
        <x:v>-0.043089499235957604</x:v>
      </x:c>
      <x:c r="K257" s="31" t="n">
        <x:f>(G257+H257)/2*(MAX(0,F257-$B$3)-MIN(100,D257+$B$3))</x:f>
        <x:v>0.011423700059521475</x:v>
      </x:c>
      <x:c r="L257" s="31" t="n">
        <x:f>(G257+H257)/2*(MIN(100,F257+$B$3)-MAX(0,D257-$B$3))</x:f>
        <x:v>0.011994885062497514</x:v>
      </x:c>
      <x:c r="M257" s="31" t="n">
        <x:f>IF(H257&gt;=G257,(H257-G257)/2*(MAX(0,D257-$B$3)+MAX(0,F257-$B$3)),(H257-G257)/2*(MIN(100,D257+$B$3)+MIN(100,F257+$B$3)))</x:f>
        <x:v>-0.04311525506335506</x:v>
      </x:c>
      <x:c r="N257" s="31" t="n">
        <x:f>IF(H257&gt;=G257,(H257-G257)/2*(MIN(100,D257+$B$3)+MIN(100,F257+$B$3)),(H257-G257)/2*(MAX(0,D257-$B$3)+MAX(0,F257-$B$3)))</x:f>
        <x:v>-0.04306374340856014</x:v>
      </x:c>
      <x:c r="O257" s="13" t="str">
        <x:v>I03 GP_Code!P5597/U5597; I04 Table_1!P4969/U4969</x:v>
      </x:c>
    </x:row>
    <x:row r="258" ht="24" customHeight="1">
      <x:c r="A258" s="13" t="str">
        <x:v>QUA</x:v>
      </x:c>
      <x:c r="B258" s="13" t="str">
        <x:v>M88035</x:v>
      </x:c>
      <x:c r="C258" s="13" t="n">
        <x:f>D615</x:f>
        <x:v>47</x:v>
      </x:c>
      <x:c r="D258" s="30" t="n">
        <x:f>E615</x:f>
        <x:v>76.6</x:v>
      </x:c>
      <x:c r="E258" s="13" t="n">
        <x:f>D980</x:f>
        <x:v>45</x:v>
      </x:c>
      <x:c r="F258" s="30" t="n">
        <x:f>E980</x:f>
        <x:v>77.8</x:v>
      </x:c>
      <x:c r="G258" s="31" t="n">
        <x:f>C258/$C$23</x:f>
        <x:v>0.0029864023382894906</x:v>
      </x:c>
      <x:c r="H258" s="31" t="n">
        <x:f>E258/$D$23</x:f>
        <x:v>0.0027839643652561247</x:v>
      </x:c>
      <x:c r="I258" s="31" t="n">
        <x:f>(G258+H258)/2*(F258-D258)</x:f>
        <x:v>0.003462220022127377</x:v>
      </x:c>
      <x:c r="J258" s="31" t="n">
        <x:f>(H258-G258)/2*(F258+D258)</x:f>
        <x:v>-0.015628211518175842</x:v>
      </x:c>
      <x:c r="K258" s="31" t="n">
        <x:f>(G258+H258)/2*(MAX(0,F258-$B$3)-MIN(100,D258+$B$3))</x:f>
        <x:v>0.003173701686950113</x:v>
      </x:c>
      <x:c r="L258" s="31" t="n">
        <x:f>(G258+H258)/2*(MIN(100,F258+$B$3)-MAX(0,D258-$B$3))</x:f>
        <x:v>0.0037507383573046416</x:v>
      </x:c>
      <x:c r="M258" s="31" t="n">
        <x:f>IF(H258&gt;=G258,(H258-G258)/2*(MAX(0,D258-$B$3)+MAX(0,F258-$B$3)),(H258-G258)/2*(MIN(100,D258+$B$3)+MIN(100,F258+$B$3)))</x:f>
        <x:v>-0.015638333416827514</x:v>
      </x:c>
      <x:c r="N258" s="31" t="n">
        <x:f>IF(H258&gt;=G258,(H258-G258)/2*(MIN(100,D258+$B$3)+MIN(100,F258+$B$3)),(H258-G258)/2*(MAX(0,D258-$B$3)+MAX(0,F258-$B$3)))</x:f>
        <x:v>-0.015618089619524178</x:v>
      </x:c>
      <x:c r="O258" s="13" t="str">
        <x:v>I03 GP_Code!P5598/U5598; I04 Table_1!P4970/U4970</x:v>
      </x:c>
    </x:row>
    <x:row r="259" ht="24" customHeight="1">
      <x:c r="A259" s="13" t="str">
        <x:v>QUA</x:v>
      </x:c>
      <x:c r="B259" s="13" t="str">
        <x:v>M88038</x:v>
      </x:c>
      <x:c r="C259" s="13" t="n">
        <x:f>D616</x:f>
        <x:v>151</x:v>
      </x:c>
      <x:c r="D259" s="30" t="n">
        <x:f>E616</x:f>
        <x:v>84.8</x:v>
      </x:c>
      <x:c r="E259" s="13" t="n">
        <x:f>D981</x:f>
        <x:v>151</x:v>
      </x:c>
      <x:c r="F259" s="30" t="n">
        <x:f>E981</x:f>
        <x:v>75.5</x:v>
      </x:c>
      <x:c r="G259" s="31" t="n">
        <x:f>C259/$C$23</x:f>
        <x:v>0.009594611767696022</x:v>
      </x:c>
      <x:c r="H259" s="31" t="n">
        <x:f>E259/$D$23</x:f>
        <x:v>0.009341747092303886</x:v>
      </x:c>
      <x:c r="I259" s="31" t="n">
        <x:f>(G259+H259)/2*(F259-D259)</x:f>
        <x:v>-0.08805406869899955</x:v>
      </x:c>
      <x:c r="J259" s="31" t="n">
        <x:f>(H259-G259)/2*(F259+D259)</x:f>
        <x:v>-0.020267103732679745</x:v>
      </x:c>
      <x:c r="K259" s="31" t="n">
        <x:f>(G259+H259)/2*(MAX(0,F259-$B$3)-MIN(100,D259+$B$3))</x:f>
        <x:v>-0.08900088664199948</x:v>
      </x:c>
      <x:c r="L259" s="31" t="n">
        <x:f>(G259+H259)/2*(MIN(100,F259+$B$3)-MAX(0,D259-$B$3))</x:f>
        <x:v>-0.08710725075599961</x:v>
      </x:c>
      <x:c r="M259" s="31" t="n">
        <x:f>IF(H259&gt;=G259,(H259-G259)/2*(MAX(0,D259-$B$3)+MAX(0,F259-$B$3)),(H259-G259)/2*(MIN(100,D259+$B$3)+MIN(100,F259+$B$3)))</x:f>
        <x:v>-0.020279746966449345</x:v>
      </x:c>
      <x:c r="N259" s="31" t="n">
        <x:f>IF(H259&gt;=G259,(H259-G259)/2*(MIN(100,D259+$B$3)+MIN(100,F259+$B$3)),(H259-G259)/2*(MAX(0,D259-$B$3)+MAX(0,F259-$B$3)))</x:f>
        <x:v>-0.020254460498910134</x:v>
      </x:c>
      <x:c r="O259" s="13" t="str">
        <x:v>I03 GP_Code!P5599/U5599; I04 Table_1!P4971/U4971</x:v>
      </x:c>
    </x:row>
    <x:row r="260" ht="24" customHeight="1">
      <x:c r="A260" s="13" t="str">
        <x:v>QUA</x:v>
      </x:c>
      <x:c r="B260" s="13" t="str">
        <x:v>M88040</x:v>
      </x:c>
      <x:c r="C260" s="13" t="n">
        <x:f>D617</x:f>
        <x:v>91</x:v>
      </x:c>
      <x:c r="D260" s="30" t="n">
        <x:f>E617</x:f>
        <x:v>94.5</x:v>
      </x:c>
      <x:c r="E260" s="13" t="n">
        <x:f>D982</x:f>
        <x:v>77</x:v>
      </x:c>
      <x:c r="F260" s="30" t="n">
        <x:f>E982</x:f>
        <x:v>75.3</x:v>
      </x:c>
      <x:c r="G260" s="31" t="n">
        <x:f>C260/$C$23</x:f>
        <x:v>0.0057821832507307155</x:v>
      </x:c>
      <x:c r="H260" s="31" t="n">
        <x:f>E260/$D$23</x:f>
        <x:v>0.004763672358327147</x:v>
      </x:c>
      <x:c r="I260" s="31" t="n">
        <x:f>(G260+H260)/2*(F260-D260)</x:f>
        <x:v>-0.1012402138469555</x:v>
      </x:c>
      <x:c r="J260" s="31" t="n">
        <x:f>(H260-G260)/2*(F260+D260)</x:f>
        <x:v>-0.086471574765063</x:v>
      </x:c>
      <x:c r="K260" s="31" t="n">
        <x:f>(G260+H260)/2*(MAX(0,F260-$B$3)-MIN(100,D260+$B$3))</x:f>
        <x:v>-0.10176750662740837</x:v>
      </x:c>
      <x:c r="L260" s="31" t="n">
        <x:f>(G260+H260)/2*(MIN(100,F260+$B$3)-MAX(0,D260-$B$3))</x:f>
        <x:v>-0.10071292106650263</x:v>
      </x:c>
      <x:c r="M260" s="31" t="n">
        <x:f>IF(H260&gt;=G260,(H260-G260)/2*(MAX(0,D260-$B$3)+MAX(0,F260-$B$3)),(H260-G260)/2*(MIN(100,D260+$B$3)+MIN(100,F260+$B$3)))</x:f>
        <x:v>-0.08652250030968316</x:v>
      </x:c>
      <x:c r="N260" s="31" t="n">
        <x:f>IF(H260&gt;=G260,(H260-G260)/2*(MIN(100,D260+$B$3)+MIN(100,F260+$B$3)),(H260-G260)/2*(MAX(0,D260-$B$3)+MAX(0,F260-$B$3)))</x:f>
        <x:v>-0.0864206492204428</x:v>
      </x:c>
      <x:c r="O260" s="13" t="str">
        <x:v>I03 GP_Code!P5600/U5600; I04 Table_1!P4972/U4972</x:v>
      </x:c>
    </x:row>
    <x:row r="261" ht="24" customHeight="1">
      <x:c r="A261" s="13" t="str">
        <x:v>QUA</x:v>
      </x:c>
      <x:c r="B261" s="13" t="str">
        <x:v>M88041</x:v>
      </x:c>
      <x:c r="C261" s="13" t="n">
        <x:f>D618</x:f>
        <x:v>59</x:v>
      </x:c>
      <x:c r="D261" s="30" t="n">
        <x:f>E618</x:f>
        <x:v>89.8</x:v>
      </x:c>
      <x:c r="E261" s="13" t="n">
        <x:f>D983</x:f>
        <x:v>46</x:v>
      </x:c>
      <x:c r="F261" s="30" t="n">
        <x:f>E983</x:f>
        <x:v>91.3</x:v>
      </x:c>
      <x:c r="G261" s="31" t="n">
        <x:f>C261/$C$23</x:f>
        <x:v>0.0037488880416825516</x:v>
      </x:c>
      <x:c r="H261" s="31" t="n">
        <x:f>E261/$D$23</x:f>
        <x:v>0.0028458302400395943</x:v>
      </x:c>
      <x:c r="I261" s="31" t="n">
        <x:f>(G261+H261)/2*(F261-D261)</x:f>
        <x:v>0.00494603871129161</x:v>
      </x:c>
      <x:c r="J261" s="31" t="n">
        <x:f>(H261-G261)/2*(F261+D261)</x:f>
        <x:v>-0.08177188393876979</x:v>
      </x:c>
      <x:c r="K261" s="31" t="n">
        <x:f>(G261+H261)/2*(MAX(0,F261-$B$3)-MIN(100,D261+$B$3))</x:f>
        <x:v>0.004616302797205521</x:v>
      </x:c>
      <x:c r="L261" s="31" t="n">
        <x:f>(G261+H261)/2*(MIN(100,F261+$B$3)-MAX(0,D261-$B$3))</x:f>
        <x:v>0.005275774625377698</x:v>
      </x:c>
      <x:c r="M261" s="31" t="n">
        <x:f>IF(H261&gt;=G261,(H261-G261)/2*(MAX(0,D261-$B$3)+MAX(0,F261-$B$3)),(H261-G261)/2*(MIN(100,D261+$B$3)+MIN(100,F261+$B$3)))</x:f>
        <x:v>-0.08181703682885194</x:v>
      </x:c>
      <x:c r="N261" s="31" t="n">
        <x:f>IF(H261&gt;=G261,(H261-G261)/2*(MIN(100,D261+$B$3)+MIN(100,F261+$B$3)),(H261-G261)/2*(MAX(0,D261-$B$3)+MAX(0,F261-$B$3)))</x:f>
        <x:v>-0.08172673104868765</x:v>
      </x:c>
      <x:c r="O261" s="13" t="str">
        <x:v>I03 GP_Code!P5601/U5601; I04 Table_1!P4973/U4973</x:v>
      </x:c>
    </x:row>
    <x:row r="262" ht="24" customHeight="1">
      <x:c r="A262" s="13" t="str">
        <x:v>QUA</x:v>
      </x:c>
      <x:c r="B262" s="13" t="str">
        <x:v>M88042</x:v>
      </x:c>
      <x:c r="C262" s="13" t="n">
        <x:f>D619</x:f>
        <x:v>51</x:v>
      </x:c>
      <x:c r="D262" s="30" t="n">
        <x:f>E619</x:f>
        <x:v>84.3</x:v>
      </x:c>
      <x:c r="E262" s="13" t="n">
        <x:f>D984</x:f>
        <x:v>68</x:v>
      </x:c>
      <x:c r="F262" s="30" t="n">
        <x:f>E984</x:f>
        <x:v>77.9</x:v>
      </x:c>
      <x:c r="G262" s="31" t="n">
        <x:f>C262/$C$23</x:f>
        <x:v>0.003240564239420511</x:v>
      </x:c>
      <x:c r="H262" s="31" t="n">
        <x:f>E262/$D$23</x:f>
        <x:v>0.004206879485275922</x:v>
      </x:c>
      <x:c r="I262" s="31" t="n">
        <x:f>(G262+H262)/2*(F262-D262)</x:f>
        <x:v>-0.023831819919028552</x:v>
      </x:c>
      <x:c r="J262" s="31" t="n">
        <x:f>(H262-G262)/2*(F262+D262)</x:f>
        <x:v>0.07836816643887384</x:v>
      </x:c>
      <x:c r="K262" s="31" t="n">
        <x:f>(G262+H262)/2*(MAX(0,F262-$B$3)-MIN(100,D262+$B$3))</x:f>
        <x:v>-0.024204192105263353</x:v>
      </x:c>
      <x:c r="L262" s="31" t="n">
        <x:f>(G262+H262)/2*(MIN(100,F262+$B$3)-MAX(0,D262-$B$3))</x:f>
        <x:v>-0.023459447732793754</x:v>
      </x:c>
      <x:c r="M262" s="31" t="n">
        <x:f>IF(H262&gt;=G262,(H262-G262)/2*(MAX(0,D262-$B$3)+MAX(0,F262-$B$3)),(H262-G262)/2*(MIN(100,D262+$B$3)+MIN(100,F262+$B$3)))</x:f>
        <x:v>0.0783198506765811</x:v>
      </x:c>
      <x:c r="N262" s="31" t="n">
        <x:f>IF(H262&gt;=G262,(H262-G262)/2*(MIN(100,D262+$B$3)+MIN(100,F262+$B$3)),(H262-G262)/2*(MAX(0,D262-$B$3)+MAX(0,F262-$B$3)))</x:f>
        <x:v>0.07841648220116663</x:v>
      </x:c>
      <x:c r="O262" s="13" t="str">
        <x:v>I03 GP_Code!P5602/U5602; I04 Table_1!P4974/U4974</x:v>
      </x:c>
    </x:row>
    <x:row r="263" ht="24" customHeight="1">
      <x:c r="A263" s="13" t="str">
        <x:v>QUA</x:v>
      </x:c>
      <x:c r="B263" s="13" t="str">
        <x:v>M88043</x:v>
      </x:c>
      <x:c r="C263" s="13" t="n">
        <x:f>D620</x:f>
        <x:v>88</x:v>
      </x:c>
      <x:c r="D263" s="30" t="n">
        <x:f>E620</x:f>
        <x:v>93.2</x:v>
      </x:c>
      <x:c r="E263" s="13" t="n">
        <x:f>D985</x:f>
        <x:v>115</x:v>
      </x:c>
      <x:c r="F263" s="30" t="n">
        <x:f>E985</x:f>
        <x:v>87</x:v>
      </x:c>
      <x:c r="G263" s="31" t="n">
        <x:f>C263/$C$23</x:f>
        <x:v>0.00559156182488245</x:v>
      </x:c>
      <x:c r="H263" s="31" t="n">
        <x:f>E263/$D$23</x:f>
        <x:v>0.007114575600098985</x:v>
      </x:c>
      <x:c r="I263" s="31" t="n">
        <x:f>(G263+H263)/2*(F263-D263)</x:f>
        <x:v>-0.039389026017442465</x:v>
      </x:c>
      <x:c r="J263" s="31" t="n">
        <x:f>(H263-G263)/2*(F263+D263)</x:f>
        <x:v>0.13722354114700983</x:v>
      </x:c>
      <x:c r="K263" s="31" t="n">
        <x:f>(G263+H263)/2*(MAX(0,F263-$B$3)-MIN(100,D263+$B$3))</x:f>
        <x:v>-0.0400243328886915</x:v>
      </x:c>
      <x:c r="L263" s="31" t="n">
        <x:f>(G263+H263)/2*(MIN(100,F263+$B$3)-MAX(0,D263-$B$3))</x:f>
        <x:v>-0.03875371914619343</x:v>
      </x:c>
      <x:c r="M263" s="31" t="n">
        <x:f>IF(H263&gt;=G263,(H263-G263)/2*(MAX(0,D263-$B$3)+MAX(0,F263-$B$3)),(H263-G263)/2*(MIN(100,D263+$B$3)+MIN(100,F263+$B$3)))</x:f>
        <x:v>0.137147390458249</x:v>
      </x:c>
      <x:c r="N263" s="31" t="n">
        <x:f>IF(H263&gt;=G263,(H263-G263)/2*(MIN(100,D263+$B$3)+MIN(100,F263+$B$3)),(H263-G263)/2*(MAX(0,D263-$B$3)+MAX(0,F263-$B$3)))</x:f>
        <x:v>0.13729969183577065</x:v>
      </x:c>
      <x:c r="O263" s="13" t="str">
        <x:v>I03 GP_Code!P5603/U5603; I04 Table_1!P4975/U4975</x:v>
      </x:c>
    </x:row>
    <x:row r="264" ht="24" customHeight="1">
      <x:c r="A264" s="13" t="str">
        <x:v>QUA</x:v>
      </x:c>
      <x:c r="B264" s="13" t="str">
        <x:v>M88600</x:v>
      </x:c>
      <x:c r="C264" s="13" t="n">
        <x:f>D622</x:f>
        <x:v>59</x:v>
      </x:c>
      <x:c r="D264" s="30" t="n">
        <x:f>E622</x:f>
        <x:v>86.4</x:v>
      </x:c>
      <x:c r="E264" s="13" t="n">
        <x:f>D986</x:f>
        <x:v>66</x:v>
      </x:c>
      <x:c r="F264" s="30" t="n">
        <x:f>E986</x:f>
        <x:v>84.8</x:v>
      </x:c>
      <x:c r="G264" s="31" t="n">
        <x:f>C264/$C$23</x:f>
        <x:v>0.0037488880416825516</x:v>
      </x:c>
      <x:c r="H264" s="31" t="n">
        <x:f>E264/$D$23</x:f>
        <x:v>0.004083147735708983</x:v>
      </x:c>
      <x:c r="I264" s="31" t="n">
        <x:f>(G264+H264)/2*(F264-D264)</x:f>
        <x:v>-0.006265628621913261</x:v>
      </x:c>
      <x:c r="J264" s="31" t="n">
        <x:f>(H264-G264)/2*(F264+D264)</x:f>
        <x:v>0.02861262980866252</x:v>
      </x:c>
      <x:c r="K264" s="31" t="n">
        <x:f>(G264+H264)/2*(MAX(0,F264-$B$3)-MIN(100,D264+$B$3))</x:f>
        <x:v>-0.006657230410782815</x:v>
      </x:c>
      <x:c r="L264" s="31" t="n">
        <x:f>(G264+H264)/2*(MIN(100,F264+$B$3)-MAX(0,D264-$B$3))</x:f>
        <x:v>-0.005874026833043706</x:v>
      </x:c>
      <x:c r="M264" s="31" t="n">
        <x:f>IF(H264&gt;=G264,(H264-G264)/2*(MAX(0,D264-$B$3)+MAX(0,F264-$B$3)),(H264-G264)/2*(MIN(100,D264+$B$3)+MIN(100,F264+$B$3)))</x:f>
        <x:v>0.028595916823961204</x:v>
      </x:c>
      <x:c r="N264" s="31" t="n">
        <x:f>IF(H264&gt;=G264,(H264-G264)/2*(MIN(100,D264+$B$3)+MIN(100,F264+$B$3)),(H264-G264)/2*(MAX(0,D264-$B$3)+MAX(0,F264-$B$3)))</x:f>
        <x:v>0.028629342793363845</x:v>
      </x:c>
      <x:c r="O264" s="13" t="str">
        <x:v>I03 GP_Code!P5605/U5605; I04 Table_1!P4976/U4976</x:v>
      </x:c>
    </x:row>
    <x:row r="265" ht="24" customHeight="1">
      <x:c r="A265" s="13" t="str">
        <x:v>QUA</x:v>
      </x:c>
      <x:c r="B265" s="13" t="str">
        <x:v>M88610</x:v>
      </x:c>
      <x:c r="C265" s="13" t="n">
        <x:f>D623</x:f>
        <x:v>64</x:v>
      </x:c>
      <x:c r="D265" s="30" t="n">
        <x:f>E623</x:f>
        <x:v>84.4</x:v>
      </x:c>
      <x:c r="E265" s="13" t="n">
        <x:f>D987</x:f>
        <x:v>73</x:v>
      </x:c>
      <x:c r="F265" s="30" t="n">
        <x:f>E987</x:f>
        <x:v>79.5</x:v>
      </x:c>
      <x:c r="G265" s="31" t="n">
        <x:f>C265/$C$23</x:f>
        <x:v>0.004066590418096328</x:v>
      </x:c>
      <x:c r="H265" s="31" t="n">
        <x:f>E265/$D$23</x:f>
        <x:v>0.004516208859193269</x:v>
      </x:c>
      <x:c r="I265" s="31" t="n">
        <x:f>(G265+H265)/2*(F265-D265)</x:f>
        <x:v>-0.021027858229359535</x:v>
      </x:c>
      <x:c r="J265" s="31" t="n">
        <x:f>(H265-G265)/2*(F265+D265)</x:f>
        <x:v>0.03684623124789437</x:v>
      </x:c>
      <x:c r="K265" s="31" t="n">
        <x:f>(G265+H265)/2*(MAX(0,F265-$B$3)-MIN(100,D265+$B$3))</x:f>
        <x:v>-0.02145699819322399</x:v>
      </x:c>
      <x:c r="L265" s="31" t="n">
        <x:f>(G265+H265)/2*(MIN(100,F265+$B$3)-MAX(0,D265-$B$3))</x:f>
        <x:v>-0.02059871826549508</x:v>
      </x:c>
      <x:c r="M265" s="31" t="n">
        <x:f>IF(H265&gt;=G265,(H265-G265)/2*(MAX(0,D265-$B$3)+MAX(0,F265-$B$3)),(H265-G265)/2*(MIN(100,D265+$B$3)+MIN(100,F265+$B$3)))</x:f>
        <x:v>0.036823750325839524</x:v>
      </x:c>
      <x:c r="N265" s="31" t="n">
        <x:f>IF(H265&gt;=G265,(H265-G265)/2*(MIN(100,D265+$B$3)+MIN(100,F265+$B$3)),(H265-G265)/2*(MAX(0,D265-$B$3)+MAX(0,F265-$B$3)))</x:f>
        <x:v>0.03686871216994922</x:v>
      </x:c>
      <x:c r="O265" s="13" t="str">
        <x:v>I03 GP_Code!P5606/U5606; I04 Table_1!P4977/U4977</x:v>
      </x:c>
    </x:row>
    <x:row r="266" ht="24" customHeight="1">
      <x:c r="A266" s="13" t="str">
        <x:v>QUA</x:v>
      </x:c>
      <x:c r="B266" s="13" t="str">
        <x:v>M88612</x:v>
      </x:c>
      <x:c r="C266" s="13" t="n">
        <x:f>D624</x:f>
        <x:v>42</x:v>
      </x:c>
      <x:c r="D266" s="30" t="n">
        <x:f>E624</x:f>
        <x:v>95.2</x:v>
      </x:c>
      <x:c r="E266" s="13" t="n">
        <x:f>D988</x:f>
        <x:v>42</x:v>
      </x:c>
      <x:c r="F266" s="30" t="n">
        <x:f>E988</x:f>
        <x:v>83.3</x:v>
      </x:c>
      <x:c r="G266" s="31" t="n">
        <x:f>C266/$C$23</x:f>
        <x:v>0.002668699961875715</x:v>
      </x:c>
      <x:c r="H266" s="31" t="n">
        <x:f>E266/$D$23</x:f>
        <x:v>0.0025983667409057165</x:v>
      </x:c>
      <x:c r="I266" s="31" t="n">
        <x:f>(G266+H266)/2*(F266-D266)</x:f>
        <x:v>-0.03133904688154953</x:v>
      </x:c>
      <x:c r="J266" s="31" t="n">
        <x:f>(H266-G266)/2*(F266+D266)</x:f>
        <x:v>-0.0062772399715723655</x:v>
      </x:c>
      <x:c r="K266" s="31" t="n">
        <x:f>(G266+H266)/2*(MAX(0,F266-$B$3)-MIN(100,D266+$B$3))</x:f>
        <x:v>-0.031602400216688586</x:v>
      </x:c>
      <x:c r="L266" s="31" t="n">
        <x:f>(G266+H266)/2*(MIN(100,F266+$B$3)-MAX(0,D266-$B$3))</x:f>
        <x:v>-0.031075693546410474</x:v>
      </x:c>
      <x:c r="M266" s="31" t="n">
        <x:f>IF(H266&gt;=G266,(H266-G266)/2*(MAX(0,D266-$B$3)+MAX(0,F266-$B$3)),(H266-G266)/2*(MIN(100,D266+$B$3)+MIN(100,F266+$B$3)))</x:f>
        <x:v>-0.006280756632620865</x:v>
      </x:c>
      <x:c r="N266" s="31" t="n">
        <x:f>IF(H266&gt;=G266,(H266-G266)/2*(MIN(100,D266+$B$3)+MIN(100,F266+$B$3)),(H266-G266)/2*(MAX(0,D266-$B$3)+MAX(0,F266-$B$3)))</x:f>
        <x:v>-0.0062737233105238654</x:v>
      </x:c>
      <x:c r="O266" s="13" t="str">
        <x:v>I03 GP_Code!P5607/U5607; I04 Table_1!P4978/U4978</x:v>
      </x:c>
    </x:row>
    <x:row r="267" ht="24" customHeight="1">
      <x:c r="A267" s="13" t="str">
        <x:v>QUA</x:v>
      </x:c>
      <x:c r="B267" s="13" t="str">
        <x:v>M88616</x:v>
      </x:c>
      <x:c r="C267" s="13" t="n">
        <x:f>D625</x:f>
        <x:v>138</x:v>
      </x:c>
      <x:c r="D267" s="30" t="n">
        <x:f>E625</x:f>
        <x:v>76.8</x:v>
      </x:c>
      <x:c r="E267" s="13" t="n">
        <x:f>D989</x:f>
        <x:v>203</x:v>
      </x:c>
      <x:c r="F267" s="30" t="n">
        <x:f>E989</x:f>
        <x:v>74.9</x:v>
      </x:c>
      <x:c r="G267" s="31" t="n">
        <x:f>C267/$C$23</x:f>
        <x:v>0.008768585589020206</x:v>
      </x:c>
      <x:c r="H267" s="31" t="n">
        <x:f>E267/$D$23</x:f>
        <x:v>0.012558772581044295</x:v>
      </x:c>
      <x:c r="I267" s="31" t="n">
        <x:f>(G267+H267)/2*(F267-D267)</x:f>
        <x:v>-0.020260990261561185</x:v>
      </x:c>
      <x:c r="J267" s="31" t="n">
        <x:f>(H267-G267)/2*(F267+D267)</x:f>
        <x:v>0.2874856833450271</x:v>
      </x:c>
      <x:c r="K267" s="31" t="n">
        <x:f>(G267+H267)/2*(MAX(0,F267-$B$3)-MIN(100,D267+$B$3))</x:f>
        <x:v>-0.02132735817006435</x:v>
      </x:c>
      <x:c r="L267" s="31" t="n">
        <x:f>(G267+H267)/2*(MIN(100,F267+$B$3)-MAX(0,D267-$B$3))</x:f>
        <x:v>-0.019194622353058022</x:v>
      </x:c>
      <x:c r="M267" s="31" t="n">
        <x:f>IF(H267&gt;=G267,(H267-G267)/2*(MAX(0,D267-$B$3)+MAX(0,F267-$B$3)),(H267-G267)/2*(MIN(100,D267+$B$3)+MIN(100,F267+$B$3)))</x:f>
        <x:v>0.28729617399542595</x:v>
      </x:c>
      <x:c r="N267" s="31" t="n">
        <x:f>IF(H267&gt;=G267,(H267-G267)/2*(MIN(100,D267+$B$3)+MIN(100,F267+$B$3)),(H267-G267)/2*(MAX(0,D267-$B$3)+MAX(0,F267-$B$3)))</x:f>
        <x:v>0.2876751926946284</x:v>
      </x:c>
      <x:c r="O267" s="13" t="str">
        <x:v>I03 GP_Code!P5608/U5608; I04 Table_1!P4979/U4979</x:v>
      </x:c>
    </x:row>
    <x:row r="268" ht="24" customHeight="1">
      <x:c r="A268" s="13" t="str">
        <x:v>QUA</x:v>
      </x:c>
      <x:c r="B268" s="13" t="str">
        <x:v>M88618</x:v>
      </x:c>
      <x:c r="C268" s="13" t="n">
        <x:f>D626</x:f>
        <x:v>26</x:v>
      </x:c>
      <x:c r="D268" s="30" t="n">
        <x:f>E626</x:f>
        <x:v>88.5</x:v>
      </x:c>
      <x:c r="E268" s="13" t="n">
        <x:f>D990</x:f>
        <x:v>26</x:v>
      </x:c>
      <x:c r="F268" s="30" t="n">
        <x:f>E990</x:f>
        <x:v>88.5</x:v>
      </x:c>
      <x:c r="G268" s="31" t="n">
        <x:f>C268/$C$23</x:f>
        <x:v>0.001652052357351633</x:v>
      </x:c>
      <x:c r="H268" s="31" t="n">
        <x:f>E268/$D$23</x:f>
        <x:v>0.0016085127443702053</x:v>
      </x:c>
      <x:c r="I268" s="31" t="n">
        <x:f>(G268+H268)/2*(F268-D268)</x:f>
        <x:v>0</x:v>
      </x:c>
      <x:c r="J268" s="31" t="n">
        <x:f>(H268-G268)/2*(F268+D268)</x:f>
        <x:v>-0.003853255748856357</x:v>
      </x:c>
      <x:c r="K268" s="31" t="n">
        <x:f>(G268+H268)/2*(MAX(0,F268-$B$3)-MIN(100,D268+$B$3))</x:f>
        <x:v>-0.00016302825508608267</x:v>
      </x:c>
      <x:c r="L268" s="31" t="n">
        <x:f>(G268+H268)/2*(MIN(100,F268+$B$3)-MAX(0,D268-$B$3))</x:f>
        <x:v>0.00016302825508608267</x:v>
      </x:c>
      <x:c r="M268" s="31" t="n">
        <x:f>IF(H268&gt;=G268,(H268-G268)/2*(MAX(0,D268-$B$3)+MAX(0,F268-$B$3)),(H268-G268)/2*(MIN(100,D268+$B$3)+MIN(100,F268+$B$3)))</x:f>
        <x:v>-0.003855432729505428</x:v>
      </x:c>
      <x:c r="N268" s="31" t="n">
        <x:f>IF(H268&gt;=G268,(H268-G268)/2*(MIN(100,D268+$B$3)+MIN(100,F268+$B$3)),(H268-G268)/2*(MAX(0,D268-$B$3)+MAX(0,F268-$B$3)))</x:f>
        <x:v>-0.0038510787682072855</x:v>
      </x:c>
      <x:c r="O268" s="13" t="str">
        <x:v>I03 GP_Code!P5609/U5609; I04 Table_1!P4980/U4980</x:v>
      </x:c>
    </x:row>
    <x:row r="269" ht="24" customHeight="1">
      <x:c r="A269" s="13" t="str">
        <x:v>QUA</x:v>
      </x:c>
      <x:c r="B269" s="13" t="str">
        <x:v>M88619</x:v>
      </x:c>
      <x:c r="C269" s="13" t="n">
        <x:f>D627</x:f>
        <x:v>119</x:v>
      </x:c>
      <x:c r="D269" s="30" t="n">
        <x:f>E627</x:f>
        <x:v>81.5</x:v>
      </x:c>
      <x:c r="E269" s="13" t="n">
        <x:f>D991</x:f>
        <x:v>137</x:v>
      </x:c>
      <x:c r="F269" s="30" t="n">
        <x:f>E991</x:f>
        <x:v>82.5</x:v>
      </x:c>
      <x:c r="G269" s="31" t="n">
        <x:f>C269/$C$23</x:f>
        <x:v>0.007561316558647859</x:v>
      </x:c>
      <x:c r="H269" s="31" t="n">
        <x:f>E269/$D$23</x:f>
        <x:v>0.008475624845335313</x:v>
      </x:c>
      <x:c r="I269" s="31" t="n">
        <x:f>(G269+H269)/2*(F269-D269)</x:f>
        <x:v>0.008018470701991586</x:v>
      </x:c>
      <x:c r="J269" s="31" t="n">
        <x:f>(H269-G269)/2*(F269+D269)</x:f>
        <x:v>0.07497327950837124</x:v>
      </x:c>
      <x:c r="K269" s="31" t="n">
        <x:f>(G269+H269)/2*(MAX(0,F269-$B$3)-MIN(100,D269+$B$3))</x:f>
        <x:v>0.0072166236317924735</x:v>
      </x:c>
      <x:c r="L269" s="31" t="n">
        <x:f>(G269+H269)/2*(MIN(100,F269+$B$3)-MAX(0,D269-$B$3))</x:f>
        <x:v>0.0088203177721907</x:v>
      </x:c>
      <x:c r="M269" s="31" t="n">
        <x:f>IF(H269&gt;=G269,(H269-G269)/2*(MAX(0,D269-$B$3)+MAX(0,F269-$B$3)),(H269-G269)/2*(MIN(100,D269+$B$3)+MIN(100,F269+$B$3)))</x:f>
        <x:v>0.07492756409403686</x:v>
      </x:c>
      <x:c r="N269" s="31" t="n">
        <x:f>IF(H269&gt;=G269,(H269-G269)/2*(MIN(100,D269+$B$3)+MIN(100,F269+$B$3)),(H269-G269)/2*(MAX(0,D269-$B$3)+MAX(0,F269-$B$3)))</x:f>
        <x:v>0.07501899492270561</x:v>
      </x:c>
      <x:c r="O269" s="13" t="str">
        <x:v>I03 GP_Code!P5610/U5610; I04 Table_1!P4981/U4981</x:v>
      </x:c>
    </x:row>
    <x:row r="270" ht="24" customHeight="1">
      <x:c r="A270" s="13" t="str">
        <x:v>QUA</x:v>
      </x:c>
      <x:c r="B270" s="13" t="str">
        <x:v>M88620</x:v>
      </x:c>
      <x:c r="C270" s="13" t="n">
        <x:f>D628</x:f>
        <x:v>46</x:v>
      </x:c>
      <x:c r="D270" s="30" t="n">
        <x:f>E628</x:f>
        <x:v>69.6</x:v>
      </x:c>
      <x:c r="E270" s="13" t="n">
        <x:f>D992</x:f>
        <x:v>40</x:v>
      </x:c>
      <x:c r="F270" s="30" t="n">
        <x:f>E992</x:f>
        <x:v>82.5</x:v>
      </x:c>
      <x:c r="G270" s="31" t="n">
        <x:f>C270/$C$23</x:f>
        <x:v>0.002922861863006735</x:v>
      </x:c>
      <x:c r="H270" s="31" t="n">
        <x:f>E270/$D$23</x:f>
        <x:v>0.0024746349913387774</x:v>
      </x:c>
      <x:c r="I270" s="31" t="n">
        <x:f>(G270+H270)/2*(F270-D270)</x:f>
        <x:v>0.03481385471052857</x:v>
      </x:c>
      <x:c r="J270" s="31" t="n">
        <x:f>(H270-G270)/2*(F270+D270)</x:f>
        <x:v>-0.03408765359034819</x:v>
      </x:c>
      <x:c r="K270" s="31" t="n">
        <x:f>(G270+H270)/2*(MAX(0,F270-$B$3)-MIN(100,D270+$B$3))</x:f>
        <x:v>0.03454397986781131</x:v>
      </x:c>
      <x:c r="L270" s="31" t="n">
        <x:f>(G270+H270)/2*(MIN(100,F270+$B$3)-MAX(0,D270-$B$3))</x:f>
        <x:v>0.03508372955324583</x:v>
      </x:c>
      <x:c r="M270" s="31" t="n">
        <x:f>IF(H270&gt;=G270,(H270-G270)/2*(MAX(0,D270-$B$3)+MAX(0,F270-$B$3)),(H270-G270)/2*(MIN(100,D270+$B$3)+MIN(100,F270+$B$3)))</x:f>
        <x:v>-0.03411006493393159</x:v>
      </x:c>
      <x:c r="N270" s="31" t="n">
        <x:f>IF(H270&gt;=G270,(H270-G270)/2*(MIN(100,D270+$B$3)+MIN(100,F270+$B$3)),(H270-G270)/2*(MAX(0,D270-$B$3)+MAX(0,F270-$B$3)))</x:f>
        <x:v>-0.03406524224676479</x:v>
      </x:c>
      <x:c r="O270" s="13" t="str">
        <x:v>I03 GP_Code!P5611/U5611; I04 Table_1!P4982/U4982</x:v>
      </x:c>
    </x:row>
    <x:row r="271" ht="24" customHeight="1">
      <x:c r="A271" s="13" t="str">
        <x:v>QUA</x:v>
      </x:c>
      <x:c r="B271" s="13" t="str">
        <x:v>M88625</x:v>
      </x:c>
      <x:c r="C271" s="13" t="n">
        <x:f>D629</x:f>
        <x:v>46</x:v>
      </x:c>
      <x:c r="D271" s="30" t="n">
        <x:f>E629</x:f>
        <x:v>87</x:v>
      </x:c>
      <x:c r="E271" s="13" t="n">
        <x:f>D993</x:f>
        <x:v>46</x:v>
      </x:c>
      <x:c r="F271" s="30" t="n">
        <x:f>E993</x:f>
        <x:v>69.6</x:v>
      </x:c>
      <x:c r="G271" s="31" t="n">
        <x:f>C271/$C$23</x:f>
        <x:v>0.002922861863006735</x:v>
      </x:c>
      <x:c r="H271" s="31" t="n">
        <x:f>E271/$D$23</x:f>
        <x:v>0.0028458302400395943</x:v>
      </x:c>
      <x:c r="I271" s="31" t="n">
        <x:f>(G271+H271)/2*(F271-D271)</x:f>
        <x:v>-0.05018762129650308</x:v>
      </x:c>
      <x:c r="J271" s="31" t="n">
        <x:f>(H271-G271)/2*(F271+D271)</x:f>
        <x:v>-0.006031576078327137</x:v>
      </x:c>
      <x:c r="K271" s="31" t="n">
        <x:f>(G271+H271)/2*(MAX(0,F271-$B$3)-MIN(100,D271+$B$3))</x:f>
        <x:v>-0.05047605590165538</x:v>
      </x:c>
      <x:c r="L271" s="31" t="n">
        <x:f>(G271+H271)/2*(MIN(100,F271+$B$3)-MAX(0,D271-$B$3))</x:f>
        <x:v>-0.04989918669135078</x:v>
      </x:c>
      <x:c r="M271" s="31" t="n">
        <x:f>IF(H271&gt;=G271,(H271-G271)/2*(MAX(0,D271-$B$3)+MAX(0,F271-$B$3)),(H271-G271)/2*(MIN(100,D271+$B$3)+MIN(100,F271+$B$3)))</x:f>
        <x:v>-0.006035427659475494</x:v>
      </x:c>
      <x:c r="N271" s="31" t="n">
        <x:f>IF(H271&gt;=G271,(H271-G271)/2*(MIN(100,D271+$B$3)+MIN(100,F271+$B$3)),(H271-G271)/2*(MAX(0,D271-$B$3)+MAX(0,F271-$B$3)))</x:f>
        <x:v>-0.00602772449717878</x:v>
      </x:c>
      <x:c r="O271" s="13" t="str">
        <x:v>I03 GP_Code!P5612/U5612; I04 Table_1!P4983/U4983</x:v>
      </x:c>
    </x:row>
    <x:row r="272" ht="24" customHeight="1">
      <x:c r="A272" s="13" t="str">
        <x:v>QUA</x:v>
      </x:c>
      <x:c r="B272" s="13" t="str">
        <x:v>M88626</x:v>
      </x:c>
      <x:c r="C272" s="13" t="n">
        <x:f>D630</x:f>
        <x:v>30</x:v>
      </x:c>
      <x:c r="D272" s="30" t="n">
        <x:f>E630</x:f>
        <x:v>76.7</x:v>
      </x:c>
      <x:c r="E272" s="13" t="n">
        <x:f>D994</x:f>
        <x:v>32</x:v>
      </x:c>
      <x:c r="F272" s="30" t="n">
        <x:f>E994</x:f>
        <x:v>62.5</x:v>
      </x:c>
      <x:c r="G272" s="31" t="n">
        <x:f>C272/$C$23</x:f>
        <x:v>0.0019062142584826535</x:v>
      </x:c>
      <x:c r="H272" s="31" t="n">
        <x:f>E272/$D$23</x:f>
        <x:v>0.001979707993071022</x:v>
      </x:c>
      <x:c r="I272" s="31" t="n">
        <x:f>(G272+H272)/2*(F272-D272)</x:f>
        <x:v>-0.0275900479860311</x:v>
      </x:c>
      <x:c r="J272" s="31" t="n">
        <x:f>(H272-G272)/2*(F272+D272)</x:f>
        <x:v>0.005115163927350442</x:v>
      </x:c>
      <x:c r="K272" s="31" t="n">
        <x:f>(G272+H272)/2*(MAX(0,F272-$B$3)-MIN(100,D272+$B$3))</x:f>
        <x:v>-0.027784344098608773</x:v>
      </x:c>
      <x:c r="L272" s="31" t="n">
        <x:f>(G272+H272)/2*(MIN(100,F272+$B$3)-MAX(0,D272-$B$3))</x:f>
        <x:v>-0.027395751873453427</x:v>
      </x:c>
      <x:c r="M272" s="31" t="n">
        <x:f>IF(H272&gt;=G272,(H272-G272)/2*(MAX(0,D272-$B$3)+MAX(0,F272-$B$3)),(H272-G272)/2*(MIN(100,D272+$B$3)+MIN(100,F272+$B$3)))</x:f>
        <x:v>0.005111489240621025</x:v>
      </x:c>
      <x:c r="N272" s="31" t="n">
        <x:f>IF(H272&gt;=G272,(H272-G272)/2*(MIN(100,D272+$B$3)+MIN(100,F272+$B$3)),(H272-G272)/2*(MAX(0,D272-$B$3)+MAX(0,F272-$B$3)))</x:f>
        <x:v>0.005118838614079861</x:v>
      </x:c>
      <x:c r="O272" s="13" t="str">
        <x:v>I03 GP_Code!P5613/U5613; I04 Table_1!P4984/U4984</x:v>
      </x:c>
    </x:row>
    <x:row r="273" ht="24" customHeight="1">
      <x:c r="A273" s="13" t="str">
        <x:v>QUA</x:v>
      </x:c>
      <x:c r="B273" s="13" t="str">
        <x:v>M88628</x:v>
      </x:c>
      <x:c r="C273" s="13" t="n">
        <x:f>D631</x:f>
        <x:v>26</x:v>
      </x:c>
      <x:c r="D273" s="30" t="n">
        <x:f>E631</x:f>
        <x:v>80.8</x:v>
      </x:c>
      <x:c r="E273" s="13" t="n">
        <x:f>D995</x:f>
        <x:v>32</x:v>
      </x:c>
      <x:c r="F273" s="30" t="n">
        <x:f>E995</x:f>
        <x:v>84.4</x:v>
      </x:c>
      <x:c r="G273" s="31" t="n">
        <x:f>C273/$C$23</x:f>
        <x:v>0.001652052357351633</x:v>
      </x:c>
      <x:c r="H273" s="31" t="n">
        <x:f>E273/$D$23</x:f>
        <x:v>0.001979707993071022</x:v>
      </x:c>
      <x:c r="I273" s="31" t="n">
        <x:f>(G273+H273)/2*(F273-D273)</x:f>
        <x:v>0.006537168630760794</x:v>
      </x:c>
      <x:c r="J273" s="31" t="n">
        <x:f>(H273-G273)/2*(F273+D273)</x:f>
        <x:v>0.027064355510421516</x:v>
      </x:c>
      <x:c r="K273" s="31" t="n">
        <x:f>(G273+H273)/2*(MAX(0,F273-$B$3)-MIN(100,D273+$B$3))</x:f>
        <x:v>0.006355580613239672</x:v>
      </x:c>
      <x:c r="L273" s="31" t="n">
        <x:f>(G273+H273)/2*(MIN(100,F273+$B$3)-MAX(0,D273-$B$3))</x:f>
        <x:v>0.006718756648281916</x:v>
      </x:c>
      <x:c r="M273" s="31" t="n">
        <x:f>IF(H273&gt;=G273,(H273-G273)/2*(MAX(0,D273-$B$3)+MAX(0,F273-$B$3)),(H273-G273)/2*(MIN(100,D273+$B$3)+MIN(100,F273+$B$3)))</x:f>
        <x:v>0.027047972728635555</x:v>
      </x:c>
      <x:c r="N273" s="31" t="n">
        <x:f>IF(H273&gt;=G273,(H273-G273)/2*(MIN(100,D273+$B$3)+MIN(100,F273+$B$3)),(H273-G273)/2*(MAX(0,D273-$B$3)+MAX(0,F273-$B$3)))</x:f>
        <x:v>0.02708073829220749</x:v>
      </x:c>
      <x:c r="O273" s="13" t="str">
        <x:v>I03 GP_Code!P5614/U5614; I04 Table_1!P4985/U4985</x:v>
      </x:c>
    </x:row>
    <x:row r="274" ht="24" customHeight="1">
      <x:c r="A274" s="13" t="str">
        <x:v>QUA</x:v>
      </x:c>
      <x:c r="B274" s="13" t="str">
        <x:v>M88630</x:v>
      </x:c>
      <x:c r="C274" s="13" t="n">
        <x:f>D632</x:f>
        <x:v>72</x:v>
      </x:c>
      <x:c r="D274" s="30" t="n">
        <x:f>E632</x:f>
        <x:v>69.4</x:v>
      </x:c>
      <x:c r="E274" s="13" t="n">
        <x:f>D996</x:f>
        <x:v>58</x:v>
      </x:c>
      <x:c r="F274" s="30" t="n">
        <x:f>E996</x:f>
        <x:v>74.1</x:v>
      </x:c>
      <x:c r="G274" s="31" t="n">
        <x:f>C274/$C$23</x:f>
        <x:v>0.004574914220358368</x:v>
      </x:c>
      <x:c r="H274" s="31" t="n">
        <x:f>E274/$D$23</x:f>
        <x:v>0.0035882207374412275</x:v>
      </x:c>
      <x:c r="I274" s="31" t="n">
        <x:f>(G274+H274)/2*(F274-D274)</x:f>
        <x:v>0.019183367150829002</x:v>
      </x:c>
      <x:c r="J274" s="31" t="n">
        <x:f>(H274-G274)/2*(F274+D274)</x:f>
        <x:v>-0.07079525739930484</x:v>
      </x:c>
      <x:c r="K274" s="31" t="n">
        <x:f>(G274+H274)/2*(MAX(0,F274-$B$3)-MIN(100,D274+$B$3))</x:f>
        <x:v>0.018775210402939047</x:v>
      </x:c>
      <x:c r="L274" s="31" t="n">
        <x:f>(G274+H274)/2*(MIN(100,F274+$B$3)-MAX(0,D274-$B$3))</x:f>
        <x:v>0.01959152389871896</x:v>
      </x:c>
      <x:c r="M274" s="31" t="n">
        <x:f>IF(H274&gt;=G274,(H274-G274)/2*(MAX(0,D274-$B$3)+MAX(0,F274-$B$3)),(H274-G274)/2*(MIN(100,D274+$B$3)+MIN(100,F274+$B$3)))</x:f>
        <x:v>-0.07084459207345069</x:v>
      </x:c>
      <x:c r="N274" s="31" t="n">
        <x:f>IF(H274&gt;=G274,(H274-G274)/2*(MIN(100,D274+$B$3)+MIN(100,F274+$B$3)),(H274-G274)/2*(MAX(0,D274-$B$3)+MAX(0,F274-$B$3)))</x:f>
        <x:v>-0.07074592272515898</x:v>
      </x:c>
      <x:c r="O274" s="13" t="str">
        <x:v>I03 GP_Code!P5615/U5615; I04 Table_1!P4986/U4986</x:v>
      </x:c>
    </x:row>
    <x:row r="275" ht="24" customHeight="1">
      <x:c r="A275" s="13" t="str">
        <x:v>QUA</x:v>
      </x:c>
      <x:c r="B275" s="13" t="str">
        <x:v>M88633</x:v>
      </x:c>
      <x:c r="C275" s="13" t="n">
        <x:f>D633</x:f>
        <x:v>66</x:v>
      </x:c>
      <x:c r="D275" s="30" t="n">
        <x:f>E633</x:f>
        <x:v>84.8</x:v>
      </x:c>
      <x:c r="E275" s="13" t="n">
        <x:f>D997</x:f>
        <x:v>84</x:v>
      </x:c>
      <x:c r="F275" s="30" t="n">
        <x:f>E997</x:f>
        <x:v>86.9</x:v>
      </x:c>
      <x:c r="G275" s="31" t="n">
        <x:f>C275/$C$23</x:f>
        <x:v>0.0041936713686618375</x:v>
      </x:c>
      <x:c r="H275" s="31" t="n">
        <x:f>E275/$D$23</x:f>
        <x:v>0.005196733481811433</x:v>
      </x:c>
      <x:c r="I275" s="31" t="n">
        <x:f>(G275+H275)/2*(F275-D275)</x:f>
        <x:v>0.009859925092996973</x:v>
      </x:c>
      <x:c r="J275" s="31" t="n">
        <x:f>(H275-G275)/2*(F275+D275)</x:f>
        <x:v>0.08611288241389277</x:v>
      </x:c>
      <x:c r="K275" s="31" t="n">
        <x:f>(G275+H275)/2*(MAX(0,F275-$B$3)-MIN(100,D275+$B$3))</x:f>
        <x:v>0.009390404850473336</x:v>
      </x:c>
      <x:c r="L275" s="31" t="n">
        <x:f>(G275+H275)/2*(MIN(100,F275+$B$3)-MAX(0,D275-$B$3))</x:f>
        <x:v>0.01032944533552061</x:v>
      </x:c>
      <x:c r="M275" s="31" t="n">
        <x:f>IF(H275&gt;=G275,(H275-G275)/2*(MAX(0,D275-$B$3)+MAX(0,F275-$B$3)),(H275-G275)/2*(MIN(100,D275+$B$3)+MIN(100,F275+$B$3)))</x:f>
        <x:v>0.0860627293082353</x:v>
      </x:c>
      <x:c r="N275" s="31" t="n">
        <x:f>IF(H275&gt;=G275,(H275-G275)/2*(MIN(100,D275+$B$3)+MIN(100,F275+$B$3)),(H275-G275)/2*(MAX(0,D275-$B$3)+MAX(0,F275-$B$3)))</x:f>
        <x:v>0.08616303551955026</x:v>
      </x:c>
      <x:c r="O275" s="13" t="str">
        <x:v>I03 GP_Code!P5616/U5616; I04 Table_1!P4987/U4987</x:v>
      </x:c>
    </x:row>
    <x:row r="276" ht="24" customHeight="1">
      <x:c r="A276" s="13" t="str">
        <x:v>QUA</x:v>
      </x:c>
      <x:c r="B276" s="13" t="str">
        <x:v>M88635</x:v>
      </x:c>
      <x:c r="C276" s="13" t="n">
        <x:f>D634</x:f>
        <x:v>18</x:v>
      </x:c>
      <x:c r="D276" s="30" t="n">
        <x:f>E634</x:f>
        <x:v>77.8</x:v>
      </x:c>
      <x:c r="E276" s="13" t="n">
        <x:f>D998</x:f>
        <x:v>26</x:v>
      </x:c>
      <x:c r="F276" s="30" t="n">
        <x:f>E998</x:f>
        <x:v>96.2</x:v>
      </x:c>
      <x:c r="G276" s="31" t="n">
        <x:f>C276/$C$23</x:f>
        <x:v>0.001143728555089592</x:v>
      </x:c>
      <x:c r="H276" s="31" t="n">
        <x:f>E276/$D$23</x:f>
        <x:v>0.0016085127443702053</x:v>
      </x:c>
      <x:c r="I276" s="31" t="n">
        <x:f>(G276+H276)/2*(F276-D276)</x:f>
        <x:v>0.02532061995503014</x:v>
      </x:c>
      <x:c r="J276" s="31" t="n">
        <x:f>(H276-G276)/2*(F276+D276)</x:f>
        <x:v>0.04043622446741336</x:v>
      </x:c>
      <x:c r="K276" s="31" t="n">
        <x:f>(G276+H276)/2*(MAX(0,F276-$B$3)-MIN(100,D276+$B$3))</x:f>
        <x:v>0.02518300789005716</x:v>
      </x:c>
      <x:c r="L276" s="31" t="n">
        <x:f>(G276+H276)/2*(MIN(100,F276+$B$3)-MAX(0,D276-$B$3))</x:f>
        <x:v>0.025458232020003125</x:v>
      </x:c>
      <x:c r="M276" s="31" t="n">
        <x:f>IF(H276&gt;=G276,(H276-G276)/2*(MAX(0,D276-$B$3)+MAX(0,F276-$B$3)),(H276-G276)/2*(MIN(100,D276+$B$3)+MIN(100,F276+$B$3)))</x:f>
        <x:v>0.04041298525794933</x:v>
      </x:c>
      <x:c r="N276" s="31" t="n">
        <x:f>IF(H276&gt;=G276,(H276-G276)/2*(MIN(100,D276+$B$3)+MIN(100,F276+$B$3)),(H276-G276)/2*(MAX(0,D276-$B$3)+MAX(0,F276-$B$3)))</x:f>
        <x:v>0.04045946367687739</x:v>
      </x:c>
      <x:c r="O276" s="13" t="str">
        <x:v>I03 GP_Code!P5617/U5617; I04 Table_1!P4988/U4988</x:v>
      </x:c>
    </x:row>
    <x:row r="277" ht="24" customHeight="1">
      <x:c r="A277" s="13" t="str">
        <x:v>QUA</x:v>
      </x:c>
      <x:c r="B277" s="13" t="str">
        <x:v>M88639</x:v>
      </x:c>
      <x:c r="C277" s="13" t="n">
        <x:f>D635</x:f>
        <x:v>39</x:v>
      </x:c>
      <x:c r="D277" s="30" t="n">
        <x:f>E635</x:f>
        <x:v>69.2</x:v>
      </x:c>
      <x:c r="E277" s="13" t="n">
        <x:f>D999</x:f>
        <x:v>43</x:v>
      </x:c>
      <x:c r="F277" s="30" t="n">
        <x:f>E999</x:f>
        <x:v>83.7</x:v>
      </x:c>
      <x:c r="G277" s="31" t="n">
        <x:f>C277/$C$23</x:f>
        <x:v>0.0024780785360274493</x:v>
      </x:c>
      <x:c r="H277" s="31" t="n">
        <x:f>E277/$D$23</x:f>
        <x:v>0.002660232615689186</x:v>
      </x:c>
      <x:c r="I277" s="31" t="n">
        <x:f>(G277+H277)/2*(F277-D277)</x:f>
        <x:v>0.037252755849945605</x:v>
      </x:c>
      <x:c r="J277" s="31" t="n">
        <x:f>(H277-G277)/2*(F277+D277)</x:f>
        <x:v>0.013925679390139774</x:v>
      </x:c>
      <x:c r="K277" s="31" t="n">
        <x:f>(G277+H277)/2*(MAX(0,F277-$B$3)-MIN(100,D277+$B$3))</x:f>
        <x:v>0.03699584029235979</x:v>
      </x:c>
      <x:c r="L277" s="31" t="n">
        <x:f>(G277+H277)/2*(MIN(100,F277+$B$3)-MAX(0,D277-$B$3))</x:f>
        <x:v>0.03750967140753143</x:v>
      </x:c>
      <x:c r="M277" s="31" t="n">
        <x:f>IF(H277&gt;=G277,(H277-G277)/2*(MAX(0,D277-$B$3)+MAX(0,F277-$B$3)),(H277-G277)/2*(MIN(100,D277+$B$3)+MIN(100,F277+$B$3)))</x:f>
        <x:v>0.01391657168615669</x:v>
      </x:c>
      <x:c r="N277" s="31" t="n">
        <x:f>IF(H277&gt;=G277,(H277-G277)/2*(MIN(100,D277+$B$3)+MIN(100,F277+$B$3)),(H277-G277)/2*(MAX(0,D277-$B$3)+MAX(0,F277-$B$3)))</x:f>
        <x:v>0.013934787094122861</x:v>
      </x:c>
      <x:c r="O277" s="13" t="str">
        <x:v>I03 GP_Code!P5618/U5618; I04 Table_1!P4989/U4989</x:v>
      </x:c>
    </x:row>
    <x:row r="278" ht="24" customHeight="1">
      <x:c r="A278" s="13" t="str">
        <x:v>QUA</x:v>
      </x:c>
      <x:c r="B278" s="13" t="str">
        <x:v>M88640</x:v>
      </x:c>
      <x:c r="C278" s="13" t="n">
        <x:f>D636</x:f>
        <x:v>39</x:v>
      </x:c>
      <x:c r="D278" s="30" t="n">
        <x:f>E636</x:f>
        <x:v>56.4</x:v>
      </x:c>
      <x:c r="E278" s="13" t="n">
        <x:f>D1000</x:f>
        <x:v>33</x:v>
      </x:c>
      <x:c r="F278" s="30" t="n">
        <x:f>E1000</x:f>
        <x:v>54.5</x:v>
      </x:c>
      <x:c r="G278" s="31" t="n">
        <x:f>C278/$C$23</x:f>
        <x:v>0.0024780785360274493</x:v>
      </x:c>
      <x:c r="H278" s="31" t="n">
        <x:f>E278/$D$23</x:f>
        <x:v>0.0020415738678544915</x:v>
      </x:c>
      <x:c r="I278" s="31" t="n">
        <x:f>(G278+H278)/2*(F278-D278)</x:f>
        <x:v>-0.00429366978368784</x:v>
      </x:c>
      <x:c r="J278" s="31" t="n">
        <x:f>(H278-G278)/2*(F278+D278)</x:f>
        <x:v>-0.024204183850190512</x:v>
      </x:c>
      <x:c r="K278" s="31" t="n">
        <x:f>(G278+H278)/2*(MAX(0,F278-$B$3)-MIN(100,D278+$B$3))</x:f>
        <x:v>-0.004519652403881924</x:v>
      </x:c>
      <x:c r="L278" s="31" t="n">
        <x:f>(G278+H278)/2*(MIN(100,F278+$B$3)-MAX(0,D278-$B$3))</x:f>
        <x:v>-0.004067687163493756</x:v>
      </x:c>
      <x:c r="M278" s="31" t="n">
        <x:f>IF(H278&gt;=G278,(H278-G278)/2*(MAX(0,D278-$B$3)+MAX(0,F278-$B$3)),(H278-G278)/2*(MIN(100,D278+$B$3)+MIN(100,F278+$B$3)))</x:f>
        <x:v>-0.02422600908359916</x:v>
      </x:c>
      <x:c r="N278" s="31" t="n">
        <x:f>IF(H278&gt;=G278,(H278-G278)/2*(MIN(100,D278+$B$3)+MIN(100,F278+$B$3)),(H278-G278)/2*(MAX(0,D278-$B$3)+MAX(0,F278-$B$3)))</x:f>
        <x:v>-0.024182358616781866</x:v>
      </x:c>
      <x:c r="O278" s="13" t="str">
        <x:v>I03 GP_Code!P5619/U5619; I04 Table_1!P4990/U4990</x:v>
      </x:c>
    </x:row>
    <x:row r="279" ht="24" customHeight="1">
      <x:c r="A279" s="13" t="str">
        <x:v>QUA</x:v>
      </x:c>
      <x:c r="B279" s="13" t="str">
        <x:v>M88643</x:v>
      </x:c>
      <x:c r="C279" s="13" t="n">
        <x:f>D637</x:f>
        <x:v>56</x:v>
      </x:c>
      <x:c r="D279" s="30" t="n">
        <x:f>E637</x:f>
        <x:v>76.8</x:v>
      </x:c>
      <x:c r="E279" s="13" t="n">
        <x:f>D1001</x:f>
        <x:v>73</x:v>
      </x:c>
      <x:c r="F279" s="30" t="n">
        <x:f>E1001</x:f>
        <x:v>78.1</x:v>
      </x:c>
      <x:c r="G279" s="31" t="n">
        <x:f>C279/$C$23</x:f>
        <x:v>0.0035582666158342864</x:v>
      </x:c>
      <x:c r="H279" s="31" t="n">
        <x:f>E279/$D$23</x:f>
        <x:v>0.004516208859193269</x:v>
      </x:c>
      <x:c r="I279" s="31" t="n">
        <x:f>(G279+H279)/2*(F279-D279)</x:f>
        <x:v>0.0052484090587679</x:v>
      </x:c>
      <x:c r="J279" s="31" t="n">
        <x:f>(H279-G279)/2*(F279+D279)</x:f>
        <x:v>0.07419262674815322</x:v>
      </x:c>
      <x:c r="K279" s="31" t="n">
        <x:f>(G279+H279)/2*(MAX(0,F279-$B$3)-MIN(100,D279+$B$3))</x:f>
        <x:v>0.004844685285016546</x:v>
      </x:c>
      <x:c r="L279" s="31" t="n">
        <x:f>(G279+H279)/2*(MIN(100,F279+$B$3)-MAX(0,D279-$B$3))</x:f>
        <x:v>0.005652132832519256</x:v>
      </x:c>
      <x:c r="M279" s="31" t="n">
        <x:f>IF(H279&gt;=G279,(H279-G279)/2*(MAX(0,D279-$B$3)+MAX(0,F279-$B$3)),(H279-G279)/2*(MIN(100,D279+$B$3)+MIN(100,F279+$B$3)))</x:f>
        <x:v>0.07414472963598528</x:v>
      </x:c>
      <x:c r="N279" s="31" t="n">
        <x:f>IF(H279&gt;=G279,(H279-G279)/2*(MIN(100,D279+$B$3)+MIN(100,F279+$B$3)),(H279-G279)/2*(MAX(0,D279-$B$3)+MAX(0,F279-$B$3)))</x:f>
        <x:v>0.07424052386032118</x:v>
      </x:c>
      <x:c r="O279" s="13" t="str">
        <x:v>I03 GP_Code!P5620/U5620; I04 Table_1!P4991/U4991</x:v>
      </x:c>
    </x:row>
    <x:row r="280" ht="24" customHeight="1">
      <x:c r="A280" s="13" t="str">
        <x:v>QUA</x:v>
      </x:c>
      <x:c r="B280" s="13" t="str">
        <x:v>M88645</x:v>
      </x:c>
      <x:c r="C280" s="13" t="n">
        <x:f>D638</x:f>
        <x:v>130</x:v>
      </x:c>
      <x:c r="D280" s="30" t="n">
        <x:f>E638</x:f>
        <x:v>59.2</x:v>
      </x:c>
      <x:c r="E280" s="13" t="n">
        <x:f>D1002</x:f>
        <x:v>107</x:v>
      </x:c>
      <x:c r="F280" s="30" t="n">
        <x:f>E1002</x:f>
        <x:v>72</x:v>
      </x:c>
      <x:c r="G280" s="31" t="n">
        <x:f>C280/$C$23</x:f>
        <x:v>0.008260261786758165</x:v>
      </x:c>
      <x:c r="H280" s="31" t="n">
        <x:f>E280/$D$23</x:f>
        <x:v>0.0066196486018312295</x:v>
      </x:c>
      <x:c r="I280" s="31" t="n">
        <x:f>(G280+H280)/2*(F280-D280)</x:f>
        <x:v>0.09523142648697211</x:v>
      </x:c>
      <x:c r="J280" s="31" t="n">
        <x:f>(H280-G280)/2*(F280+D280)</x:f>
        <x:v>-0.10762422493120698</x:v>
      </x:c>
      <x:c r="K280" s="31" t="n">
        <x:f>(G280+H280)/2*(MAX(0,F280-$B$3)-MIN(100,D280+$B$3))</x:f>
        <x:v>0.09448743096754268</x:v>
      </x:c>
      <x:c r="L280" s="31" t="n">
        <x:f>(G280+H280)/2*(MIN(100,F280+$B$3)-MAX(0,D280-$B$3))</x:f>
        <x:v>0.09597542200640154</x:v>
      </x:c>
      <x:c r="M280" s="31" t="n">
        <x:f>IF(H280&gt;=G280,(H280-G280)/2*(MAX(0,D280-$B$3)+MAX(0,F280-$B$3)),(H280-G280)/2*(MIN(100,D280+$B$3)+MIN(100,F280+$B$3)))</x:f>
        <x:v>-0.10770625559045334</x:v>
      </x:c>
      <x:c r="N280" s="31" t="n">
        <x:f>IF(H280&gt;=G280,(H280-G280)/2*(MIN(100,D280+$B$3)+MIN(100,F280+$B$3)),(H280-G280)/2*(MAX(0,D280-$B$3)+MAX(0,F280-$B$3)))</x:f>
        <x:v>-0.10754219427196066</x:v>
      </x:c>
      <x:c r="O280" s="13" t="str">
        <x:v>I03 GP_Code!P5621/U5621; I04 Table_1!P4992/U4992</x:v>
      </x:c>
    </x:row>
    <x:row r="281" ht="24" customHeight="1">
      <x:c r="A281" s="13" t="str">
        <x:v>QUA</x:v>
      </x:c>
      <x:c r="B281" s="13" t="str">
        <x:v>M88646</x:v>
      </x:c>
      <x:c r="C281" s="13" t="n">
        <x:f>D639</x:f>
        <x:v>23</x:v>
      </x:c>
      <x:c r="D281" s="30" t="n">
        <x:f>E639</x:f>
        <x:v>87</x:v>
      </x:c>
      <x:c r="E281" s="13" t="n">
        <x:f>D1003</x:f>
        <x:v>30</x:v>
      </x:c>
      <x:c r="F281" s="30" t="n">
        <x:f>E1003</x:f>
        <x:v>90</x:v>
      </x:c>
      <x:c r="G281" s="31" t="n">
        <x:f>C281/$C$23</x:f>
        <x:v>0.0014614309315033676</x:v>
      </x:c>
      <x:c r="H281" s="31" t="n">
        <x:f>E281/$D$23</x:f>
        <x:v>0.001855976243504083</x:v>
      </x:c>
      <x:c r="I281" s="31" t="n">
        <x:f>(G281+H281)/2*(F281-D281)</x:f>
        <x:v>0.004976110762511176</x:v>
      </x:c>
      <x:c r="J281" s="31" t="n">
        <x:f>(H281-G281)/2*(F281+D281)</x:f>
        <x:v>0.034917260112063316</x:v>
      </x:c>
      <x:c r="K281" s="31" t="n">
        <x:f>(G281+H281)/2*(MAX(0,F281-$B$3)-MIN(100,D281+$B$3))</x:f>
        <x:v>0.004810240403760813</x:v>
      </x:c>
      <x:c r="L281" s="31" t="n">
        <x:f>(G281+H281)/2*(MIN(100,F281+$B$3)-MAX(0,D281-$B$3))</x:f>
        <x:v>0.005141981121261539</x:v>
      </x:c>
      <x:c r="M281" s="31" t="n">
        <x:f>IF(H281&gt;=G281,(H281-G281)/2*(MAX(0,D281-$B$3)+MAX(0,F281-$B$3)),(H281-G281)/2*(MIN(100,D281+$B$3)+MIN(100,F281+$B$3)))</x:f>
        <x:v>0.03489753284646328</x:v>
      </x:c>
      <x:c r="N281" s="31" t="n">
        <x:f>IF(H281&gt;=G281,(H281-G281)/2*(MIN(100,D281+$B$3)+MIN(100,F281+$B$3)),(H281-G281)/2*(MAX(0,D281-$B$3)+MAX(0,F281-$B$3)))</x:f>
        <x:v>0.034936987377663355</x:v>
      </x:c>
      <x:c r="O281" s="13" t="str">
        <x:v>I03 GP_Code!P5622/U5622; I04 Table_1!P4993/U4993</x:v>
      </x:c>
    </x:row>
    <x:row r="282" ht="24" customHeight="1">
      <x:c r="A282" s="13" t="str">
        <x:v>QUA</x:v>
      </x:c>
      <x:c r="B282" s="13" t="str">
        <x:v>M88647</x:v>
      </x:c>
      <x:c r="C282" s="13" t="n">
        <x:f>D640</x:f>
        <x:v>66</x:v>
      </x:c>
      <x:c r="D282" s="30" t="n">
        <x:f>E640</x:f>
        <x:v>86.4</x:v>
      </x:c>
      <x:c r="E282" s="13" t="n">
        <x:f>D1004</x:f>
        <x:v>92</x:v>
      </x:c>
      <x:c r="F282" s="30" t="n">
        <x:f>E1004</x:f>
        <x:v>83.7</x:v>
      </x:c>
      <x:c r="G282" s="31" t="n">
        <x:f>C282/$C$23</x:f>
        <x:v>0.0041936713686618375</x:v>
      </x:c>
      <x:c r="H282" s="31" t="n">
        <x:f>E282/$D$23</x:f>
        <x:v>0.0056916604800791885</x:v>
      </x:c>
      <x:c r="I282" s="31" t="n">
        <x:f>(G282+H282)/2*(F282-D282)</x:f>
        <x:v>-0.013345197995800398</x:v>
      </x:c>
      <x:c r="J282" s="31" t="n">
        <x:f>(H282-G282)/2*(F282+D282)</x:f>
        <x:v>0.12740397392604572</x:v>
      </x:c>
      <x:c r="K282" s="31" t="n">
        <x:f>(G282+H282)/2*(MAX(0,F282-$B$3)-MIN(100,D282+$B$3))</x:f>
        <x:v>-0.013839464588237423</x:v>
      </x:c>
      <x:c r="L282" s="31" t="n">
        <x:f>(G282+H282)/2*(MIN(100,F282+$B$3)-MAX(0,D282-$B$3))</x:f>
        <x:v>-0.012850931403363375</x:v>
      </x:c>
      <x:c r="M282" s="31" t="n">
        <x:f>IF(H282&gt;=G282,(H282-G282)/2*(MAX(0,D282-$B$3)+MAX(0,F282-$B$3)),(H282-G282)/2*(MIN(100,D282+$B$3)+MIN(100,F282+$B$3)))</x:f>
        <x:v>0.12732907447047484</x:v>
      </x:c>
      <x:c r="N282" s="31" t="n">
        <x:f>IF(H282&gt;=G282,(H282-G282)/2*(MIN(100,D282+$B$3)+MIN(100,F282+$B$3)),(H282-G282)/2*(MAX(0,D282-$B$3)+MAX(0,F282-$B$3)))</x:f>
        <x:v>0.12747887338161656</x:v>
      </x:c>
      <x:c r="O282" s="13" t="str">
        <x:v>I03 GP_Code!P5623/U5623; I04 Table_1!P4994/U4994</x:v>
      </x:c>
    </x:row>
    <x:row r="283" ht="24" customHeight="1">
      <x:c r="A283" s="13" t="str">
        <x:v>QUA</x:v>
      </x:c>
      <x:c r="B283" s="13" t="str">
        <x:v>M91003</x:v>
      </x:c>
      <x:c r="C283" s="13" t="n">
        <x:f>D641</x:f>
        <x:v>80</x:v>
      </x:c>
      <x:c r="D283" s="30" t="n">
        <x:f>E641</x:f>
        <x:v>88.8</x:v>
      </x:c>
      <x:c r="E283" s="13" t="n">
        <x:f>D1005</x:f>
        <x:v>94</x:v>
      </x:c>
      <x:c r="F283" s="30" t="n">
        <x:f>E1005</x:f>
        <x:v>94.7</x:v>
      </x:c>
      <x:c r="G283" s="31" t="n">
        <x:f>C283/$C$23</x:f>
        <x:v>0.005083238022620409</x:v>
      </x:c>
      <x:c r="H283" s="31" t="n">
        <x:f>E283/$D$23</x:f>
        <x:v>0.005815392229646128</x:v>
      </x:c>
      <x:c r="I283" s="31" t="n">
        <x:f>(G283+H283)/2*(F283-D283)</x:f>
        <x:v>0.03215095924418632</x:v>
      </x:c>
      <x:c r="J283" s="31" t="n">
        <x:f>(H283-G283)/2*(F283+D283)</x:f>
        <x:v>0.06717514849460965</x:v>
      </x:c>
      <x:c r="K283" s="31" t="n">
        <x:f>(G283+H283)/2*(MAX(0,F283-$B$3)-MIN(100,D283+$B$3))</x:f>
        <x:v>0.03160602773157302</x:v>
      </x:c>
      <x:c r="L283" s="31" t="n">
        <x:f>(G283+H283)/2*(MIN(100,F283+$B$3)-MAX(0,D283-$B$3))</x:f>
        <x:v>0.032695890756799614</x:v>
      </x:c>
      <x:c r="M283" s="31" t="n">
        <x:f>IF(H283&gt;=G283,(H283-G283)/2*(MAX(0,D283-$B$3)+MAX(0,F283-$B$3)),(H283-G283)/2*(MIN(100,D283+$B$3)+MIN(100,F283+$B$3)))</x:f>
        <x:v>0.06713854078425836</x:v>
      </x:c>
      <x:c r="N283" s="31" t="n">
        <x:f>IF(H283&gt;=G283,(H283-G283)/2*(MIN(100,D283+$B$3)+MIN(100,F283+$B$3)),(H283-G283)/2*(MAX(0,D283-$B$3)+MAX(0,F283-$B$3)))</x:f>
        <x:v>0.06721175620496093</x:v>
      </x:c>
      <x:c r="O283" s="13" t="str">
        <x:v>I03 GP_Code!P5624/U5624; I04 Table_1!P4995/U4995</x:v>
      </x:c>
    </x:row>
    <x:row r="284" ht="24" customHeight="1">
      <x:c r="A284" s="13" t="str">
        <x:v>QUA</x:v>
      </x:c>
      <x:c r="B284" s="13" t="str">
        <x:v>M91004</x:v>
      </x:c>
      <x:c r="C284" s="13" t="n">
        <x:f>D642</x:f>
        <x:v>172</x:v>
      </x:c>
      <x:c r="D284" s="30" t="n">
        <x:f>E642</x:f>
        <x:v>65.1</x:v>
      </x:c>
      <x:c r="E284" s="13" t="n">
        <x:f>D1006</x:f>
        <x:v>144</x:v>
      </x:c>
      <x:c r="F284" s="30" t="n">
        <x:f>E1006</x:f>
        <x:v>77.1</x:v>
      </x:c>
      <x:c r="G284" s="31" t="n">
        <x:f>C284/$C$23</x:f>
        <x:v>0.01092896174863388</x:v>
      </x:c>
      <x:c r="H284" s="31" t="n">
        <x:f>E284/$D$23</x:f>
        <x:v>0.008908685968819599</x:v>
      </x:c>
      <x:c r="I284" s="31" t="n">
        <x:f>(G284+H284)/2*(F284-D284)</x:f>
        <x:v>0.11902588630472087</x:v>
      </x:c>
      <x:c r="J284" s="31" t="n">
        <x:f>(H284-G284)/2*(F284+D284)</x:f>
        <x:v>-0.14364160794479536</x:v>
      </x:c>
      <x:c r="K284" s="31" t="n">
        <x:f>(G284+H284)/2*(MAX(0,F284-$B$3)-MIN(100,D284+$B$3))</x:f>
        <x:v>0.11803400391884826</x:v>
      </x:c>
      <x:c r="L284" s="31" t="n">
        <x:f>(G284+H284)/2*(MIN(100,F284+$B$3)-MAX(0,D284-$B$3))</x:f>
        <x:v>0.12001776869059348</x:v>
      </x:c>
      <x:c r="M284" s="31" t="n">
        <x:f>IF(H284&gt;=G284,(H284-G284)/2*(MAX(0,D284-$B$3)+MAX(0,F284-$B$3)),(H284-G284)/2*(MIN(100,D284+$B$3)+MIN(100,F284+$B$3)))</x:f>
        <x:v>-0.14374262173378607</x:v>
      </x:c>
      <x:c r="N284" s="31" t="n">
        <x:f>IF(H284&gt;=G284,(H284-G284)/2*(MIN(100,D284+$B$3)+MIN(100,F284+$B$3)),(H284-G284)/2*(MAX(0,D284-$B$3)+MAX(0,F284-$B$3)))</x:f>
        <x:v>-0.14354059415580467</x:v>
      </x:c>
      <x:c r="O284" s="13" t="str">
        <x:v>I03 GP_Code!P5625/U5625; I04 Table_1!P4996/U4996</x:v>
      </x:c>
    </x:row>
    <x:row r="285" ht="24" customHeight="1">
      <x:c r="A285" s="13" t="str">
        <x:v>QUA</x:v>
      </x:c>
      <x:c r="B285" s="13" t="str">
        <x:v>M91006</x:v>
      </x:c>
      <x:c r="C285" s="13" t="n">
        <x:f>D643</x:f>
        <x:v>57</x:v>
      </x:c>
      <x:c r="D285" s="30" t="n">
        <x:f>E643</x:f>
        <x:v>93</x:v>
      </x:c>
      <x:c r="E285" s="13" t="n">
        <x:f>D1007</x:f>
        <x:v>52</x:v>
      </x:c>
      <x:c r="F285" s="30" t="n">
        <x:f>E1007</x:f>
        <x:v>90.4</x:v>
      </x:c>
      <x:c r="G285" s="31" t="n">
        <x:f>C285/$C$23</x:f>
        <x:v>0.0036218070911170418</x:v>
      </x:c>
      <x:c r="H285" s="31" t="n">
        <x:f>E285/$D$23</x:f>
        <x:v>0.0032170254887404106</x:v>
      </x:c>
      <x:c r="I285" s="31" t="n">
        <x:f>(G285+H285)/2*(F285-D285)</x:f>
        <x:v>-0.008890482353814668</x:v>
      </x:c>
      <x:c r="J285" s="31" t="n">
        <x:f>(H285-G285)/2*(F285+D285)</x:f>
        <x:v>-0.037118472937937075</x:v>
      </x:c>
      <x:c r="K285" s="31" t="n">
        <x:f>(G285+H285)/2*(MAX(0,F285-$B$3)-MIN(100,D285+$B$3))</x:f>
        <x:v>-0.009232423982807521</x:v>
      </x:c>
      <x:c r="L285" s="31" t="n">
        <x:f>(G285+H285)/2*(MIN(100,F285+$B$3)-MAX(0,D285-$B$3))</x:f>
        <x:v>-0.008548540724821816</x:v>
      </x:c>
      <x:c r="M285" s="31" t="n">
        <x:f>IF(H285&gt;=G285,(H285-G285)/2*(MAX(0,D285-$B$3)+MAX(0,F285-$B$3)),(H285-G285)/2*(MIN(100,D285+$B$3)+MIN(100,F285+$B$3)))</x:f>
        <x:v>-0.0371387120180559</x:v>
      </x:c>
      <x:c r="N285" s="31" t="n">
        <x:f>IF(H285&gt;=G285,(H285-G285)/2*(MIN(100,D285+$B$3)+MIN(100,F285+$B$3)),(H285-G285)/2*(MAX(0,D285-$B$3)+MAX(0,F285-$B$3)))</x:f>
        <x:v>-0.03709823385781824</x:v>
      </x:c>
      <x:c r="O285" s="13" t="str">
        <x:v>I03 GP_Code!P5626/U5626; I04 Table_1!P4997/U4997</x:v>
      </x:c>
    </x:row>
    <x:row r="286" ht="24" customHeight="1">
      <x:c r="A286" s="13" t="str">
        <x:v>QUA</x:v>
      </x:c>
      <x:c r="B286" s="13" t="str">
        <x:v>M91007</x:v>
      </x:c>
      <x:c r="C286" s="13" t="n">
        <x:f>D644</x:f>
        <x:v>92</x:v>
      </x:c>
      <x:c r="D286" s="30" t="n">
        <x:f>E644</x:f>
        <x:v>90.2</x:v>
      </x:c>
      <x:c r="E286" s="13" t="n">
        <x:f>D1008</x:f>
        <x:v>68</x:v>
      </x:c>
      <x:c r="F286" s="30" t="n">
        <x:f>E1008</x:f>
        <x:v>95.6</x:v>
      </x:c>
      <x:c r="G286" s="31" t="n">
        <x:f>C286/$C$23</x:f>
        <x:v>0.00584572372601347</x:v>
      </x:c>
      <x:c r="H286" s="31" t="n">
        <x:f>E286/$D$23</x:f>
        <x:v>0.004206879485275922</x:v>
      </x:c>
      <x:c r="I286" s="31" t="n">
        <x:f>(G286+H286)/2*(F286-D286)</x:f>
        <x:v>0.02714202867048132</x:v>
      </x:c>
      <x:c r="J286" s="31" t="n">
        <x:f>(H286-G286)/2*(F286+D286)</x:f>
        <x:v>-0.15224862996451824</x:v>
      </x:c>
      <x:c r="K286" s="31" t="n">
        <x:f>(G286+H286)/2*(MAX(0,F286-$B$3)-MIN(100,D286+$B$3))</x:f>
        <x:v>0.026639398509916874</x:v>
      </x:c>
      <x:c r="L286" s="31" t="n">
        <x:f>(G286+H286)/2*(MIN(100,F286+$B$3)-MAX(0,D286-$B$3))</x:f>
        <x:v>0.02764465883104576</x:v>
      </x:c>
      <x:c r="M286" s="31" t="n">
        <x:f>IF(H286&gt;=G286,(H286-G286)/2*(MAX(0,D286-$B$3)+MAX(0,F286-$B$3)),(H286-G286)/2*(MIN(100,D286+$B$3)+MIN(100,F286+$B$3)))</x:f>
        <x:v>-0.1523305721765551</x:v>
      </x:c>
      <x:c r="N286" s="31" t="n">
        <x:f>IF(H286&gt;=G286,(H286-G286)/2*(MIN(100,D286+$B$3)+MIN(100,F286+$B$3)),(H286-G286)/2*(MAX(0,D286-$B$3)+MAX(0,F286-$B$3)))</x:f>
        <x:v>-0.15216668775248135</x:v>
      </x:c>
      <x:c r="O286" s="13" t="str">
        <x:v>I03 GP_Code!P5627/U5627; I04 Table_1!P4998/U4998</x:v>
      </x:c>
    </x:row>
    <x:row r="287" ht="24" customHeight="1">
      <x:c r="A287" s="13" t="str">
        <x:v>QUA</x:v>
      </x:c>
      <x:c r="B287" s="13" t="str">
        <x:v>M91008</x:v>
      </x:c>
      <x:c r="C287" s="13" t="n">
        <x:f>D645</x:f>
        <x:v>139</x:v>
      </x:c>
      <x:c r="D287" s="30" t="n">
        <x:f>E645</x:f>
        <x:v>80.6</x:v>
      </x:c>
      <x:c r="E287" s="13" t="n">
        <x:f>D1009</x:f>
        <x:v>133</x:v>
      </x:c>
      <x:c r="F287" s="30" t="n">
        <x:f>E1009</x:f>
        <x:v>70.7</x:v>
      </x:c>
      <x:c r="G287" s="31" t="n">
        <x:f>C287/$C$23</x:f>
        <x:v>0.008832126064302961</x:v>
      </x:c>
      <x:c r="H287" s="31" t="n">
        <x:f>E287/$D$23</x:f>
        <x:v>0.008228161346201435</x:v>
      </x:c>
      <x:c r="I287" s="31" t="n">
        <x:f>(G287+H287)/2*(F287-D287)</x:f>
        <x:v>-0.08444842268199668</x:v>
      </x:c>
      <x:c r="J287" s="31" t="n">
        <x:f>(H287-G287)/2*(F287+D287)</x:f>
        <x:v>-0.04568993092438048</x:v>
      </x:c>
      <x:c r="K287" s="31" t="n">
        <x:f>(G287+H287)/2*(MAX(0,F287-$B$3)-MIN(100,D287+$B$3))</x:f>
        <x:v>-0.08530143705252186</x:v>
      </x:c>
      <x:c r="L287" s="31" t="n">
        <x:f>(G287+H287)/2*(MIN(100,F287+$B$3)-MAX(0,D287-$B$3))</x:f>
        <x:v>-0.08359540831147151</x:v>
      </x:c>
      <x:c r="M287" s="31" t="n">
        <x:f>IF(H287&gt;=G287,(H287-G287)/2*(MAX(0,D287-$B$3)+MAX(0,F287-$B$3)),(H287-G287)/2*(MIN(100,D287+$B$3)+MIN(100,F287+$B$3)))</x:f>
        <x:v>-0.04572012916028554</x:v>
      </x:c>
      <x:c r="N287" s="31" t="n">
        <x:f>IF(H287&gt;=G287,(H287-G287)/2*(MIN(100,D287+$B$3)+MIN(100,F287+$B$3)),(H287-G287)/2*(MAX(0,D287-$B$3)+MAX(0,F287-$B$3)))</x:f>
        <x:v>-0.04565973268847539</x:v>
      </x:c>
      <x:c r="O287" s="13" t="str">
        <x:v>I03 GP_Code!P5628/U5628; I04 Table_1!P4999/U4999</x:v>
      </x:c>
    </x:row>
    <x:row r="288" ht="24" customHeight="1">
      <x:c r="A288" s="13" t="str">
        <x:v>QUA</x:v>
      </x:c>
      <x:c r="B288" s="13" t="str">
        <x:v>M91009</x:v>
      </x:c>
      <x:c r="C288" s="13" t="n">
        <x:f>D646</x:f>
        <x:v>67</x:v>
      </x:c>
      <x:c r="D288" s="30" t="n">
        <x:f>E646</x:f>
        <x:v>88.1</x:v>
      </x:c>
      <x:c r="E288" s="13" t="n">
        <x:f>D1010</x:f>
        <x:v>52</x:v>
      </x:c>
      <x:c r="F288" s="30" t="n">
        <x:f>E1010</x:f>
        <x:v>92.3</x:v>
      </x:c>
      <x:c r="G288" s="31" t="n">
        <x:f>C288/$C$23</x:f>
        <x:v>0.0042572118439445925</x:v>
      </x:c>
      <x:c r="H288" s="31" t="n">
        <x:f>E288/$D$23</x:f>
        <x:v>0.0032170254887404106</x:v>
      </x:c>
      <x:c r="I288" s="31" t="n">
        <x:f>(G288+H288)/2*(F288-D288)</x:f>
        <x:v>0.015695898398638518</x:v>
      </x:c>
      <x:c r="J288" s="31" t="n">
        <x:f>(H288-G288)/2*(F288+D288)</x:f>
        <x:v>-0.09382480923941719</x:v>
      </x:c>
      <x:c r="K288" s="31" t="n">
        <x:f>(G288+H288)/2*(MAX(0,F288-$B$3)-MIN(100,D288+$B$3))</x:f>
        <x:v>0.015322186532004288</x:v>
      </x:c>
      <x:c r="L288" s="31" t="n">
        <x:f>(G288+H288)/2*(MIN(100,F288+$B$3)-MAX(0,D288-$B$3))</x:f>
        <x:v>0.016069610265272746</x:v>
      </x:c>
      <x:c r="M288" s="31" t="n">
        <x:f>IF(H288&gt;=G288,(H288-G288)/2*(MAX(0,D288-$B$3)+MAX(0,F288-$B$3)),(H288-G288)/2*(MIN(100,D288+$B$3)+MIN(100,F288+$B$3)))</x:f>
        <x:v>-0.09387681855717742</x:v>
      </x:c>
      <x:c r="N288" s="31" t="n">
        <x:f>IF(H288&gt;=G288,(H288-G288)/2*(MIN(100,D288+$B$3)+MIN(100,F288+$B$3)),(H288-G288)/2*(MAX(0,D288-$B$3)+MAX(0,F288-$B$3)))</x:f>
        <x:v>-0.093772799921657</x:v>
      </x:c>
      <x:c r="O288" s="13" t="str">
        <x:v>I03 GP_Code!P5629/U5629; I04 Table_1!P5000/U5000</x:v>
      </x:c>
    </x:row>
    <x:row r="289" ht="24" customHeight="1">
      <x:c r="A289" s="13" t="str">
        <x:v>QUA</x:v>
      </x:c>
      <x:c r="B289" s="13" t="str">
        <x:v>M91010</x:v>
      </x:c>
      <x:c r="C289" s="13" t="n">
        <x:f>D647</x:f>
        <x:v>82</x:v>
      </x:c>
      <x:c r="D289" s="30" t="n">
        <x:f>E647</x:f>
        <x:v>93.9</x:v>
      </x:c>
      <x:c r="E289" s="13" t="n">
        <x:f>D1011</x:f>
        <x:v>99</x:v>
      </x:c>
      <x:c r="F289" s="30" t="n">
        <x:f>E1011</x:f>
        <x:v>98</x:v>
      </x:c>
      <x:c r="G289" s="31" t="n">
        <x:f>C289/$C$23</x:f>
        <x:v>0.005210318973185919</x:v>
      </x:c>
      <x:c r="H289" s="31" t="n">
        <x:f>E289/$D$23</x:f>
        <x:v>0.006124721603563474</x:v>
      </x:c>
      <x:c r="I289" s="31" t="n">
        <x:f>(G289+H289)/2*(F289-D289)</x:f>
        <x:v>0.02323683318233622</x:v>
      </x:c>
      <x:c r="J289" s="31" t="n">
        <x:f>(H289-G289)/2*(F289+D289)</x:f>
        <x:v>0.08773693238472638</x:v>
      </x:c>
      <x:c r="K289" s="31" t="n">
        <x:f>(G289+H289)/2*(MAX(0,F289-$B$3)-MIN(100,D289+$B$3))</x:f>
        <x:v>0.022670081153498785</x:v>
      </x:c>
      <x:c r="L289" s="31" t="n">
        <x:f>(G289+H289)/2*(MIN(100,F289+$B$3)-MAX(0,D289-$B$3))</x:f>
        <x:v>0.02380358521117366</x:v>
      </x:c>
      <x:c r="M289" s="31" t="n">
        <x:f>IF(H289&gt;=G289,(H289-G289)/2*(MAX(0,D289-$B$3)+MAX(0,F289-$B$3)),(H289-G289)/2*(MIN(100,D289+$B$3)+MIN(100,F289+$B$3)))</x:f>
        <x:v>0.0876912122532075</x:v>
      </x:c>
      <x:c r="N289" s="31" t="n">
        <x:f>IF(H289&gt;=G289,(H289-G289)/2*(MIN(100,D289+$B$3)+MIN(100,F289+$B$3)),(H289-G289)/2*(MAX(0,D289-$B$3)+MAX(0,F289-$B$3)))</x:f>
        <x:v>0.08778265251624526</x:v>
      </x:c>
      <x:c r="O289" s="13" t="str">
        <x:v>I03 GP_Code!P5630/U5630; I04 Table_1!P5001/U5001</x:v>
      </x:c>
    </x:row>
    <x:row r="290" ht="24" customHeight="1">
      <x:c r="A290" s="13" t="str">
        <x:v>QUA</x:v>
      </x:c>
      <x:c r="B290" s="13" t="str">
        <x:v>M91013</x:v>
      </x:c>
      <x:c r="C290" s="13" t="n">
        <x:f>D649</x:f>
        <x:v>124</x:v>
      </x:c>
      <x:c r="D290" s="30" t="n">
        <x:f>E649</x:f>
        <x:v>79</x:v>
      </x:c>
      <x:c r="E290" s="13" t="n">
        <x:f>D1013</x:f>
        <x:v>101</x:v>
      </x:c>
      <x:c r="F290" s="30" t="n">
        <x:f>E1013</x:f>
        <x:v>81.2</x:v>
      </x:c>
      <x:c r="G290" s="31" t="n">
        <x:f>C290/$C$23</x:f>
        <x:v>0.007879018935061634</x:v>
      </x:c>
      <x:c r="H290" s="31" t="n">
        <x:f>E290/$D$23</x:f>
        <x:v>0.006248453353130413</x:v>
      </x:c>
      <x:c r="I290" s="31" t="n">
        <x:f>(G290+H290)/2*(F290-D290)</x:f>
        <x:v>0.015540219517011272</x:v>
      </x:c>
      <x:c r="J290" s="31" t="n">
        <x:f>(H290-G290)/2*(F290+D290)</x:f>
        <x:v>-0.13060830311269078</x:v>
      </x:c>
      <x:c r="K290" s="31" t="n">
        <x:f>(G290+H290)/2*(MAX(0,F290-$B$3)-MIN(100,D290+$B$3))</x:f>
        <x:v>0.014833845902601709</x:v>
      </x:c>
      <x:c r="L290" s="31" t="n">
        <x:f>(G290+H290)/2*(MIN(100,F290+$B$3)-MAX(0,D290-$B$3))</x:f>
        <x:v>0.016246593131420833</x:v>
      </x:c>
      <x:c r="M290" s="31" t="n">
        <x:f>IF(H290&gt;=G290,(H290-G290)/2*(MAX(0,D290-$B$3)+MAX(0,F290-$B$3)),(H290-G290)/2*(MIN(100,D290+$B$3)+MIN(100,F290+$B$3)))</x:f>
        <x:v>-0.13068983139178736</x:v>
      </x:c>
      <x:c r="N290" s="31" t="n">
        <x:f>IF(H290&gt;=G290,(H290-G290)/2*(MIN(100,D290+$B$3)+MIN(100,F290+$B$3)),(H290-G290)/2*(MAX(0,D290-$B$3)+MAX(0,F290-$B$3)))</x:f>
        <x:v>-0.13052677483359423</x:v>
      </x:c>
      <x:c r="O290" s="13" t="str">
        <x:v>I03 GP_Code!P5632/U5632; I04 Table_1!P5003/U5003</x:v>
      </x:c>
    </x:row>
    <x:row r="291" ht="24" customHeight="1">
      <x:c r="A291" s="13" t="str">
        <x:v>QUA</x:v>
      </x:c>
      <x:c r="B291" s="13" t="str">
        <x:v>M91014</x:v>
      </x:c>
      <x:c r="C291" s="13" t="n">
        <x:f>D650</x:f>
        <x:v>36</x:v>
      </x:c>
      <x:c r="D291" s="30" t="n">
        <x:f>E650</x:f>
        <x:v>80.6</x:v>
      </x:c>
      <x:c r="E291" s="13" t="n">
        <x:f>D1014</x:f>
        <x:v>36</x:v>
      </x:c>
      <x:c r="F291" s="30" t="n">
        <x:f>E1014</x:f>
        <x:v>75</x:v>
      </x:c>
      <x:c r="G291" s="31" t="n">
        <x:f>C291/$C$23</x:f>
        <x:v>0.002287457110179184</x:v>
      </x:c>
      <x:c r="H291" s="31" t="n">
        <x:f>E291/$D$23</x:f>
        <x:v>0.0022271714922048997</x:v>
      </x:c>
      <x:c r="I291" s="31" t="n">
        <x:f>(G291+H291)/2*(F291-D291)</x:f>
        <x:v>-0.01264096008667542</x:v>
      </x:c>
      <x:c r="J291" s="31" t="n">
        <x:f>(H291-G291)/2*(F291+D291)</x:f>
        <x:v>-0.004690221078399323</x:v>
      </x:c>
      <x:c r="K291" s="31" t="n">
        <x:f>(G291+H291)/2*(MAX(0,F291-$B$3)-MIN(100,D291+$B$3))</x:f>
        <x:v>-0.012866691516794612</x:v>
      </x:c>
      <x:c r="L291" s="31" t="n">
        <x:f>(G291+H291)/2*(MIN(100,F291+$B$3)-MAX(0,D291-$B$3))</x:f>
        <x:v>-0.01241522865655623</x:v>
      </x:c>
      <x:c r="M291" s="31" t="n">
        <x:f>IF(H291&gt;=G291,(H291-G291)/2*(MAX(0,D291-$B$3)+MAX(0,F291-$B$3)),(H291-G291)/2*(MIN(100,D291+$B$3)+MIN(100,F291+$B$3)))</x:f>
        <x:v>-0.004693235359298037</x:v>
      </x:c>
      <x:c r="N291" s="31" t="n">
        <x:f>IF(H291&gt;=G291,(H291-G291)/2*(MIN(100,D291+$B$3)+MIN(100,F291+$B$3)),(H291-G291)/2*(MAX(0,D291-$B$3)+MAX(0,F291-$B$3)))</x:f>
        <x:v>-0.004687206797500609</x:v>
      </x:c>
      <x:c r="O291" s="13" t="str">
        <x:v>I03 GP_Code!P5633/U5633; I04 Table_1!P5004/U5004</x:v>
      </x:c>
    </x:row>
    <x:row r="292" ht="24" customHeight="1">
      <x:c r="A292" s="13" t="str">
        <x:v>QUA</x:v>
      </x:c>
      <x:c r="B292" s="13" t="str">
        <x:v>M91015</x:v>
      </x:c>
      <x:c r="C292" s="13" t="n">
        <x:f>D651</x:f>
        <x:v>104</x:v>
      </x:c>
      <x:c r="D292" s="30" t="n">
        <x:f>E651</x:f>
        <x:v>75</x:v>
      </x:c>
      <x:c r="E292" s="13" t="n">
        <x:f>D1015</x:f>
        <x:v>270</x:v>
      </x:c>
      <x:c r="F292" s="30" t="n">
        <x:f>E1015</x:f>
        <x:v>85.9</x:v>
      </x:c>
      <x:c r="G292" s="31" t="n">
        <x:f>C292/$C$23</x:f>
        <x:v>0.006608209429406532</x:v>
      </x:c>
      <x:c r="H292" s="31" t="n">
        <x:f>E292/$D$23</x:f>
        <x:v>0.01670378619153675</x:v>
      </x:c>
      <x:c r="I292" s="31" t="n">
        <x:f>(G292+H292)/2*(F292-D292)</x:f>
        <x:v>0.12705037613414094</x:v>
      </x:c>
      <x:c r="J292" s="31" t="n">
        <x:f>(H292-G292)/2*(F292+D292)</x:f>
        <x:v>0.8121891505133761</x:v>
      </x:c>
      <x:c r="K292" s="31" t="n">
        <x:f>(G292+H292)/2*(MAX(0,F292-$B$3)-MIN(100,D292+$B$3))</x:f>
        <x:v>0.12588477635309386</x:v>
      </x:c>
      <x:c r="L292" s="31" t="n">
        <x:f>(G292+H292)/2*(MIN(100,F292+$B$3)-MAX(0,D292-$B$3))</x:f>
        <x:v>0.12821597591518805</x:v>
      </x:c>
      <x:c r="M292" s="31" t="n">
        <x:f>IF(H292&gt;=G292,(H292-G292)/2*(MAX(0,D292-$B$3)+MAX(0,F292-$B$3)),(H292-G292)/2*(MIN(100,D292+$B$3)+MIN(100,F292+$B$3)))</x:f>
        <x:v>0.8116843716752696</x:v>
      </x:c>
      <x:c r="N292" s="31" t="n">
        <x:f>IF(H292&gt;=G292,(H292-G292)/2*(MIN(100,D292+$B$3)+MIN(100,F292+$B$3)),(H292-G292)/2*(MAX(0,D292-$B$3)+MAX(0,F292-$B$3)))</x:f>
        <x:v>0.8126939293514825</x:v>
      </x:c>
      <x:c r="O292" s="13" t="str">
        <x:v>I03 GP_Code!P5634/U5634; I04 Table_1!P5005/U5005</x:v>
      </x:c>
    </x:row>
    <x:row r="293" ht="24" customHeight="1">
      <x:c r="A293" s="13" t="str">
        <x:v>QUA</x:v>
      </x:c>
      <x:c r="B293" s="13" t="str">
        <x:v>M91016</x:v>
      </x:c>
      <x:c r="C293" s="13" t="n">
        <x:f>D652</x:f>
        <x:v>82</x:v>
      </x:c>
      <x:c r="D293" s="30" t="n">
        <x:f>E652</x:f>
        <x:v>76.8</x:v>
      </x:c>
      <x:c r="E293" s="13" t="n">
        <x:f>D1016</x:f>
        <x:v>91</x:v>
      </x:c>
      <x:c r="F293" s="30" t="n">
        <x:f>E1016</x:f>
        <x:v>90.1</x:v>
      </x:c>
      <x:c r="G293" s="31" t="n">
        <x:f>C293/$C$23</x:f>
        <x:v>0.005210318973185919</x:v>
      </x:c>
      <x:c r="H293" s="31" t="n">
        <x:f>E293/$D$23</x:f>
        <x:v>0.0056297946052957185</x:v>
      </x:c>
      <x:c r="I293" s="31" t="n">
        <x:f>(G293+H293)/2*(F293-D293)</x:f>
        <x:v>0.07208675529690288</x:v>
      </x:c>
      <x:c r="J293" s="31" t="n">
        <x:f>(H293-G293)/2*(F293+D293)</x:f>
        <x:v>0.035005241499562745</x:v>
      </x:c>
      <x:c r="K293" s="31" t="n">
        <x:f>(G293+H293)/2*(MAX(0,F293-$B$3)-MIN(100,D293+$B$3))</x:f>
        <x:v>0.07154474961797883</x:v>
      </x:c>
      <x:c r="L293" s="31" t="n">
        <x:f>(G293+H293)/2*(MIN(100,F293+$B$3)-MAX(0,D293-$B$3))</x:f>
        <x:v>0.07262876097582693</x:v>
      </x:c>
      <x:c r="M293" s="31" t="n">
        <x:f>IF(H293&gt;=G293,(H293-G293)/2*(MAX(0,D293-$B$3)+MAX(0,F293-$B$3)),(H293-G293)/2*(MIN(100,D293+$B$3)+MIN(100,F293+$B$3)))</x:f>
        <x:v>0.03498426771795726</x:v>
      </x:c>
      <x:c r="N293" s="31" t="n">
        <x:f>IF(H293&gt;=G293,(H293-G293)/2*(MIN(100,D293+$B$3)+MIN(100,F293+$B$3)),(H293-G293)/2*(MAX(0,D293-$B$3)+MAX(0,F293-$B$3)))</x:f>
        <x:v>0.03502621528116824</x:v>
      </x:c>
      <x:c r="O293" s="13" t="str">
        <x:v>I03 GP_Code!P5635/U5635; I04 Table_1!P5006/U5006</x:v>
      </x:c>
    </x:row>
    <x:row r="294" ht="24" customHeight="1">
      <x:c r="A294" s="13" t="str">
        <x:v>QUA</x:v>
      </x:c>
      <x:c r="B294" s="13" t="str">
        <x:v>M91017</x:v>
      </x:c>
      <x:c r="C294" s="13" t="n">
        <x:f>D653</x:f>
        <x:v>106</x:v>
      </x:c>
      <x:c r="D294" s="30" t="n">
        <x:f>E653</x:f>
        <x:v>96.2</x:v>
      </x:c>
      <x:c r="E294" s="13" t="n">
        <x:f>D1017</x:f>
        <x:v>91</x:v>
      </x:c>
      <x:c r="F294" s="30" t="n">
        <x:f>E1017</x:f>
        <x:v>95.6</x:v>
      </x:c>
      <x:c r="G294" s="31" t="n">
        <x:f>C294/$C$23</x:f>
        <x:v>0.006735290379972042</x:v>
      </x:c>
      <x:c r="H294" s="31" t="n">
        <x:f>E294/$D$23</x:f>
        <x:v>0.0056297946052957185</x:v>
      </x:c>
      <x:c r="I294" s="31" t="n">
        <x:f>(G294+H294)/2*(F294-D294)</x:f>
        <x:v>-0.0037095254955803814</x:v>
      </x:c>
      <x:c r="J294" s="31" t="n">
        <x:f>(H294-G294)/2*(F294+D294)</x:f>
        <x:v>-0.10601704479145944</x:v>
      </x:c>
      <x:c r="K294" s="31" t="n">
        <x:f>(G294+H294)/2*(MAX(0,F294-$B$3)-MIN(100,D294+$B$3))</x:f>
        <x:v>-0.004327779744843734</x:v>
      </x:c>
      <x:c r="L294" s="31" t="n">
        <x:f>(G294+H294)/2*(MIN(100,F294+$B$3)-MAX(0,D294-$B$3))</x:f>
        <x:v>-0.0030912712463170284</x:v>
      </x:c>
      <x:c r="M294" s="31" t="n">
        <x:f>IF(H294&gt;=G294,(H294-G294)/2*(MAX(0,D294-$B$3)+MAX(0,F294-$B$3)),(H294-G294)/2*(MIN(100,D294+$B$3)+MIN(100,F294+$B$3)))</x:f>
        <x:v>-0.10607231958019325</x:v>
      </x:c>
      <x:c r="N294" s="31" t="n">
        <x:f>IF(H294&gt;=G294,(H294-G294)/2*(MIN(100,D294+$B$3)+MIN(100,F294+$B$3)),(H294-G294)/2*(MAX(0,D294-$B$3)+MAX(0,F294-$B$3)))</x:f>
        <x:v>-0.10596177000272562</x:v>
      </x:c>
      <x:c r="O294" s="13" t="str">
        <x:v>I03 GP_Code!P5636/U5636; I04 Table_1!P5007/U5007</x:v>
      </x:c>
    </x:row>
    <x:row r="295" ht="24" customHeight="1">
      <x:c r="A295" s="13" t="str">
        <x:v>QUA</x:v>
      </x:c>
      <x:c r="B295" s="13" t="str">
        <x:v>M91018</x:v>
      </x:c>
      <x:c r="C295" s="13" t="n">
        <x:f>D654</x:f>
        <x:v>30</x:v>
      </x:c>
      <x:c r="D295" s="30" t="n">
        <x:f>E654</x:f>
        <x:v>66.7</x:v>
      </x:c>
      <x:c r="E295" s="13" t="n">
        <x:f>D1018</x:f>
        <x:v>40</x:v>
      </x:c>
      <x:c r="F295" s="30" t="n">
        <x:f>E1018</x:f>
        <x:v>67.5</x:v>
      </x:c>
      <x:c r="G295" s="31" t="n">
        <x:f>C295/$C$23</x:f>
        <x:v>0.0019062142584826535</x:v>
      </x:c>
      <x:c r="H295" s="31" t="n">
        <x:f>E295/$D$23</x:f>
        <x:v>0.0024746349913387774</x:v>
      </x:c>
      <x:c r="I295" s="31" t="n">
        <x:f>(G295+H295)/2*(F295-D295)</x:f>
        <x:v>0.0017523396999285662</x:v>
      </x:c>
      <x:c r="J295" s="31" t="n">
        <x:f>(H295-G295)/2*(F295+D295)</x:f>
        <x:v>0.038141031174645915</x:v>
      </x:c>
      <x:c r="K295" s="31" t="n">
        <x:f>(G295+H295)/2*(MAX(0,F295-$B$3)-MIN(100,D295+$B$3))</x:f>
        <x:v>0.001533297237437507</x:v>
      </x:c>
      <x:c r="L295" s="31" t="n">
        <x:f>(G295+H295)/2*(MIN(100,F295+$B$3)-MAX(0,D295-$B$3))</x:f>
        <x:v>0.0019713821624196253</x:v>
      </x:c>
      <x:c r="M295" s="31" t="n">
        <x:f>IF(H295&gt;=G295,(H295-G295)/2*(MAX(0,D295-$B$3)+MAX(0,F295-$B$3)),(H295-G295)/2*(MIN(100,D295+$B$3)+MIN(100,F295+$B$3)))</x:f>
        <x:v>0.038112610138003114</x:v>
      </x:c>
      <x:c r="N295" s="31" t="n">
        <x:f>IF(H295&gt;=G295,(H295-G295)/2*(MIN(100,D295+$B$3)+MIN(100,F295+$B$3)),(H295-G295)/2*(MAX(0,D295-$B$3)+MAX(0,F295-$B$3)))</x:f>
        <x:v>0.03816945221128872</x:v>
      </x:c>
      <x:c r="O295" s="13" t="str">
        <x:v>I03 GP_Code!P5637/U5637; I04 Table_1!P5008/U5008</x:v>
      </x:c>
    </x:row>
    <x:row r="296" ht="24" customHeight="1">
      <x:c r="A296" s="13" t="str">
        <x:v>QUA</x:v>
      </x:c>
      <x:c r="B296" s="13" t="str">
        <x:v>M91019</x:v>
      </x:c>
      <x:c r="C296" s="13" t="n">
        <x:f>D655</x:f>
        <x:v>145</x:v>
      </x:c>
      <x:c r="D296" s="30" t="n">
        <x:f>E655</x:f>
        <x:v>91</x:v>
      </x:c>
      <x:c r="E296" s="13" t="n">
        <x:f>D1019</x:f>
        <x:v>172</x:v>
      </x:c>
      <x:c r="F296" s="30" t="n">
        <x:f>E1019</x:f>
        <x:v>89</x:v>
      </x:c>
      <x:c r="G296" s="31" t="n">
        <x:f>C296/$C$23</x:f>
        <x:v>0.009213368915999491</x:v>
      </x:c>
      <x:c r="H296" s="31" t="n">
        <x:f>E296/$D$23</x:f>
        <x:v>0.010640930462756744</x:v>
      </x:c>
      <x:c r="I296" s="31" t="n">
        <x:f>(G296+H296)/2*(F296-D296)</x:f>
        <x:v>-0.019854299378756234</x:v>
      </x:c>
      <x:c r="J296" s="31" t="n">
        <x:f>(H296-G296)/2*(F296+D296)</x:f>
        <x:v>0.12848053920815278</x:v>
      </x:c>
      <x:c r="K296" s="31" t="n">
        <x:f>(G296+H296)/2*(MAX(0,F296-$B$3)-MIN(100,D296+$B$3))</x:f>
        <x:v>-0.02084701434769399</x:v>
      </x:c>
      <x:c r="L296" s="31" t="n">
        <x:f>(G296+H296)/2*(MIN(100,F296+$B$3)-MAX(0,D296-$B$3))</x:f>
        <x:v>-0.01886158440981848</x:v>
      </x:c>
      <x:c r="M296" s="31" t="n">
        <x:f>IF(H296&gt;=G296,(H296-G296)/2*(MAX(0,D296-$B$3)+MAX(0,F296-$B$3)),(H296-G296)/2*(MIN(100,D296+$B$3)+MIN(100,F296+$B$3)))</x:f>
        <x:v>0.12840916113081494</x:v>
      </x:c>
      <x:c r="N296" s="31" t="n">
        <x:f>IF(H296&gt;=G296,(H296-G296)/2*(MIN(100,D296+$B$3)+MIN(100,F296+$B$3)),(H296-G296)/2*(MAX(0,D296-$B$3)+MAX(0,F296-$B$3)))</x:f>
        <x:v>0.12855191728549065</x:v>
      </x:c>
      <x:c r="O296" s="13" t="str">
        <x:v>I03 GP_Code!P5638/U5638; I04 Table_1!P5009/U5009</x:v>
      </x:c>
    </x:row>
    <x:row r="297" ht="24" customHeight="1">
      <x:c r="A297" s="13" t="str">
        <x:v>QUA</x:v>
      </x:c>
      <x:c r="B297" s="13" t="str">
        <x:v>M91021</x:v>
      </x:c>
      <x:c r="C297" s="13" t="n">
        <x:f>D657</x:f>
        <x:v>106</x:v>
      </x:c>
      <x:c r="D297" s="30" t="n">
        <x:f>E657</x:f>
        <x:v>84</x:v>
      </x:c>
      <x:c r="E297" s="13" t="n">
        <x:f>D1020</x:f>
        <x:v>94</x:v>
      </x:c>
      <x:c r="F297" s="30" t="n">
        <x:f>E1020</x:f>
        <x:v>81.9</x:v>
      </x:c>
      <x:c r="G297" s="31" t="n">
        <x:f>C297/$C$23</x:f>
        <x:v>0.006735290379972042</x:v>
      </x:c>
      <x:c r="H297" s="31" t="n">
        <x:f>E297/$D$23</x:f>
        <x:v>0.005815392229646128</x:v>
      </x:c>
      <x:c r="I297" s="31" t="n">
        <x:f>(G297+H297)/2*(F297-D297)</x:f>
        <x:v>-0.013178216740099042</x:v>
      </x:c>
      <x:c r="J297" s="31" t="n">
        <x:f>(H297-G297)/2*(F297+D297)</x:f>
        <x:v>-0.07630555156953463</x:v>
      </x:c>
      <x:c r="K297" s="31" t="n">
        <x:f>(G297+H297)/2*(MAX(0,F297-$B$3)-MIN(100,D297+$B$3))</x:f>
        <x:v>-0.013805750870579914</x:v>
      </x:c>
      <x:c r="L297" s="31" t="n">
        <x:f>(G297+H297)/2*(MIN(100,F297+$B$3)-MAX(0,D297-$B$3))</x:f>
        <x:v>-0.012550682609618169</x:v>
      </x:c>
      <x:c r="M297" s="31" t="n">
        <x:f>IF(H297&gt;=G297,(H297-G297)/2*(MAX(0,D297-$B$3)+MAX(0,F297-$B$3)),(H297-G297)/2*(MIN(100,D297+$B$3)+MIN(100,F297+$B$3)))</x:f>
        <x:v>-0.07635154647705092</x:v>
      </x:c>
      <x:c r="N297" s="31" t="n">
        <x:f>IF(H297&gt;=G297,(H297-G297)/2*(MIN(100,D297+$B$3)+MIN(100,F297+$B$3)),(H297-G297)/2*(MAX(0,D297-$B$3)+MAX(0,F297-$B$3)))</x:f>
        <x:v>-0.07625955666201834</x:v>
      </x:c>
      <x:c r="O297" s="13" t="str">
        <x:v>I03 GP_Code!P5640/U5640; I04 Table_1!P5010/U5010</x:v>
      </x:c>
    </x:row>
    <x:row r="298" ht="24" customHeight="1">
      <x:c r="A298" s="13" t="str">
        <x:v>QUA</x:v>
      </x:c>
      <x:c r="B298" s="13" t="str">
        <x:v>M91024</x:v>
      </x:c>
      <x:c r="C298" s="13" t="n">
        <x:f>D658</x:f>
        <x:v>22</x:v>
      </x:c>
      <x:c r="D298" s="30" t="n">
        <x:f>E658</x:f>
        <x:v>100</x:v>
      </x:c>
      <x:c r="E298" s="13" t="n">
        <x:f>D1021</x:f>
        <x:v>18</x:v>
      </x:c>
      <x:c r="F298" s="30" t="n">
        <x:f>E1021</x:f>
        <x:v>100</x:v>
      </x:c>
      <x:c r="G298" s="31" t="n">
        <x:f>C298/$C$23</x:f>
        <x:v>0.0013978904562206124</x:v>
      </x:c>
      <x:c r="H298" s="31" t="n">
        <x:f>E298/$D$23</x:f>
        <x:v>0.0011135857461024498</x:v>
      </x:c>
      <x:c r="I298" s="31" t="n">
        <x:f>(G298+H298)/2*(F298-D298)</x:f>
        <x:v>0</x:v>
      </x:c>
      <x:c r="J298" s="31" t="n">
        <x:f>(H298-G298)/2*(F298+D298)</x:f>
        <x:v>-0.028430471011816262</x:v>
      </x:c>
      <x:c r="K298" s="31" t="n">
        <x:f>(G298+H298)/2*(MAX(0,F298-$B$3)-MIN(100,D298+$B$3))</x:f>
        <x:v>-0.00006278690505807299</x:v>
      </x:c>
      <x:c r="L298" s="31" t="n">
        <x:f>(G298+H298)/2*(MIN(100,F298+$B$3)-MAX(0,D298-$B$3))</x:f>
        <x:v>0.00006278690505807299</x:v>
      </x:c>
      <x:c r="M298" s="31" t="n">
        <x:f>IF(H298&gt;=G298,(H298-G298)/2*(MAX(0,D298-$B$3)+MAX(0,F298-$B$3)),(H298-G298)/2*(MIN(100,D298+$B$3)+MIN(100,F298+$B$3)))</x:f>
        <x:v>-0.028430471011816262</x:v>
      </x:c>
      <x:c r="N298" s="31" t="n">
        <x:f>IF(H298&gt;=G298,(H298-G298)/2*(MIN(100,D298+$B$3)+MIN(100,F298+$B$3)),(H298-G298)/2*(MAX(0,D298-$B$3)+MAX(0,F298-$B$3)))</x:f>
        <x:v>-0.028416255776310354</x:v>
      </x:c>
      <x:c r="O298" s="13" t="str">
        <x:v>I03 GP_Code!P5641/U5641; I04 Table_1!P5011/U5011</x:v>
      </x:c>
    </x:row>
    <x:row r="299" ht="24" customHeight="1">
      <x:c r="A299" s="13" t="str">
        <x:v>QUA</x:v>
      </x:c>
      <x:c r="B299" s="13" t="str">
        <x:v>M91026</x:v>
      </x:c>
      <x:c r="C299" s="13" t="n">
        <x:f>D659</x:f>
        <x:v>96</x:v>
      </x:c>
      <x:c r="D299" s="30" t="n">
        <x:f>E659</x:f>
        <x:v>78.1</x:v>
      </x:c>
      <x:c r="E299" s="13" t="n">
        <x:f>D1022</x:f>
        <x:v>105</x:v>
      </x:c>
      <x:c r="F299" s="30" t="n">
        <x:f>E1022</x:f>
        <x:v>79</x:v>
      </x:c>
      <x:c r="G299" s="31" t="n">
        <x:f>C299/$C$23</x:f>
        <x:v>0.006099885627144491</x:v>
      </x:c>
      <x:c r="H299" s="31" t="n">
        <x:f>E299/$D$23</x:f>
        <x:v>0.006495916852264291</x:v>
      </x:c>
      <x:c r="I299" s="31" t="n">
        <x:f>(G299+H299)/2*(F299-D299)</x:f>
        <x:v>0.005668111115733988</x:v>
      </x:c>
      <x:c r="J299" s="31" t="n">
        <x:f>(H299-G299)/2*(F299+D299)</x:f>
        <x:v>0.031108252733160306</x:v>
      </x:c>
      <x:c r="K299" s="31" t="n">
        <x:f>(G299+H299)/2*(MAX(0,F299-$B$3)-MIN(100,D299+$B$3))</x:f>
        <x:v>0.005038320991763585</x:v>
      </x:c>
      <x:c r="L299" s="31" t="n">
        <x:f>(G299+H299)/2*(MIN(100,F299+$B$3)-MAX(0,D299-$B$3))</x:f>
        <x:v>0.006297901239704392</x:v>
      </x:c>
      <x:c r="M299" s="31" t="n">
        <x:f>IF(H299&gt;=G299,(H299-G299)/2*(MAX(0,D299-$B$3)+MAX(0,F299-$B$3)),(H299-G299)/2*(MIN(100,D299+$B$3)+MIN(100,F299+$B$3)))</x:f>
        <x:v>0.031088451171904317</x:v>
      </x:c>
      <x:c r="N299" s="31" t="n">
        <x:f>IF(H299&gt;=G299,(H299-G299)/2*(MIN(100,D299+$B$3)+MIN(100,F299+$B$3)),(H299-G299)/2*(MAX(0,D299-$B$3)+MAX(0,F299-$B$3)))</x:f>
        <x:v>0.031128054294416296</x:v>
      </x:c>
      <x:c r="O299" s="13" t="str">
        <x:v>I03 GP_Code!P5642/U5642; I04 Table_1!P5012/U5012</x:v>
      </x:c>
    </x:row>
    <x:row r="300" ht="24" customHeight="1">
      <x:c r="A300" s="13" t="str">
        <x:v>QUA</x:v>
      </x:c>
      <x:c r="B300" s="13" t="str">
        <x:v>M91028</x:v>
      </x:c>
      <x:c r="C300" s="13" t="n">
        <x:f>D660</x:f>
        <x:v>87</x:v>
      </x:c>
      <x:c r="D300" s="30" t="n">
        <x:f>E660</x:f>
        <x:v>86.2</x:v>
      </x:c>
      <x:c r="E300" s="13" t="n">
        <x:f>D1023</x:f>
        <x:v>106</x:v>
      </x:c>
      <x:c r="F300" s="30" t="n">
        <x:f>E1023</x:f>
        <x:v>78.3</x:v>
      </x:c>
      <x:c r="G300" s="31" t="n">
        <x:f>C300/$C$23</x:f>
        <x:v>0.005528021349599695</x:v>
      </x:c>
      <x:c r="H300" s="31" t="n">
        <x:f>E300/$D$23</x:f>
        <x:v>0.00655778272704776</x:v>
      </x:c>
      <x:c r="I300" s="31" t="n">
        <x:f>(G300+H300)/2*(F300-D300)</x:f>
        <x:v>-0.04773892610275748</x:v>
      </x:c>
      <x:c r="J300" s="31" t="n">
        <x:f>(H300-G300)/2*(F300+D300)</x:f>
        <x:v>0.08469787329510339</x:v>
      </x:c>
      <x:c r="K300" s="31" t="n">
        <x:f>(G300+H300)/2*(MAX(0,F300-$B$3)-MIN(100,D300+$B$3))</x:f>
        <x:v>-0.04834321630658982</x:v>
      </x:c>
      <x:c r="L300" s="31" t="n">
        <x:f>(G300+H300)/2*(MIN(100,F300+$B$3)-MAX(0,D300-$B$3))</x:f>
        <x:v>-0.047134635898925144</x:v>
      </x:c>
      <x:c r="M300" s="31" t="n">
        <x:f>IF(H300&gt;=G300,(H300-G300)/2*(MAX(0,D300-$B$3)+MAX(0,F300-$B$3)),(H300-G300)/2*(MIN(100,D300+$B$3)+MIN(100,F300+$B$3)))</x:f>
        <x:v>0.084646385226231</x:v>
      </x:c>
      <x:c r="N300" s="31" t="n">
        <x:f>IF(H300&gt;=G300,(H300-G300)/2*(MIN(100,D300+$B$3)+MIN(100,F300+$B$3)),(H300-G300)/2*(MAX(0,D300-$B$3)+MAX(0,F300-$B$3)))</x:f>
        <x:v>0.08474936136397579</x:v>
      </x:c>
      <x:c r="O300" s="13" t="str">
        <x:v>I03 GP_Code!P5643/U5643; I04 Table_1!P5013/U5013</x:v>
      </x:c>
    </x:row>
    <x:row r="301" ht="24" customHeight="1">
      <x:c r="A301" s="13" t="str">
        <x:v>QUA</x:v>
      </x:c>
      <x:c r="B301" s="13" t="str">
        <x:v>M91029</x:v>
      </x:c>
      <x:c r="C301" s="13" t="n">
        <x:f>D661</x:f>
        <x:v>92</x:v>
      </x:c>
      <x:c r="D301" s="30" t="n">
        <x:f>E661</x:f>
        <x:v>91.3</x:v>
      </x:c>
      <x:c r="E301" s="13" t="n">
        <x:f>D1024</x:f>
        <x:v>76</x:v>
      </x:c>
      <x:c r="F301" s="30" t="n">
        <x:f>E1024</x:f>
        <x:v>88.2</x:v>
      </x:c>
      <x:c r="G301" s="31" t="n">
        <x:f>C301/$C$23</x:f>
        <x:v>0.00584572372601347</x:v>
      </x:c>
      <x:c r="H301" s="31" t="n">
        <x:f>E301/$D$23</x:f>
        <x:v>0.0047018064835436775</x:v>
      </x:c>
      <x:c r="I301" s="31" t="n">
        <x:f>(G301+H301)/2*(F301-D301)</x:f>
        <x:v>-0.01634867182481355</x:v>
      </x:c>
      <x:c r="J301" s="31" t="n">
        <x:f>(H301-G301)/2*(F301+D301)</x:f>
        <x:v>-0.10266657251166392</x:v>
      </x:c>
      <x:c r="K301" s="31" t="n">
        <x:f>(G301+H301)/2*(MAX(0,F301-$B$3)-MIN(100,D301+$B$3))</x:f>
        <x:v>-0.01687604833529138</x:v>
      </x:c>
      <x:c r="L301" s="31" t="n">
        <x:f>(G301+H301)/2*(MIN(100,F301+$B$3)-MAX(0,D301-$B$3))</x:f>
        <x:v>-0.015821295314335723</x:v>
      </x:c>
      <x:c r="M301" s="31" t="n">
        <x:f>IF(H301&gt;=G301,(H301-G301)/2*(MAX(0,D301-$B$3)+MAX(0,F301-$B$3)),(H301-G301)/2*(MIN(100,D301+$B$3)+MIN(100,F301+$B$3)))</x:f>
        <x:v>-0.1027237683737874</x:v>
      </x:c>
      <x:c r="N301" s="31" t="n">
        <x:f>IF(H301&gt;=G301,(H301-G301)/2*(MIN(100,D301+$B$3)+MIN(100,F301+$B$3)),(H301-G301)/2*(MAX(0,D301-$B$3)+MAX(0,F301-$B$3)))</x:f>
        <x:v>-0.10260937664954042</x:v>
      </x:c>
      <x:c r="O301" s="13" t="str">
        <x:v>I03 GP_Code!P5644/U5644; I04 Table_1!P5014/U5014</x:v>
      </x:c>
    </x:row>
    <x:row r="302" ht="24" customHeight="1">
      <x:c r="A302" s="13" t="str">
        <x:v>QUA</x:v>
      </x:c>
      <x:c r="B302" s="13" t="str">
        <x:v>M91032</x:v>
      </x:c>
      <x:c r="C302" s="13" t="n">
        <x:f>D662</x:f>
        <x:v>56</x:v>
      </x:c>
      <x:c r="D302" s="30" t="n">
        <x:f>E662</x:f>
        <x:v>87.5</x:v>
      </x:c>
      <x:c r="E302" s="13" t="n">
        <x:f>D1025</x:f>
        <x:v>46</x:v>
      </x:c>
      <x:c r="F302" s="30" t="n">
        <x:f>E1025</x:f>
        <x:v>95.7</x:v>
      </x:c>
      <x:c r="G302" s="31" t="n">
        <x:f>C302/$C$23</x:f>
        <x:v>0.0035582666158342864</x:v>
      </x:c>
      <x:c r="H302" s="31" t="n">
        <x:f>E302/$D$23</x:f>
        <x:v>0.0028458302400395943</x:v>
      </x:c>
      <x:c r="I302" s="31" t="n">
        <x:f>(G302+H302)/2*(F302-D302)</x:f>
        <x:v>0.026256797109082918</x:v>
      </x:c>
      <x:c r="J302" s="31" t="n">
        <x:f>(H302-G302)/2*(F302+D302)</x:f>
        <x:v>-0.0652591720227938</x:v>
      </x:c>
      <x:c r="K302" s="31" t="n">
        <x:f>(G302+H302)/2*(MAX(0,F302-$B$3)-MIN(100,D302+$B$3))</x:f>
        <x:v>0.025936592266289242</x:v>
      </x:c>
      <x:c r="L302" s="31" t="n">
        <x:f>(G302+H302)/2*(MIN(100,F302+$B$3)-MAX(0,D302-$B$3))</x:f>
        <x:v>0.026577001951876594</x:v>
      </x:c>
      <x:c r="M302" s="31" t="n">
        <x:f>IF(H302&gt;=G302,(H302-G302)/2*(MAX(0,D302-$B$3)+MAX(0,F302-$B$3)),(H302-G302)/2*(MIN(100,D302+$B$3)+MIN(100,F302+$B$3)))</x:f>
        <x:v>-0.06529479384158354</x:v>
      </x:c>
      <x:c r="N302" s="31" t="n">
        <x:f>IF(H302&gt;=G302,(H302-G302)/2*(MIN(100,D302+$B$3)+MIN(100,F302+$B$3)),(H302-G302)/2*(MAX(0,D302-$B$3)+MAX(0,F302-$B$3)))</x:f>
        <x:v>-0.06522355020400407</x:v>
      </x:c>
      <x:c r="O302" s="13" t="str">
        <x:v>I03 GP_Code!P5645/U5645; I04 Table_1!P5015/U5015</x:v>
      </x:c>
    </x:row>
    <x:row r="303" ht="24" customHeight="1">
      <x:c r="A303" s="13" t="str">
        <x:v>QUA</x:v>
      </x:c>
      <x:c r="B303" s="13" t="str">
        <x:v>M91033</x:v>
      </x:c>
      <x:c r="C303" s="13" t="n">
        <x:f>D663</x:f>
        <x:v>81</x:v>
      </x:c>
      <x:c r="D303" s="30" t="n">
        <x:f>E663</x:f>
        <x:v>88.9</x:v>
      </x:c>
      <x:c r="E303" s="13" t="n">
        <x:f>D1026</x:f>
        <x:v>87</x:v>
      </x:c>
      <x:c r="F303" s="30" t="n">
        <x:f>E1026</x:f>
        <x:v>81.6</x:v>
      </x:c>
      <x:c r="G303" s="31" t="n">
        <x:f>C303/$C$23</x:f>
        <x:v>0.005146778497903164</x:v>
      </x:c>
      <x:c r="H303" s="31" t="n">
        <x:f>E303/$D$23</x:f>
        <x:v>0.005382331106161841</x:v>
      </x:c>
      <x:c r="I303" s="31" t="n">
        <x:f>(G303+H303)/2*(F303-D303)</x:f>
        <x:v>-0.03843125005483733</x:v>
      </x:c>
      <x:c r="J303" s="31" t="n">
        <x:f>(H303-G303)/2*(F303+D303)</x:f>
        <x:v>0.020080859854052207</x:v>
      </x:c>
      <x:c r="K303" s="31" t="n">
        <x:f>(G303+H303)/2*(MAX(0,F303-$B$3)-MIN(100,D303+$B$3))</x:f>
        <x:v>-0.03895770553504055</x:v>
      </x:c>
      <x:c r="L303" s="31" t="n">
        <x:f>(G303+H303)/2*(MIN(100,F303+$B$3)-MAX(0,D303-$B$3))</x:f>
        <x:v>-0.03790479457463411</x:v>
      </x:c>
      <x:c r="M303" s="31" t="n">
        <x:f>IF(H303&gt;=G303,(H303-G303)/2*(MAX(0,D303-$B$3)+MAX(0,F303-$B$3)),(H303-G303)/2*(MIN(100,D303+$B$3)+MIN(100,F303+$B$3)))</x:f>
        <x:v>0.020069082223639272</x:v>
      </x:c>
      <x:c r="N303" s="31" t="n">
        <x:f>IF(H303&gt;=G303,(H303-G303)/2*(MIN(100,D303+$B$3)+MIN(100,F303+$B$3)),(H303-G303)/2*(MAX(0,D303-$B$3)+MAX(0,F303-$B$3)))</x:f>
        <x:v>0.02009263748446514</x:v>
      </x:c>
      <x:c r="O303" s="13" t="str">
        <x:v>I03 GP_Code!P5646/U5646; I04 Table_1!P5016/U5016</x:v>
      </x:c>
    </x:row>
    <x:row r="304" ht="24" customHeight="1">
      <x:c r="A304" s="13" t="str">
        <x:v>QUA</x:v>
      </x:c>
      <x:c r="B304" s="13" t="str">
        <x:v>M91034</x:v>
      </x:c>
      <x:c r="C304" s="13" t="n">
        <x:f>D664</x:f>
        <x:v>35</x:v>
      </x:c>
      <x:c r="D304" s="30" t="n">
        <x:f>E664</x:f>
        <x:v>94.3</x:v>
      </x:c>
      <x:c r="E304" s="13" t="n">
        <x:f>D1027</x:f>
        <x:v>55</x:v>
      </x:c>
      <x:c r="F304" s="30" t="n">
        <x:f>E1027</x:f>
        <x:v>94.5</x:v>
      </x:c>
      <x:c r="G304" s="31" t="n">
        <x:f>C304/$C$23</x:f>
        <x:v>0.002223916634896429</x:v>
      </x:c>
      <x:c r="H304" s="31" t="n">
        <x:f>E304/$D$23</x:f>
        <x:v>0.0034026231130908193</x:v>
      </x:c>
      <x:c r="I304" s="31" t="n">
        <x:f>(G304+H304)/2*(F304-D304)</x:f>
        <x:v>0.0005626539747987328</x:v>
      </x:c>
      <x:c r="J304" s="31" t="n">
        <x:f>(H304-G304)/2*(F304+D304)</x:f>
        <x:v>0.11126989154155044</x:v>
      </x:c>
      <x:c r="K304" s="31" t="n">
        <x:f>(G304+H304)/2*(MAX(0,F304-$B$3)-MIN(100,D304+$B$3))</x:f>
        <x:v>0.0002813269873993864</x:v>
      </x:c>
      <x:c r="L304" s="31" t="n">
        <x:f>(G304+H304)/2*(MIN(100,F304+$B$3)-MAX(0,D304-$B$3))</x:f>
        <x:v>0.0008439809621980793</x:v>
      </x:c>
      <x:c r="M304" s="31" t="n">
        <x:f>IF(H304&gt;=G304,(H304-G304)/2*(MAX(0,D304-$B$3)+MAX(0,F304-$B$3)),(H304-G304)/2*(MIN(100,D304+$B$3)+MIN(100,F304+$B$3)))</x:f>
        <x:v>0.11121095621764071</x:v>
      </x:c>
      <x:c r="N304" s="31" t="n">
        <x:f>IF(H304&gt;=G304,(H304-G304)/2*(MIN(100,D304+$B$3)+MIN(100,F304+$B$3)),(H304-G304)/2*(MAX(0,D304-$B$3)+MAX(0,F304-$B$3)))</x:f>
        <x:v>0.11132882686546014</x:v>
      </x:c>
      <x:c r="O304" s="13" t="str">
        <x:v>I03 GP_Code!P5647/U5647; I04 Table_1!P5017/U5017</x:v>
      </x:c>
    </x:row>
    <x:row r="305" ht="24" customHeight="1">
      <x:c r="A305" s="13" t="str">
        <x:v>QUA</x:v>
      </x:c>
      <x:c r="B305" s="13" t="str">
        <x:v>M91036</x:v>
      </x:c>
      <x:c r="C305" s="13" t="n">
        <x:f>D665</x:f>
        <x:v>58</x:v>
      </x:c>
      <x:c r="D305" s="30" t="n">
        <x:f>E665</x:f>
        <x:v>91.4</x:v>
      </x:c>
      <x:c r="E305" s="13" t="n">
        <x:f>D1028</x:f>
        <x:v>63</x:v>
      </x:c>
      <x:c r="F305" s="30" t="n">
        <x:f>E1028</x:f>
        <x:v>87.3</x:v>
      </x:c>
      <x:c r="G305" s="31" t="n">
        <x:f>C305/$C$23</x:f>
        <x:v>0.0036853475663997967</x:v>
      </x:c>
      <x:c r="H305" s="31" t="n">
        <x:f>E305/$D$23</x:f>
        <x:v>0.0038975501113585748</x:v>
      </x:c>
      <x:c r="I305" s="31" t="n">
        <x:f>(G305+H305)/2*(F305-D305)</x:f>
        <x:v>-0.015544940239404694</x:v>
      </x:c>
      <x:c r="J305" s="31" t="n">
        <x:f>(H305-G305)/2*(F305+D305)</x:f>
        <x:v>0.018960297392066817</x:v>
      </x:c>
      <x:c r="K305" s="31" t="n">
        <x:f>(G305+H305)/2*(MAX(0,F305-$B$3)-MIN(100,D305+$B$3))</x:f>
        <x:v>-0.015924085123292592</x:v>
      </x:c>
      <x:c r="L305" s="31" t="n">
        <x:f>(G305+H305)/2*(MIN(100,F305+$B$3)-MAX(0,D305-$B$3))</x:f>
        <x:v>-0.015165795355516798</x:v>
      </x:c>
      <x:c r="M305" s="31" t="n">
        <x:f>IF(H305&gt;=G305,(H305-G305)/2*(MAX(0,D305-$B$3)+MAX(0,F305-$B$3)),(H305-G305)/2*(MIN(100,D305+$B$3)+MIN(100,F305+$B$3)))</x:f>
        <x:v>0.018949687264818885</x:v>
      </x:c>
      <x:c r="N305" s="31" t="n">
        <x:f>IF(H305&gt;=G305,(H305-G305)/2*(MIN(100,D305+$B$3)+MIN(100,F305+$B$3)),(H305-G305)/2*(MAX(0,D305-$B$3)+MAX(0,F305-$B$3)))</x:f>
        <x:v>0.01897090751931476</x:v>
      </x:c>
      <x:c r="O305" s="13" t="str">
        <x:v>I03 GP_Code!P5648/U5648; I04 Table_1!P5018/U5018</x:v>
      </x:c>
    </x:row>
    <x:row r="306" ht="24" customHeight="1">
      <x:c r="A306" s="13" t="str">
        <x:v>QUA</x:v>
      </x:c>
      <x:c r="B306" s="13" t="str">
        <x:v>M91602</x:v>
      </x:c>
      <x:c r="C306" s="13" t="n">
        <x:f>D666</x:f>
        <x:v>38</x:v>
      </x:c>
      <x:c r="D306" s="30" t="n">
        <x:f>E666</x:f>
        <x:v>84.2</x:v>
      </x:c>
      <x:c r="E306" s="13" t="n">
        <x:f>D1029</x:f>
        <x:v>32</x:v>
      </x:c>
      <x:c r="F306" s="30" t="n">
        <x:f>E1029</x:f>
        <x:v>90.6</x:v>
      </x:c>
      <x:c r="G306" s="31" t="n">
        <x:f>C306/$C$23</x:f>
        <x:v>0.0024145380607446944</x:v>
      </x:c>
      <x:c r="H306" s="31" t="n">
        <x:f>E306/$D$23</x:f>
        <x:v>0.001979707993071022</x:v>
      </x:c>
      <x:c r="I306" s="31" t="n">
        <x:f>(G306+H306)/2*(F306-D306)</x:f>
        <x:v>0.014061587372210275</x:v>
      </x:c>
      <x:c r="J306" s="31" t="n">
        <x:f>(H306-G306)/2*(F306+D306)</x:f>
        <x:v>-0.03800414791467897</x:v>
      </x:c>
      <x:c r="K306" s="31" t="n">
        <x:f>(G306+H306)/2*(MAX(0,F306-$B$3)-MIN(100,D306+$B$3))</x:f>
        <x:v>0.013841875069519501</x:v>
      </x:c>
      <x:c r="L306" s="31" t="n">
        <x:f>(G306+H306)/2*(MIN(100,F306+$B$3)-MAX(0,D306-$B$3))</x:f>
        <x:v>0.014281299674901049</x:v>
      </x:c>
      <x:c r="M306" s="31" t="n">
        <x:f>IF(H306&gt;=G306,(H306-G306)/2*(MAX(0,D306-$B$3)+MAX(0,F306-$B$3)),(H306-G306)/2*(MIN(100,D306+$B$3)+MIN(100,F306+$B$3)))</x:f>
        <x:v>-0.03802588941806265</x:v>
      </x:c>
      <x:c r="N306" s="31" t="n">
        <x:f>IF(H306&gt;=G306,(H306-G306)/2*(MIN(100,D306+$B$3)+MIN(100,F306+$B$3)),(H306-G306)/2*(MAX(0,D306-$B$3)+MAX(0,F306-$B$3)))</x:f>
        <x:v>-0.037982406411295286</x:v>
      </x:c>
      <x:c r="O306" s="13" t="str">
        <x:v>I03 GP_Code!P5649/U5649; I04 Table_1!P5019/U5019</x:v>
      </x:c>
    </x:row>
    <x:row r="307" ht="24" customHeight="1">
      <x:c r="A307" s="13" t="str">
        <x:v>QUA</x:v>
      </x:c>
      <x:c r="B307" s="13" t="str">
        <x:v>M91609</x:v>
      </x:c>
      <x:c r="C307" s="13" t="n">
        <x:f>D667</x:f>
        <x:v>15</x:v>
      </x:c>
      <x:c r="D307" s="30" t="n">
        <x:f>E667</x:f>
        <x:v>93.3</x:v>
      </x:c>
      <x:c r="E307" s="13" t="n">
        <x:f>D1030</x:f>
        <x:v>24</x:v>
      </x:c>
      <x:c r="F307" s="30" t="n">
        <x:f>E1030</x:f>
        <x:v>83.3</x:v>
      </x:c>
      <x:c r="G307" s="31" t="n">
        <x:f>C307/$C$23</x:f>
        <x:v>0.0009531071292413268</x:v>
      </x:c>
      <x:c r="H307" s="31" t="n">
        <x:f>E307/$D$23</x:f>
        <x:v>0.0014847809948032665</x:v>
      </x:c>
      <x:c r="I307" s="31" t="n">
        <x:f>(G307+H307)/2*(F307-D307)</x:f>
        <x:v>-0.012189440620222966</x:v>
      </x:c>
      <x:c r="J307" s="31" t="n">
        <x:f>(H307-G307)/2*(F307+D307)</x:f>
        <x:v>0.046946802329119276</x:v>
      </x:c>
      <x:c r="K307" s="31" t="n">
        <x:f>(G307+H307)/2*(MAX(0,F307-$B$3)-MIN(100,D307+$B$3))</x:f>
        <x:v>-0.012311335026425188</x:v>
      </x:c>
      <x:c r="L307" s="31" t="n">
        <x:f>(G307+H307)/2*(MIN(100,F307+$B$3)-MAX(0,D307-$B$3))</x:f>
        <x:v>-0.012067546214020744</x:v>
      </x:c>
      <x:c r="M307" s="31" t="n">
        <x:f>IF(H307&gt;=G307,(H307-G307)/2*(MAX(0,D307-$B$3)+MAX(0,F307-$B$3)),(H307-G307)/2*(MIN(100,D307+$B$3)+MIN(100,F307+$B$3)))</x:f>
        <x:v>0.04692021863584118</x:v>
      </x:c>
      <x:c r="N307" s="31" t="n">
        <x:f>IF(H307&gt;=G307,(H307-G307)/2*(MIN(100,D307+$B$3)+MIN(100,F307+$B$3)),(H307-G307)/2*(MAX(0,D307-$B$3)+MAX(0,F307-$B$3)))</x:f>
        <x:v>0.04697338602239737</x:v>
      </x:c>
      <x:c r="O307" s="13" t="str">
        <x:v>I03 GP_Code!P5650/U5650; I04 Table_1!P5020/U5020</x:v>
      </x:c>
    </x:row>
    <x:row r="308" ht="24" customHeight="1">
      <x:c r="A308" s="13" t="str">
        <x:v>QUA</x:v>
      </x:c>
      <x:c r="B308" s="13" t="str">
        <x:v>M91611</x:v>
      </x:c>
      <x:c r="C308" s="13" t="n">
        <x:f>D668</x:f>
        <x:v>50</x:v>
      </x:c>
      <x:c r="D308" s="30" t="n">
        <x:f>E668</x:f>
        <x:v>88</x:v>
      </x:c>
      <x:c r="E308" s="13" t="n">
        <x:f>D1031</x:f>
        <x:v>44</x:v>
      </x:c>
      <x:c r="F308" s="30" t="n">
        <x:f>E1031</x:f>
        <x:v>77.3</x:v>
      </x:c>
      <x:c r="G308" s="31" t="n">
        <x:f>C308/$C$23</x:f>
        <x:v>0.003177023764137756</x:v>
      </x:c>
      <x:c r="H308" s="31" t="n">
        <x:f>E308/$D$23</x:f>
        <x:v>0.002722098490472655</x:v>
      </x:c>
      <x:c r="I308" s="31" t="n">
        <x:f>(G308+H308)/2*(F308-D308)</x:f>
        <x:v>-0.03156030406216571</x:v>
      </x:c>
      <x:c r="J308" s="31" t="n">
        <x:f>(H308-G308)/2*(F308+D308)</x:f>
        <x:v>-0.037599573868420576</x:v>
      </x:c>
      <x:c r="K308" s="31" t="n">
        <x:f>(G308+H308)/2*(MAX(0,F308-$B$3)-MIN(100,D308+$B$3))</x:f>
        <x:v>-0.03185526017489621</x:v>
      </x:c>
      <x:c r="L308" s="31" t="n">
        <x:f>(G308+H308)/2*(MIN(100,F308+$B$3)-MAX(0,D308-$B$3))</x:f>
        <x:v>-0.0312653479494352</x:v>
      </x:c>
      <x:c r="M308" s="31" t="n">
        <x:f>IF(H308&gt;=G308,(H308-G308)/2*(MAX(0,D308-$B$3)+MAX(0,F308-$B$3)),(H308-G308)/2*(MIN(100,D308+$B$3)+MIN(100,F308+$B$3)))</x:f>
        <x:v>-0.03762232013210382</x:v>
      </x:c>
      <x:c r="N308" s="31" t="n">
        <x:f>IF(H308&gt;=G308,(H308-G308)/2*(MIN(100,D308+$B$3)+MIN(100,F308+$B$3)),(H308-G308)/2*(MAX(0,D308-$B$3)+MAX(0,F308-$B$3)))</x:f>
        <x:v>-0.037576827604737316</x:v>
      </x:c>
      <x:c r="O308" s="13" t="str">
        <x:v>I03 GP_Code!P5651/U5651; I04 Table_1!P5021/U5021</x:v>
      </x:c>
    </x:row>
    <x:row r="309" ht="24" customHeight="1">
      <x:c r="A309" s="13" t="str">
        <x:v>QUA</x:v>
      </x:c>
      <x:c r="B309" s="13" t="str">
        <x:v>M91612</x:v>
      </x:c>
      <x:c r="C309" s="13" t="n">
        <x:f>D669</x:f>
        <x:v>35</x:v>
      </x:c>
      <x:c r="D309" s="30" t="n">
        <x:f>E669</x:f>
        <x:v>91.4</x:v>
      </x:c>
      <x:c r="E309" s="13" t="n">
        <x:f>D1032</x:f>
        <x:v>50</x:v>
      </x:c>
      <x:c r="F309" s="30" t="n">
        <x:f>E1032</x:f>
        <x:v>94</x:v>
      </x:c>
      <x:c r="G309" s="31" t="n">
        <x:f>C309/$C$23</x:f>
        <x:v>0.002223916634896429</x:v>
      </x:c>
      <x:c r="H309" s="31" t="n">
        <x:f>E309/$D$23</x:f>
        <x:v>0.003093293739173472</x:v>
      </x:c>
      <x:c r="I309" s="31" t="n">
        <x:f>(G309+H309)/2*(F309-D309)</x:f>
        <x:v>0.006912373486290856</x:v>
      </x:c>
      <x:c r="J309" s="31" t="n">
        <x:f>(H309-G309)/2*(F309+D309)</x:f>
        <x:v>0.08059125756648187</x:v>
      </x:c>
      <x:c r="K309" s="31" t="n">
        <x:f>(G309+H309)/2*(MAX(0,F309-$B$3)-MIN(100,D309+$B$3))</x:f>
        <x:v>0.006646512967587377</x:v>
      </x:c>
      <x:c r="L309" s="31" t="n">
        <x:f>(G309+H309)/2*(MIN(100,F309+$B$3)-MAX(0,D309-$B$3))</x:f>
        <x:v>0.007178234004994336</x:v>
      </x:c>
      <x:c r="M309" s="31" t="n">
        <x:f>IF(H309&gt;=G309,(H309-G309)/2*(MAX(0,D309-$B$3)+MAX(0,F309-$B$3)),(H309-G309)/2*(MIN(100,D309+$B$3)+MIN(100,F309+$B$3)))</x:f>
        <x:v>0.08054778871126803</x:v>
      </x:c>
      <x:c r="N309" s="31" t="n">
        <x:f>IF(H309&gt;=G309,(H309-G309)/2*(MIN(100,D309+$B$3)+MIN(100,F309+$B$3)),(H309-G309)/2*(MAX(0,D309-$B$3)+MAX(0,F309-$B$3)))</x:f>
        <x:v>0.08063472642169572</x:v>
      </x:c>
      <x:c r="O309" s="13" t="str">
        <x:v>I03 GP_Code!P5652/U5652; I04 Table_1!P5022/U5022</x:v>
      </x:c>
    </x:row>
    <x:row r="310" ht="24" customHeight="1">
      <x:c r="A310" s="13" t="str">
        <x:v>QUA</x:v>
      </x:c>
      <x:c r="B310" s="13" t="str">
        <x:v>M91613</x:v>
      </x:c>
      <x:c r="C310" s="13" t="n">
        <x:f>D670</x:f>
        <x:v>143</x:v>
      </x:c>
      <x:c r="D310" s="30" t="n">
        <x:f>E670</x:f>
        <x:v>74.1</x:v>
      </x:c>
      <x:c r="E310" s="13" t="n">
        <x:f>D1033</x:f>
        <x:v>151</x:v>
      </x:c>
      <x:c r="F310" s="30" t="n">
        <x:f>E1033</x:f>
        <x:v>73.5</x:v>
      </x:c>
      <x:c r="G310" s="31" t="n">
        <x:f>C310/$C$23</x:f>
        <x:v>0.009086287965433981</x:v>
      </x:c>
      <x:c r="H310" s="31" t="n">
        <x:f>E310/$D$23</x:f>
        <x:v>0.009341747092303886</x:v>
      </x:c>
      <x:c r="I310" s="31" t="n">
        <x:f>(G310+H310)/2*(F310-D310)</x:f>
        <x:v>-0.005528410517321307</x:v>
      </x:c>
      <x:c r="J310" s="31" t="n">
        <x:f>(H310-G310)/2*(F310+D310)</x:f>
        <x:v>0.01885288356299897</x:v>
      </x:c>
      <x:c r="K310" s="31" t="n">
        <x:f>(G310+H310)/2*(MAX(0,F310-$B$3)-MIN(100,D310+$B$3))</x:f>
        <x:v>-0.0064498122702081485</x:v>
      </x:c>
      <x:c r="L310" s="31" t="n">
        <x:f>(G310+H310)/2*(MIN(100,F310+$B$3)-MAX(0,D310-$B$3))</x:f>
        <x:v>-0.004607008764434466</x:v>
      </x:c>
      <x:c r="M310" s="31" t="n">
        <x:f>IF(H310&gt;=G310,(H310-G310)/2*(MAX(0,D310-$B$3)+MAX(0,F310-$B$3)),(H310-G310)/2*(MIN(100,D310+$B$3)+MIN(100,F310+$B$3)))</x:f>
        <x:v>0.018840110606655476</x:v>
      </x:c>
      <x:c r="N310" s="31" t="n">
        <x:f>IF(H310&gt;=G310,(H310-G310)/2*(MIN(100,D310+$B$3)+MIN(100,F310+$B$3)),(H310-G310)/2*(MAX(0,D310-$B$3)+MAX(0,F310-$B$3)))</x:f>
        <x:v>0.018865656519342466</x:v>
      </x:c>
      <x:c r="O310" s="13" t="str">
        <x:v>I03 GP_Code!P5653/U5653; I04 Table_1!P5023/U5023</x:v>
      </x:c>
    </x:row>
    <x:row r="311" ht="24" customHeight="1">
      <x:c r="A311" s="13" t="str">
        <x:v>QUA</x:v>
      </x:c>
      <x:c r="B311" s="13" t="str">
        <x:v>M91614</x:v>
      </x:c>
      <x:c r="C311" s="13" t="n">
        <x:f>D671</x:f>
        <x:v>117</x:v>
      </x:c>
      <x:c r="D311" s="30" t="n">
        <x:f>E671</x:f>
        <x:v>90.6</x:v>
      </x:c>
      <x:c r="E311" s="13" t="n">
        <x:f>D1034</x:f>
        <x:v>122</x:v>
      </x:c>
      <x:c r="F311" s="30" t="n">
        <x:f>E1034</x:f>
        <x:v>83.6</x:v>
      </x:c>
      <x:c r="G311" s="31" t="n">
        <x:f>C311/$C$23</x:f>
        <x:v>0.007434235608082348</x:v>
      </x:c>
      <x:c r="H311" s="31" t="n">
        <x:f>E311/$D$23</x:f>
        <x:v>0.007547636723583271</x:v>
      </x:c>
      <x:c r="I311" s="31" t="n">
        <x:f>(G311+H311)/2*(F311-D311)</x:f>
        <x:v>-0.052436553160829666</x:v>
      </x:c>
      <x:c r="J311" s="31" t="n">
        <x:f>(H311-G311)/2*(F311+D311)</x:f>
        <x:v>0.009877237160130394</x:v>
      </x:c>
      <x:c r="K311" s="31" t="n">
        <x:f>(G311+H311)/2*(MAX(0,F311-$B$3)-MIN(100,D311+$B$3))</x:f>
        <x:v>-0.0531856467774129</x:v>
      </x:c>
      <x:c r="L311" s="31" t="n">
        <x:f>(G311+H311)/2*(MIN(100,F311+$B$3)-MAX(0,D311-$B$3))</x:f>
        <x:v>-0.05168745954424643</x:v>
      </x:c>
      <x:c r="M311" s="31" t="n">
        <x:f>IF(H311&gt;=G311,(H311-G311)/2*(MAX(0,D311-$B$3)+MAX(0,F311-$B$3)),(H311-G311)/2*(MIN(100,D311+$B$3)+MIN(100,F311+$B$3)))</x:f>
        <x:v>0.009871567104355349</x:v>
      </x:c>
      <x:c r="N311" s="31" t="n">
        <x:f>IF(H311&gt;=G311,(H311-G311)/2*(MIN(100,D311+$B$3)+MIN(100,F311+$B$3)),(H311-G311)/2*(MAX(0,D311-$B$3)+MAX(0,F311-$B$3)))</x:f>
        <x:v>0.00988290721590544</x:v>
      </x:c>
      <x:c r="O311" s="13" t="str">
        <x:v>I03 GP_Code!P5654/U5654; I04 Table_1!P5024/U5024</x:v>
      </x:c>
    </x:row>
    <x:row r="312" ht="24" customHeight="1">
      <x:c r="A312" s="13" t="str">
        <x:v>QUA</x:v>
      </x:c>
      <x:c r="B312" s="13" t="str">
        <x:v>M91616</x:v>
      </x:c>
      <x:c r="C312" s="13" t="n">
        <x:f>D672</x:f>
        <x:v>95</x:v>
      </x:c>
      <x:c r="D312" s="30" t="n">
        <x:f>E672</x:f>
        <x:v>89.5</x:v>
      </x:c>
      <x:c r="E312" s="13" t="n">
        <x:f>D1035</x:f>
        <x:v>94</x:v>
      </x:c>
      <x:c r="F312" s="30" t="n">
        <x:f>E1035</x:f>
        <x:v>91.5</x:v>
      </x:c>
      <x:c r="G312" s="31" t="n">
        <x:f>C312/$C$23</x:f>
        <x:v>0.006036345151861736</x:v>
      </x:c>
      <x:c r="H312" s="31" t="n">
        <x:f>E312/$D$23</x:f>
        <x:v>0.005815392229646128</x:v>
      </x:c>
      <x:c r="I312" s="31" t="n">
        <x:f>(G312+H312)/2*(F312-D312)</x:f>
        <x:v>0.011851737381507865</x:v>
      </x:c>
      <x:c r="J312" s="31" t="n">
        <x:f>(H312-G312)/2*(F312+D312)</x:f>
        <x:v>-0.01999623946051257</x:v>
      </x:c>
      <x:c r="K312" s="31" t="n">
        <x:f>(G312+H312)/2*(MAX(0,F312-$B$3)-MIN(100,D312+$B$3))</x:f>
        <x:v>0.011259150512432505</x:v>
      </x:c>
      <x:c r="L312" s="31" t="n">
        <x:f>(G312+H312)/2*(MIN(100,F312+$B$3)-MAX(0,D312-$B$3))</x:f>
        <x:v>0.012444324250583224</x:v>
      </x:c>
      <x:c r="M312" s="31" t="n">
        <x:f>IF(H312&gt;=G312,(H312-G312)/2*(MAX(0,D312-$B$3)+MAX(0,F312-$B$3)),(H312-G312)/2*(MIN(100,D312+$B$3)+MIN(100,F312+$B$3)))</x:f>
        <x:v>-0.02000728710662335</x:v>
      </x:c>
      <x:c r="N312" s="31" t="n">
        <x:f>IF(H312&gt;=G312,(H312-G312)/2*(MIN(100,D312+$B$3)+MIN(100,F312+$B$3)),(H312-G312)/2*(MAX(0,D312-$B$3)+MAX(0,F312-$B$3)))</x:f>
        <x:v>-0.019985191814401792</x:v>
      </x:c>
      <x:c r="O312" s="13" t="str">
        <x:v>I03 GP_Code!P5655/U5655; I04 Table_1!P5025/U5025</x:v>
      </x:c>
    </x:row>
    <x:row r="313" ht="24" customHeight="1">
      <x:c r="A313" s="13" t="str">
        <x:v>QUA</x:v>
      </x:c>
      <x:c r="B313" s="13" t="str">
        <x:v>M91619</x:v>
      </x:c>
      <x:c r="C313" s="13" t="n">
        <x:f>D673</x:f>
        <x:v>92</x:v>
      </x:c>
      <x:c r="D313" s="30" t="n">
        <x:f>E673</x:f>
        <x:v>84.8</x:v>
      </x:c>
      <x:c r="E313" s="13" t="n">
        <x:f>D1036</x:f>
        <x:v>94</x:v>
      </x:c>
      <x:c r="F313" s="30" t="n">
        <x:f>E1036</x:f>
        <x:v>75.5</x:v>
      </x:c>
      <x:c r="G313" s="31" t="n">
        <x:f>C313/$C$23</x:f>
        <x:v>0.00584572372601347</x:v>
      </x:c>
      <x:c r="H313" s="31" t="n">
        <x:f>E313/$D$23</x:f>
        <x:v>0.005815392229646128</x:v>
      </x:c>
      <x:c r="I313" s="31" t="n">
        <x:f>(G313+H313)/2*(F313-D313)</x:f>
        <x:v>-0.054224189193817114</x:v>
      </x:c>
      <x:c r="J313" s="31" t="n">
        <x:f>(H313-G313)/2*(F313+D313)</x:f>
        <x:v>-0.0024310694338425276</x:v>
      </x:c>
      <x:c r="K313" s="31" t="n">
        <x:f>(G313+H313)/2*(MAX(0,F313-$B$3)-MIN(100,D313+$B$3))</x:f>
        <x:v>-0.054807244991600064</x:v>
      </x:c>
      <x:c r="L313" s="31" t="n">
        <x:f>(G313+H313)/2*(MIN(100,F313+$B$3)-MAX(0,D313-$B$3))</x:f>
        <x:v>-0.053641133396034164</x:v>
      </x:c>
      <x:c r="M313" s="31" t="n">
        <x:f>IF(H313&gt;=G313,(H313-G313)/2*(MAX(0,D313-$B$3)+MAX(0,F313-$B$3)),(H313-G313)/2*(MIN(100,D313+$B$3)+MIN(100,F313+$B$3)))</x:f>
        <x:v>-0.002432586008660894</x:v>
      </x:c>
      <x:c r="N313" s="31" t="n">
        <x:f>IF(H313&gt;=G313,(H313-G313)/2*(MIN(100,D313+$B$3)+MIN(100,F313+$B$3)),(H313-G313)/2*(MAX(0,D313-$B$3)+MAX(0,F313-$B$3)))</x:f>
        <x:v>-0.0024295528590241597</x:v>
      </x:c>
      <x:c r="O313" s="13" t="str">
        <x:v>I03 GP_Code!P5656/U5656; I04 Table_1!P5026/U5026</x:v>
      </x:c>
    </x:row>
    <x:row r="314" ht="24" customHeight="1">
      <x:c r="A314" s="13" t="str">
        <x:v>QUA</x:v>
      </x:c>
      <x:c r="B314" s="13" t="str">
        <x:v>M91621</x:v>
      </x:c>
      <x:c r="C314" s="13" t="n">
        <x:f>D674</x:f>
        <x:v>92</x:v>
      </x:c>
      <x:c r="D314" s="30" t="n">
        <x:f>E674</x:f>
        <x:v>91.3</x:v>
      </x:c>
      <x:c r="E314" s="13" t="n">
        <x:f>D1037</x:f>
        <x:v>66</x:v>
      </x:c>
      <x:c r="F314" s="30" t="n">
        <x:f>E1037</x:f>
        <x:v>89.4</x:v>
      </x:c>
      <x:c r="G314" s="31" t="n">
        <x:f>C314/$C$23</x:f>
        <x:v>0.00584572372601347</x:v>
      </x:c>
      <x:c r="H314" s="31" t="n">
        <x:f>E314/$D$23</x:f>
        <x:v>0.004083147735708983</x:v>
      </x:c>
      <x:c r="I314" s="31" t="n">
        <x:f>(G314+H314)/2*(F314-D314)</x:f>
        <x:v>-0.00943242788863629</x:v>
      </x:c>
      <x:c r="J314" s="31" t="n">
        <x:f>(H314-G314)/2*(F314+D314)</x:f>
        <x:v>-0.15924874072401043</x:v>
      </x:c>
      <x:c r="K314" s="31" t="n">
        <x:f>(G314+H314)/2*(MAX(0,F314-$B$3)-MIN(100,D314+$B$3))</x:f>
        <x:v>-0.009928871461722383</x:v>
      </x:c>
      <x:c r="L314" s="31" t="n">
        <x:f>(G314+H314)/2*(MIN(100,F314+$B$3)-MAX(0,D314-$B$3))</x:f>
        <x:v>-0.008935984315550195</x:v>
      </x:c>
      <x:c r="M314" s="31" t="n">
        <x:f>IF(H314&gt;=G314,(H314-G314)/2*(MAX(0,D314-$B$3)+MAX(0,F314-$B$3)),(H314-G314)/2*(MIN(100,D314+$B$3)+MIN(100,F314+$B$3)))</x:f>
        <x:v>-0.1593368695235257</x:v>
      </x:c>
      <x:c r="N314" s="31" t="n">
        <x:f>IF(H314&gt;=G314,(H314-G314)/2*(MIN(100,D314+$B$3)+MIN(100,F314+$B$3)),(H314-G314)/2*(MAX(0,D314-$B$3)+MAX(0,F314-$B$3)))</x:f>
        <x:v>-0.15916061192449524</x:v>
      </x:c>
      <x:c r="O314" s="13" t="str">
        <x:v>I03 GP_Code!P5657/U5657; I04 Table_1!P5027/U5027</x:v>
      </x:c>
    </x:row>
    <x:row r="315" ht="24" customHeight="1">
      <x:c r="A315" s="13" t="str">
        <x:v>QUA</x:v>
      </x:c>
      <x:c r="B315" s="13" t="str">
        <x:v>M91623</x:v>
      </x:c>
      <x:c r="C315" s="13" t="n">
        <x:f>D675</x:f>
        <x:v>19</x:v>
      </x:c>
      <x:c r="D315" s="30" t="n">
        <x:f>E675</x:f>
        <x:v>84.2</x:v>
      </x:c>
      <x:c r="E315" s="13" t="n">
        <x:f>D1038</x:f>
        <x:v>26</x:v>
      </x:c>
      <x:c r="F315" s="30" t="n">
        <x:f>E1038</x:f>
        <x:v>84.6</x:v>
      </x:c>
      <x:c r="G315" s="31" t="n">
        <x:f>C315/$C$23</x:f>
        <x:v>0.0012072690303723472</x:v>
      </x:c>
      <x:c r="H315" s="31" t="n">
        <x:f>E315/$D$23</x:f>
        <x:v>0.0016085127443702053</x:v>
      </x:c>
      <x:c r="I315" s="31" t="n">
        <x:f>(G315+H315)/2*(F315-D315)</x:f>
        <x:v>0.0005631563549484985</x:v>
      </x:c>
      <x:c r="J315" s="31" t="n">
        <x:f>(H315-G315)/2*(F315+D315)</x:f>
        <x:v>0.03386496946141923</x:v>
      </x:c>
      <x:c r="K315" s="31" t="n">
        <x:f>(G315+H315)/2*(MAX(0,F315-$B$3)-MIN(100,D315+$B$3))</x:f>
        <x:v>0.0004223672662113789</x:v>
      </x:c>
      <x:c r="L315" s="31" t="n">
        <x:f>(G315+H315)/2*(MIN(100,F315+$B$3)-MAX(0,D315-$B$3))</x:f>
        <x:v>0.0007039454436856181</x:v>
      </x:c>
      <x:c r="M315" s="31" t="n">
        <x:f>IF(H315&gt;=G315,(H315-G315)/2*(MAX(0,D315-$B$3)+MAX(0,F315-$B$3)),(H315-G315)/2*(MIN(100,D315+$B$3)+MIN(100,F315+$B$3)))</x:f>
        <x:v>0.03384490727571933</x:v>
      </x:c>
      <x:c r="N315" s="31" t="n">
        <x:f>IF(H315&gt;=G315,(H315-G315)/2*(MIN(100,D315+$B$3)+MIN(100,F315+$B$3)),(H315-G315)/2*(MAX(0,D315-$B$3)+MAX(0,F315-$B$3)))</x:f>
        <x:v>0.03388503164711912</x:v>
      </x:c>
      <x:c r="O315" s="13" t="str">
        <x:v>I03 GP_Code!P5658/U5658; I04 Table_1!P5028/U5028</x:v>
      </x:c>
    </x:row>
    <x:row r="316" ht="24" customHeight="1">
      <x:c r="A316" s="13" t="str">
        <x:v>QUA</x:v>
      </x:c>
      <x:c r="B316" s="13" t="str">
        <x:v>M91624</x:v>
      </x:c>
      <x:c r="C316" s="13" t="n">
        <x:f>D676</x:f>
        <x:v>45</x:v>
      </x:c>
      <x:c r="D316" s="30" t="n">
        <x:f>E676</x:f>
        <x:v>93.3</x:v>
      </x:c>
      <x:c r="E316" s="13" t="n">
        <x:f>D1039</x:f>
        <x:v>59</x:v>
      </x:c>
      <x:c r="F316" s="30" t="n">
        <x:f>E1039</x:f>
        <x:v>84.7</x:v>
      </x:c>
      <x:c r="G316" s="31" t="n">
        <x:f>C316/$C$23</x:f>
        <x:v>0.0028593213877239803</x:v>
      </x:c>
      <x:c r="H316" s="31" t="n">
        <x:f>E316/$D$23</x:f>
        <x:v>0.003650086612224697</x:v>
      </x:c>
      <x:c r="I316" s="31" t="n">
        <x:f>(G316+H316)/2*(F316-D316)</x:f>
        <x:v>-0.027990454399779294</x:v>
      </x:c>
      <x:c r="J316" s="31" t="n">
        <x:f>(H316-G316)/2*(F316+D316)</x:f>
        <x:v>0.0703781049805638</x:v>
      </x:c>
      <x:c r="K316" s="31" t="n">
        <x:f>(G316+H316)/2*(MAX(0,F316-$B$3)-MIN(100,D316+$B$3))</x:f>
        <x:v>-0.02831592479977671</x:v>
      </x:c>
      <x:c r="L316" s="31" t="n">
        <x:f>(G316+H316)/2*(MIN(100,F316+$B$3)-MAX(0,D316-$B$3))</x:f>
        <x:v>-0.02766498399978188</x:v>
      </x:c>
      <x:c r="M316" s="31" t="n">
        <x:f>IF(H316&gt;=G316,(H316-G316)/2*(MAX(0,D316-$B$3)+MAX(0,F316-$B$3)),(H316-G316)/2*(MIN(100,D316+$B$3)+MIN(100,F316+$B$3)))</x:f>
        <x:v>0.07033856671933876</x:v>
      </x:c>
      <x:c r="N316" s="31" t="n">
        <x:f>IF(H316&gt;=G316,(H316-G316)/2*(MIN(100,D316+$B$3)+MIN(100,F316+$B$3)),(H316-G316)/2*(MAX(0,D316-$B$3)+MAX(0,F316-$B$3)))</x:f>
        <x:v>0.07041764324178883</x:v>
      </x:c>
      <x:c r="O316" s="13" t="str">
        <x:v>I03 GP_Code!P5659/U5659; I04 Table_1!P5029/U5029</x:v>
      </x:c>
    </x:row>
    <x:row r="317" ht="24" customHeight="1">
      <x:c r="A317" s="13" t="str">
        <x:v>QUA</x:v>
      </x:c>
      <x:c r="B317" s="13" t="str">
        <x:v>M91626</x:v>
      </x:c>
      <x:c r="C317" s="13" t="n">
        <x:f>D677</x:f>
        <x:v>65</x:v>
      </x:c>
      <x:c r="D317" s="30" t="n">
        <x:f>E677</x:f>
        <x:v>90.8</x:v>
      </x:c>
      <x:c r="E317" s="13" t="n">
        <x:f>D1040</x:f>
        <x:v>63</x:v>
      </x:c>
      <x:c r="F317" s="30" t="n">
        <x:f>E1040</x:f>
        <x:v>92.1</x:v>
      </x:c>
      <x:c r="G317" s="31" t="n">
        <x:f>C317/$C$23</x:f>
        <x:v>0.004130130893379083</x:v>
      </x:c>
      <x:c r="H317" s="31" t="n">
        <x:f>E317/$D$23</x:f>
        <x:v>0.0038975501113585748</x:v>
      </x:c>
      <x:c r="I317" s="31" t="n">
        <x:f>(G317+H317)/2*(F317-D317)</x:f>
        <x:v>0.005217992653079465</x:v>
      </x:c>
      <x:c r="J317" s="31" t="n">
        <x:f>(H317-G317)/2*(F317+D317)</x:f>
        <x:v>-0.02126951251577544</x:v>
      </x:c>
      <x:c r="K317" s="31" t="n">
        <x:f>(G317+H317)/2*(MAX(0,F317-$B$3)-MIN(100,D317+$B$3))</x:f>
        <x:v>0.004816608602842606</x:v>
      </x:c>
      <x:c r="L317" s="31" t="n">
        <x:f>(G317+H317)/2*(MIN(100,F317+$B$3)-MAX(0,D317-$B$3))</x:f>
        <x:v>0.005619376703316325</x:v>
      </x:c>
      <x:c r="M317" s="31" t="n">
        <x:f>IF(H317&gt;=G317,(H317-G317)/2*(MAX(0,D317-$B$3)+MAX(0,F317-$B$3)),(H317-G317)/2*(MIN(100,D317+$B$3)+MIN(100,F317+$B$3)))</x:f>
        <x:v>-0.021281141554876468</x:v>
      </x:c>
      <x:c r="N317" s="31" t="n">
        <x:f>IF(H317&gt;=G317,(H317-G317)/2*(MIN(100,D317+$B$3)+MIN(100,F317+$B$3)),(H317-G317)/2*(MAX(0,D317-$B$3)+MAX(0,F317-$B$3)))</x:f>
        <x:v>-0.021257883476674417</x:v>
      </x:c>
      <x:c r="O317" s="13" t="str">
        <x:v>I03 GP_Code!P5660/U5660; I04 Table_1!P5030/U5030</x:v>
      </x:c>
    </x:row>
    <x:row r="318" ht="24" customHeight="1">
      <x:c r="A318" s="13" t="str">
        <x:v>QUA</x:v>
      </x:c>
      <x:c r="B318" s="13" t="str">
        <x:v>M91628</x:v>
      </x:c>
      <x:c r="C318" s="13" t="n">
        <x:f>D678</x:f>
        <x:v>35</x:v>
      </x:c>
      <x:c r="D318" s="30" t="n">
        <x:f>E678</x:f>
        <x:v>94.3</x:v>
      </x:c>
      <x:c r="E318" s="13" t="n">
        <x:f>D1041</x:f>
        <x:v>44</x:v>
      </x:c>
      <x:c r="F318" s="30" t="n">
        <x:f>E1041</x:f>
        <x:v>90.9</x:v>
      </x:c>
      <x:c r="G318" s="31" t="n">
        <x:f>C318/$C$23</x:f>
        <x:v>0.002223916634896429</x:v>
      </x:c>
      <x:c r="H318" s="31" t="n">
        <x:f>E318/$D$23</x:f>
        <x:v>0.002722098490472655</x:v>
      </x:c>
      <x:c r="I318" s="31" t="n">
        <x:f>(G318+H318)/2*(F318-D318)</x:f>
        <x:v>-0.008408225713127424</x:v>
      </x:c>
      <x:c r="J318" s="31" t="n">
        <x:f>(H318-G318)/2*(F318+D318)</x:f>
        <x:v>0.04613163982635853</x:v>
      </x:c>
      <x:c r="K318" s="31" t="n">
        <x:f>(G318+H318)/2*(MAX(0,F318-$B$3)-MIN(100,D318+$B$3))</x:f>
        <x:v>-0.008655526469395863</x:v>
      </x:c>
      <x:c r="L318" s="31" t="n">
        <x:f>(G318+H318)/2*(MIN(100,F318+$B$3)-MAX(0,D318-$B$3))</x:f>
        <x:v>-0.008160924956858983</x:v>
      </x:c>
      <x:c r="M318" s="31" t="n">
        <x:f>IF(H318&gt;=G318,(H318-G318)/2*(MAX(0,D318-$B$3)+MAX(0,F318-$B$3)),(H318-G318)/2*(MIN(100,D318+$B$3)+MIN(100,F318+$B$3)))</x:f>
        <x:v>0.04610673073357973</x:v>
      </x:c>
      <x:c r="N318" s="31" t="n">
        <x:f>IF(H318&gt;=G318,(H318-G318)/2*(MIN(100,D318+$B$3)+MIN(100,F318+$B$3)),(H318-G318)/2*(MAX(0,D318-$B$3)+MAX(0,F318-$B$3)))</x:f>
        <x:v>0.04615654891913735</x:v>
      </x:c>
      <x:c r="O318" s="13" t="str">
        <x:v>I03 GP_Code!P5661/U5661; I04 Table_1!P5031/U5031</x:v>
      </x:c>
    </x:row>
    <x:row r="319" ht="24" customHeight="1">
      <x:c r="A319" s="13" t="str">
        <x:v>QUA</x:v>
      </x:c>
      <x:c r="B319" s="13" t="str">
        <x:v>M91629</x:v>
      </x:c>
      <x:c r="C319" s="13" t="n">
        <x:f>D679</x:f>
        <x:v>103</x:v>
      </x:c>
      <x:c r="D319" s="30" t="n">
        <x:f>E679</x:f>
        <x:v>78.6</x:v>
      </x:c>
      <x:c r="E319" s="13" t="n">
        <x:f>D1042</x:f>
        <x:v>128</x:v>
      </x:c>
      <x:c r="F319" s="30" t="n">
        <x:f>E1042</x:f>
        <x:v>71.9</x:v>
      </x:c>
      <x:c r="G319" s="31" t="n">
        <x:f>C319/$C$23</x:f>
        <x:v>0.0065446689541237765</x:v>
      </x:c>
      <x:c r="H319" s="31" t="n">
        <x:f>E319/$D$23</x:f>
        <x:v>0.007918831972284088</x:v>
      </x:c>
      <x:c r="I319" s="31" t="n">
        <x:f>(G319+H319)/2*(F319-D319)</x:f>
        <x:v>-0.048452728103466264</x:v>
      </x:c>
      <x:c r="J319" s="31" t="n">
        <x:f>(H319-G319)/2*(F319+D319)</x:f>
        <x:v>0.10340576711656342</x:v>
      </x:c>
      <x:c r="K319" s="31" t="n">
        <x:f>(G319+H319)/2*(MAX(0,F319-$B$3)-MIN(100,D319+$B$3))</x:f>
        <x:v>-0.049175903149786614</x:v>
      </x:c>
      <x:c r="L319" s="31" t="n">
        <x:f>(G319+H319)/2*(MIN(100,F319+$B$3)-MAX(0,D319-$B$3))</x:f>
        <x:v>-0.047729553057145914</x:v>
      </x:c>
      <x:c r="M319" s="31" t="n">
        <x:f>IF(H319&gt;=G319,(H319-G319)/2*(MAX(0,D319-$B$3)+MAX(0,F319-$B$3)),(H319-G319)/2*(MIN(100,D319+$B$3)+MIN(100,F319+$B$3)))</x:f>
        <x:v>0.10333705896565541</x:v>
      </x:c>
      <x:c r="N319" s="31" t="n">
        <x:f>IF(H319&gt;=G319,(H319-G319)/2*(MIN(100,D319+$B$3)+MIN(100,F319+$B$3)),(H319-G319)/2*(MAX(0,D319-$B$3)+MAX(0,F319-$B$3)))</x:f>
        <x:v>0.10347447526747143</x:v>
      </x:c>
      <x:c r="O319" s="13" t="str">
        <x:v>I03 GP_Code!P5662/U5662; I04 Table_1!P5032/U5032</x:v>
      </x:c>
    </x:row>
    <x:row r="320" ht="24" customHeight="1">
      <x:c r="A320" s="13" t="str">
        <x:v>QUA</x:v>
      </x:c>
      <x:c r="B320" s="13" t="str">
        <x:v>M91637</x:v>
      </x:c>
      <x:c r="C320" s="13" t="n">
        <x:f>D680</x:f>
        <x:v>37</x:v>
      </x:c>
      <x:c r="D320" s="30" t="n">
        <x:f>E680</x:f>
        <x:v>86.5</x:v>
      </x:c>
      <x:c r="E320" s="13" t="n">
        <x:f>D1043</x:f>
        <x:v>48</x:v>
      </x:c>
      <x:c r="F320" s="30" t="n">
        <x:f>E1043</x:f>
        <x:v>89.6</x:v>
      </x:c>
      <x:c r="G320" s="31" t="n">
        <x:f>C320/$C$23</x:f>
        <x:v>0.0023509975854619394</x:v>
      </x:c>
      <x:c r="H320" s="31" t="n">
        <x:f>E320/$D$23</x:f>
        <x:v>0.002969561989606533</x:v>
      </x:c>
      <x:c r="I320" s="31" t="n">
        <x:f>(G320+H320)/2*(F320-D320)</x:f>
        <x:v>0.008246867341356118</x:v>
      </x:c>
      <x:c r="J320" s="31" t="n">
        <x:f>(H320-G320)/2*(F320+D320)</x:f>
        <x:v>0.05446459578493146</x:v>
      </x:c>
      <x:c r="K320" s="31" t="n">
        <x:f>(G320+H320)/2*(MAX(0,F320-$B$3)-MIN(100,D320+$B$3))</x:f>
        <x:v>0.007980839362602708</x:v>
      </x:c>
      <x:c r="L320" s="31" t="n">
        <x:f>(G320+H320)/2*(MIN(100,F320+$B$3)-MAX(0,D320-$B$3))</x:f>
        <x:v>0.008512895320109527</x:v>
      </x:c>
      <x:c r="M320" s="31" t="n">
        <x:f>IF(H320&gt;=G320,(H320-G320)/2*(MAX(0,D320-$B$3)+MAX(0,F320-$B$3)),(H320-G320)/2*(MIN(100,D320+$B$3)+MIN(100,F320+$B$3)))</x:f>
        <x:v>0.05443366756472423</x:v>
      </x:c>
      <x:c r="N320" s="31" t="n">
        <x:f>IF(H320&gt;=G320,(H320-G320)/2*(MIN(100,D320+$B$3)+MIN(100,F320+$B$3)),(H320-G320)/2*(MAX(0,D320-$B$3)+MAX(0,F320-$B$3)))</x:f>
        <x:v>0.054495524005138685</x:v>
      </x:c>
      <x:c r="O320" s="13" t="str">
        <x:v>I03 GP_Code!P5663/U5663; I04 Table_1!P5033/U5033</x:v>
      </x:c>
    </x:row>
    <x:row r="321" ht="24" customHeight="1">
      <x:c r="A321" s="13" t="str">
        <x:v>QUA</x:v>
      </x:c>
      <x:c r="B321" s="13" t="str">
        <x:v>M91639</x:v>
      </x:c>
      <x:c r="C321" s="13" t="n">
        <x:f>D681</x:f>
        <x:v>14</x:v>
      </x:c>
      <x:c r="D321" s="30" t="n">
        <x:f>E681</x:f>
        <x:v>92.9</x:v>
      </x:c>
      <x:c r="E321" s="13" t="n">
        <x:f>D1044</x:f>
        <x:v>16</x:v>
      </x:c>
      <x:c r="F321" s="30" t="n">
        <x:f>E1044</x:f>
        <x:v>93.8</x:v>
      </x:c>
      <x:c r="G321" s="31" t="n">
        <x:f>C321/$C$23</x:f>
        <x:v>0.0008895666539585716</x:v>
      </x:c>
      <x:c r="H321" s="31" t="n">
        <x:f>E321/$D$23</x:f>
        <x:v>0.000989853996535511</x:v>
      </x:c>
      <x:c r="I321" s="31" t="n">
        <x:f>(G321+H321)/2*(F321-D321)</x:f>
        <x:v>0.0008457392927223291</x:v>
      </x:c>
      <x:c r="J321" s="31" t="n">
        <x:f>(H321-G321)/2*(F321+D321)</x:f>
        <x:v>0.00936182342955729</x:v>
      </x:c>
      <x:c r="K321" s="31" t="n">
        <x:f>(G321+H321)/2*(MAX(0,F321-$B$3)-MIN(100,D321+$B$3))</x:f>
        <x:v>0.0007517682601976304</x:v>
      </x:c>
      <x:c r="L321" s="31" t="n">
        <x:f>(G321+H321)/2*(MIN(100,F321+$B$3)-MAX(0,D321-$B$3))</x:f>
        <x:v>0.000939710325247028</x:v>
      </x:c>
      <x:c r="M321" s="31" t="n">
        <x:f>IF(H321&gt;=G321,(H321-G321)/2*(MAX(0,D321-$B$3)+MAX(0,F321-$B$3)),(H321-G321)/2*(MIN(100,D321+$B$3)+MIN(100,F321+$B$3)))</x:f>
        <x:v>0.009356809062428445</x:v>
      </x:c>
      <x:c r="N321" s="31" t="n">
        <x:f>IF(H321&gt;=G321,(H321-G321)/2*(MIN(100,D321+$B$3)+MIN(100,F321+$B$3)),(H321-G321)/2*(MAX(0,D321-$B$3)+MAX(0,F321-$B$3)))</x:f>
        <x:v>0.009366837796686138</x:v>
      </x:c>
      <x:c r="O321" s="13" t="str">
        <x:v>I03 GP_Code!P5664/U5664; I04 Table_1!P5034/U5034</x:v>
      </x:c>
    </x:row>
    <x:row r="322" ht="24" customHeight="1">
      <x:c r="A322" s="13" t="str">
        <x:v>QUA</x:v>
      </x:c>
      <x:c r="B322" s="13" t="str">
        <x:v>M91640</x:v>
      </x:c>
      <x:c r="C322" s="13" t="n">
        <x:f>D682</x:f>
        <x:v>63</x:v>
      </x:c>
      <x:c r="D322" s="30" t="n">
        <x:f>E682</x:f>
        <x:v>77.8</x:v>
      </x:c>
      <x:c r="E322" s="13" t="n">
        <x:f>D1045</x:f>
        <x:v>45</x:v>
      </x:c>
      <x:c r="F322" s="30" t="n">
        <x:f>E1045</x:f>
        <x:v>75.6</x:v>
      </x:c>
      <x:c r="G322" s="31" t="n">
        <x:f>C322/$C$23</x:f>
        <x:v>0.004003049942813572</x:v>
      </x:c>
      <x:c r="H322" s="31" t="n">
        <x:f>E322/$D$23</x:f>
        <x:v>0.0027839643652561247</x:v>
      </x:c>
      <x:c r="I322" s="31" t="n">
        <x:f>(G322+H322)/2*(F322-D322)</x:f>
        <x:v>-0.0074657157388766755</x:v>
      </x:c>
      <x:c r="J322" s="31" t="n">
        <x:f>(H322-G322)/2*(F322+D322)</x:f>
        <x:v>-0.09350386379865618</x:v>
      </x:c>
      <x:c r="K322" s="31" t="n">
        <x:f>(G322+H322)/2*(MAX(0,F322-$B$3)-MIN(100,D322+$B$3))</x:f>
        <x:v>-0.0078050664542801415</x:v>
      </x:c>
      <x:c r="L322" s="31" t="n">
        <x:f>(G322+H322)/2*(MIN(100,F322+$B$3)-MAX(0,D322-$B$3))</x:f>
        <x:v>-0.00712636502347321</x:v>
      </x:c>
      <x:c r="M322" s="31" t="n">
        <x:f>IF(H322&gt;=G322,(H322-G322)/2*(MAX(0,D322-$B$3)+MAX(0,F322-$B$3)),(H322-G322)/2*(MIN(100,D322+$B$3)+MIN(100,F322+$B$3)))</x:f>
        <x:v>-0.09356481807753407</x:v>
      </x:c>
      <x:c r="N322" s="31" t="n">
        <x:f>IF(H322&gt;=G322,(H322-G322)/2*(MIN(100,D322+$B$3)+MIN(100,F322+$B$3)),(H322-G322)/2*(MAX(0,D322-$B$3)+MAX(0,F322-$B$3)))</x:f>
        <x:v>-0.09344290951977834</x:v>
      </x:c>
      <x:c r="O322" s="13" t="str">
        <x:v>I03 GP_Code!P5665/U5665; I04 Table_1!P5035/U5035</x:v>
      </x:c>
    </x:row>
    <x:row r="323" ht="24" customHeight="1">
      <x:c r="A323" s="13" t="str">
        <x:v>QUA</x:v>
      </x:c>
      <x:c r="B323" s="13" t="str">
        <x:v>M91641</x:v>
      </x:c>
      <x:c r="C323" s="13" t="n">
        <x:f>D683</x:f>
        <x:v>67</x:v>
      </x:c>
      <x:c r="D323" s="30" t="n">
        <x:f>E683</x:f>
        <x:v>82.1</x:v>
      </x:c>
      <x:c r="E323" s="13" t="n">
        <x:f>D1046</x:f>
        <x:v>52</x:v>
      </x:c>
      <x:c r="F323" s="30" t="n">
        <x:f>E1046</x:f>
        <x:v>86.5</x:v>
      </x:c>
      <x:c r="G323" s="31" t="n">
        <x:f>C323/$C$23</x:f>
        <x:v>0.0042572118439445925</x:v>
      </x:c>
      <x:c r="H323" s="31" t="n">
        <x:f>E323/$D$23</x:f>
        <x:v>0.0032170254887404106</x:v>
      </x:c>
      <x:c r="I323" s="31" t="n">
        <x:f>(G323+H323)/2*(F323-D323)</x:f>
        <x:v>0.016443322131907027</x:v>
      </x:c>
      <x:c r="J323" s="31" t="n">
        <x:f>(H323-G323)/2*(F323+D323)</x:f>
        <x:v>-0.08768770974371252</x:v>
      </x:c>
      <x:c r="K323" s="31" t="n">
        <x:f>(G323+H323)/2*(MAX(0,F323-$B$3)-MIN(100,D323+$B$3))</x:f>
        <x:v>0.0160696102652728</x:v>
      </x:c>
      <x:c r="L323" s="31" t="n">
        <x:f>(G323+H323)/2*(MIN(100,F323+$B$3)-MAX(0,D323-$B$3))</x:f>
        <x:v>0.016817033998541255</x:v>
      </x:c>
      <x:c r="M323" s="31" t="n">
        <x:f>IF(H323&gt;=G323,(H323-G323)/2*(MAX(0,D323-$B$3)+MAX(0,F323-$B$3)),(H323-G323)/2*(MIN(100,D323+$B$3)+MIN(100,F323+$B$3)))</x:f>
        <x:v>-0.08773971906147274</x:v>
      </x:c>
      <x:c r="N323" s="31" t="n">
        <x:f>IF(H323&gt;=G323,(H323-G323)/2*(MIN(100,D323+$B$3)+MIN(100,F323+$B$3)),(H323-G323)/2*(MAX(0,D323-$B$3)+MAX(0,F323-$B$3)))</x:f>
        <x:v>-0.08763570042595233</x:v>
      </x:c>
      <x:c r="O323" s="13" t="str">
        <x:v>I03 GP_Code!P5666/U5666; I04 Table_1!P5036/U5036</x:v>
      </x:c>
    </x:row>
    <x:row r="324" ht="24" customHeight="1">
      <x:c r="A324" s="13" t="str">
        <x:v>QUA</x:v>
      </x:c>
      <x:c r="B324" s="13" t="str">
        <x:v>M91647</x:v>
      </x:c>
      <x:c r="C324" s="13" t="n">
        <x:f>D684</x:f>
        <x:v>67</x:v>
      </x:c>
      <x:c r="D324" s="30" t="n">
        <x:f>E684</x:f>
        <x:v>88.1</x:v>
      </x:c>
      <x:c r="E324" s="13" t="n">
        <x:f>D1047</x:f>
        <x:v>61</x:v>
      </x:c>
      <x:c r="F324" s="30" t="n">
        <x:f>E1047</x:f>
        <x:v>82</x:v>
      </x:c>
      <x:c r="G324" s="31" t="n">
        <x:f>C324/$C$23</x:f>
        <x:v>0.0042572118439445925</x:v>
      </x:c>
      <x:c r="H324" s="31" t="n">
        <x:f>E324/$D$23</x:f>
        <x:v>0.0037738183617916357</x:v>
      </x:c>
      <x:c r="I324" s="31" t="n">
        <x:f>(G324+H324)/2*(F324-D324)</x:f>
        <x:v>-0.024494642127495473</x:v>
      </x:c>
      <x:c r="J324" s="31" t="n">
        <x:f>(H324-G324)/2*(F324+D324)</x:f>
        <x:v>-0.041112615657108977</x:v>
      </x:c>
      <x:c r="K324" s="31" t="n">
        <x:f>(G324+H324)/2*(MAX(0,F324-$B$3)-MIN(100,D324+$B$3))</x:f>
        <x:v>-0.02489619363778226</x:v>
      </x:c>
      <x:c r="L324" s="31" t="n">
        <x:f>(G324+H324)/2*(MIN(100,F324+$B$3)-MAX(0,D324-$B$3))</x:f>
        <x:v>-0.024093090617208685</x:v>
      </x:c>
      <x:c r="M324" s="31" t="n">
        <x:f>IF(H324&gt;=G324,(H324-G324)/2*(MAX(0,D324-$B$3)+MAX(0,F324-$B$3)),(H324-G324)/2*(MIN(100,D324+$B$3)+MIN(100,F324+$B$3)))</x:f>
        <x:v>-0.04113678533121662</x:v>
      </x:c>
      <x:c r="N324" s="31" t="n">
        <x:f>IF(H324&gt;=G324,(H324-G324)/2*(MIN(100,D324+$B$3)+MIN(100,F324+$B$3)),(H324-G324)/2*(MAX(0,D324-$B$3)+MAX(0,F324-$B$3)))</x:f>
        <x:v>-0.04108844598300133</x:v>
      </x:c>
      <x:c r="O324" s="13" t="str">
        <x:v>I03 GP_Code!P5667/U5667; I04 Table_1!P5037/U5037</x:v>
      </x:c>
    </x:row>
    <x:row r="325" ht="24" customHeight="1">
      <x:c r="A325" s="13" t="str">
        <x:v>QUA</x:v>
      </x:c>
      <x:c r="B325" s="13" t="str">
        <x:v>M91650</x:v>
      </x:c>
      <x:c r="C325" s="13" t="n">
        <x:f>D685</x:f>
        <x:v>105</x:v>
      </x:c>
      <x:c r="D325" s="30" t="n">
        <x:f>E685</x:f>
        <x:v>90.5</x:v>
      </x:c>
      <x:c r="E325" s="13" t="n">
        <x:f>D1048</x:f>
        <x:v>110</x:v>
      </x:c>
      <x:c r="F325" s="30" t="n">
        <x:f>E1048</x:f>
        <x:v>85.5</x:v>
      </x:c>
      <x:c r="G325" s="31" t="n">
        <x:f>C325/$C$23</x:f>
        <x:v>0.006671749904689287</x:v>
      </x:c>
      <x:c r="H325" s="31" t="n">
        <x:f>E325/$D$23</x:f>
        <x:v>0.0068052462261816386</x:v>
      </x:c>
      <x:c r="I325" s="31" t="n">
        <x:f>(G325+H325)/2*(F325-D325)</x:f>
        <x:v>-0.03369249032717732</x:v>
      </x:c>
      <x:c r="J325" s="31" t="n">
        <x:f>(H325-G325)/2*(F325+D325)</x:f>
        <x:v>0.011747676291326913</x:v>
      </x:c>
      <x:c r="K325" s="31" t="n">
        <x:f>(G325+H325)/2*(MAX(0,F325-$B$3)-MIN(100,D325+$B$3))</x:f>
        <x:v>-0.03436634013372083</x:v>
      </x:c>
      <x:c r="L325" s="31" t="n">
        <x:f>(G325+H325)/2*(MIN(100,F325+$B$3)-MAX(0,D325-$B$3))</x:f>
        <x:v>-0.03301864052063381</x:v>
      </x:c>
      <x:c r="M325" s="31" t="n">
        <x:f>IF(H325&gt;=G325,(H325-G325)/2*(MAX(0,D325-$B$3)+MAX(0,F325-$B$3)),(H325-G325)/2*(MIN(100,D325+$B$3)+MIN(100,F325+$B$3)))</x:f>
        <x:v>0.011741001475252295</x:v>
      </x:c>
      <x:c r="N325" s="31" t="n">
        <x:f>IF(H325&gt;=G325,(H325-G325)/2*(MIN(100,D325+$B$3)+MIN(100,F325+$B$3)),(H325-G325)/2*(MAX(0,D325-$B$3)+MAX(0,F325-$B$3)))</x:f>
        <x:v>0.01175435110740153</x:v>
      </x:c>
      <x:c r="O325" s="13" t="str">
        <x:v>I03 GP_Code!P5668/U5668; I04 Table_1!P5038/U5038</x:v>
      </x:c>
    </x:row>
    <x:row r="326" ht="24" customHeight="1">
      <x:c r="A326" s="13" t="str">
        <x:v>QUA</x:v>
      </x:c>
      <x:c r="B326" s="13" t="str">
        <x:v>M91654</x:v>
      </x:c>
      <x:c r="C326" s="13" t="n">
        <x:f>D686</x:f>
        <x:v>34</x:v>
      </x:c>
      <x:c r="D326" s="30" t="n">
        <x:f>E686</x:f>
        <x:v>88.2</x:v>
      </x:c>
      <x:c r="E326" s="13" t="n">
        <x:f>D1049</x:f>
        <x:v>46</x:v>
      </x:c>
      <x:c r="F326" s="30" t="n">
        <x:f>E1049</x:f>
        <x:v>95.7</x:v>
      </x:c>
      <x:c r="G326" s="31" t="n">
        <x:f>C326/$C$23</x:f>
        <x:v>0.0021603761596136737</x:v>
      </x:c>
      <x:c r="H326" s="31" t="n">
        <x:f>E326/$D$23</x:f>
        <x:v>0.0028458302400395943</x:v>
      </x:c>
      <x:c r="I326" s="31" t="n">
        <x:f>(G326+H326)/2*(F326-D326)</x:f>
        <x:v>0.018773273998699755</x:v>
      </x:c>
      <x:c r="J326" s="31" t="n">
        <x:f>(H326-G326)/2*(F326+D326)</x:f>
        <x:v>0.0630275026951634</x:v>
      </x:c>
      <x:c r="K326" s="31" t="n">
        <x:f>(G326+H326)/2*(MAX(0,F326-$B$3)-MIN(100,D326+$B$3))</x:f>
        <x:v>0.018522963678717107</x:v>
      </x:c>
      <x:c r="L326" s="31" t="n">
        <x:f>(G326+H326)/2*(MIN(100,F326+$B$3)-MAX(0,D326-$B$3))</x:f>
        <x:v>0.019023584318682403</x:v>
      </x:c>
      <x:c r="M326" s="31" t="n">
        <x:f>IF(H326&gt;=G326,(H326-G326)/2*(MAX(0,D326-$B$3)+MAX(0,F326-$B$3)),(H326-G326)/2*(MIN(100,D326+$B$3)+MIN(100,F326+$B$3)))</x:f>
        <x:v>0.0629932299911421</x:v>
      </x:c>
      <x:c r="N326" s="31" t="n">
        <x:f>IF(H326&gt;=G326,(H326-G326)/2*(MIN(100,D326+$B$3)+MIN(100,F326+$B$3)),(H326-G326)/2*(MAX(0,D326-$B$3)+MAX(0,F326-$B$3)))</x:f>
        <x:v>0.06306177539918469</x:v>
      </x:c>
      <x:c r="O326" s="13" t="str">
        <x:v>I03 GP_Code!P5669/U5669; I04 Table_1!P5039/U5039</x:v>
      </x:c>
    </x:row>
    <x:row r="327" ht="24" customHeight="1">
      <x:c r="A327" s="13" t="str">
        <x:v>QUA</x:v>
      </x:c>
      <x:c r="B327" s="13" t="str">
        <x:v>M91659</x:v>
      </x:c>
      <x:c r="C327" s="13" t="n">
        <x:f>D687</x:f>
        <x:v>56</x:v>
      </x:c>
      <x:c r="D327" s="30" t="n">
        <x:f>E687</x:f>
        <x:v>83.9</x:v>
      </x:c>
      <x:c r="E327" s="13" t="n">
        <x:f>D1050</x:f>
        <x:v>56</x:v>
      </x:c>
      <x:c r="F327" s="30" t="n">
        <x:f>E1050</x:f>
        <x:v>82.1</x:v>
      </x:c>
      <x:c r="G327" s="31" t="n">
        <x:f>C327/$C$23</x:f>
        <x:v>0.0035582666158342864</x:v>
      </x:c>
      <x:c r="H327" s="31" t="n">
        <x:f>E327/$D$23</x:f>
        <x:v>0.0034644889878742884</x:v>
      </x:c>
      <x:c r="I327" s="31" t="n">
        <x:f>(G327+H327)/2*(F327-D327)</x:f>
        <x:v>-0.006320480043337757</x:v>
      </x:c>
      <x:c r="J327" s="31" t="n">
        <x:f>(H327-G327)/2*(F327+D327)</x:f>
        <x:v>-0.007783543120679833</x:v>
      </x:c>
      <x:c r="K327" s="31" t="n">
        <x:f>(G327+H327)/2*(MAX(0,F327-$B$3)-MIN(100,D327+$B$3))</x:f>
        <x:v>-0.006671617823523166</x:v>
      </x:c>
      <x:c r="L327" s="31" t="n">
        <x:f>(G327+H327)/2*(MIN(100,F327+$B$3)-MAX(0,D327-$B$3))</x:f>
        <x:v>-0.005969342263152349</x:v>
      </x:c>
      <x:c r="M327" s="31" t="n">
        <x:f>IF(H327&gt;=G327,(H327-G327)/2*(MAX(0,D327-$B$3)+MAX(0,F327-$B$3)),(H327-G327)/2*(MIN(100,D327+$B$3)+MIN(100,F327+$B$3)))</x:f>
        <x:v>-0.007788232002077833</x:v>
      </x:c>
      <x:c r="N327" s="31" t="n">
        <x:f>IF(H327&gt;=G327,(H327-G327)/2*(MIN(100,D327+$B$3)+MIN(100,F327+$B$3)),(H327-G327)/2*(MAX(0,D327-$B$3)+MAX(0,F327-$B$3)))</x:f>
        <x:v>-0.007778854239281833</x:v>
      </x:c>
      <x:c r="O327" s="13" t="str">
        <x:v>I03 GP_Code!P5670/U5670; I04 Table_1!P5040/U5040</x:v>
      </x:c>
    </x:row>
    <x:row r="328" ht="24" customHeight="1">
      <x:c r="A328" s="13" t="str">
        <x:v>QUA</x:v>
      </x:c>
      <x:c r="B328" s="13" t="str">
        <x:v>M91660</x:v>
      </x:c>
      <x:c r="C328" s="13" t="n">
        <x:f>D688</x:f>
        <x:v>78</x:v>
      </x:c>
      <x:c r="D328" s="30" t="n">
        <x:f>E688</x:f>
        <x:v>71.8</x:v>
      </x:c>
      <x:c r="E328" s="13" t="n">
        <x:f>D1051</x:f>
        <x:v>67</x:v>
      </x:c>
      <x:c r="F328" s="30" t="n">
        <x:f>E1051</x:f>
        <x:v>70.1</x:v>
      </x:c>
      <x:c r="G328" s="31" t="n">
        <x:f>C328/$C$23</x:f>
        <x:v>0.004956157072054899</x:v>
      </x:c>
      <x:c r="H328" s="31" t="n">
        <x:f>E328/$D$23</x:f>
        <x:v>0.004145013610492452</x:v>
      </x:c>
      <x:c r="I328" s="31" t="n">
        <x:f>(G328+H328)/2*(F328-D328)</x:f>
        <x:v>-0.007735995080165261</x:v>
      </x:c>
      <x:c r="J328" s="31" t="n">
        <x:f>(H328-G328)/2*(F328+D328)</x:f>
        <x:v>-0.05755062859785557</x:v>
      </x:c>
      <x:c r="K328" s="31" t="n">
        <x:f>(G328+H328)/2*(MAX(0,F328-$B$3)-MIN(100,D328+$B$3))</x:f>
        <x:v>-0.008191053614292603</x:v>
      </x:c>
      <x:c r="L328" s="31" t="n">
        <x:f>(G328+H328)/2*(MIN(100,F328+$B$3)-MAX(0,D328-$B$3))</x:f>
        <x:v>-0.00728093654603792</x:v>
      </x:c>
      <x:c r="M328" s="31" t="n">
        <x:f>IF(H328&gt;=G328,(H328-G328)/2*(MAX(0,D328-$B$3)+MAX(0,F328-$B$3)),(H328-G328)/2*(MIN(100,D328+$B$3)+MIN(100,F328+$B$3)))</x:f>
        <x:v>-0.0575911857709337</x:v>
      </x:c>
      <x:c r="N328" s="31" t="n">
        <x:f>IF(H328&gt;=G328,(H328-G328)/2*(MIN(100,D328+$B$3)+MIN(100,F328+$B$3)),(H328-G328)/2*(MAX(0,D328-$B$3)+MAX(0,F328-$B$3)))</x:f>
        <x:v>-0.057510071424777466</x:v>
      </x:c>
      <x:c r="O328" s="13" t="str">
        <x:v>I03 GP_Code!P5671/U5671; I04 Table_1!P5041/U5041</x:v>
      </x:c>
    </x:row>
    <x:row r="329" ht="24" customHeight="1">
      <x:c r="A329" s="13" t="str">
        <x:v>QUA</x:v>
      </x:c>
      <x:c r="B329" s="13" t="str">
        <x:v>M92001</x:v>
      </x:c>
      <x:c r="C329" s="13" t="n">
        <x:f>D689</x:f>
        <x:v>40</x:v>
      </x:c>
      <x:c r="D329" s="30" t="n">
        <x:f>E689</x:f>
        <x:v>85</x:v>
      </x:c>
      <x:c r="E329" s="13" t="n">
        <x:f>D1052</x:f>
        <x:v>32</x:v>
      </x:c>
      <x:c r="F329" s="30" t="n">
        <x:f>E1052</x:f>
        <x:v>75</x:v>
      </x:c>
      <x:c r="G329" s="31" t="n">
        <x:f>C329/$C$23</x:f>
        <x:v>0.0025416190113102047</x:v>
      </x:c>
      <x:c r="H329" s="31" t="n">
        <x:f>E329/$D$23</x:f>
        <x:v>0.001979707993071022</x:v>
      </x:c>
      <x:c r="I329" s="31" t="n">
        <x:f>(G329+H329)/2*(F329-D329)</x:f>
        <x:v>-0.022606635021906133</x:v>
      </x:c>
      <x:c r="J329" s="31" t="n">
        <x:f>(H329-G329)/2*(F329+D329)</x:f>
        <x:v>-0.04495288145913462</x:v>
      </x:c>
      <x:c r="K329" s="31" t="n">
        <x:f>(G329+H329)/2*(MAX(0,F329-$B$3)-MIN(100,D329+$B$3))</x:f>
        <x:v>-0.022832701372125182</x:v>
      </x:c>
      <x:c r="L329" s="31" t="n">
        <x:f>(G329+H329)/2*(MIN(100,F329+$B$3)-MAX(0,D329-$B$3))</x:f>
        <x:v>-0.022380568671687084</x:v>
      </x:c>
      <x:c r="M329" s="31" t="n">
        <x:f>IF(H329&gt;=G329,(H329-G329)/2*(MAX(0,D329-$B$3)+MAX(0,F329-$B$3)),(H329-G329)/2*(MIN(100,D329+$B$3)+MIN(100,F329+$B$3)))</x:f>
        <x:v>-0.04498097701004658</x:v>
      </x:c>
      <x:c r="N329" s="31" t="n">
        <x:f>IF(H329&gt;=G329,(H329-G329)/2*(MIN(100,D329+$B$3)+MIN(100,F329+$B$3)),(H329-G329)/2*(MAX(0,D329-$B$3)+MAX(0,F329-$B$3)))</x:f>
        <x:v>-0.04492478590822266</x:v>
      </x:c>
      <x:c r="O329" s="13" t="str">
        <x:v>I03 GP_Code!P5672/U5672; I04 Table_1!P5042/U5042</x:v>
      </x:c>
    </x:row>
    <x:row r="330" ht="24" customHeight="1">
      <x:c r="A330" s="13" t="str">
        <x:v>QUA</x:v>
      </x:c>
      <x:c r="B330" s="13" t="str">
        <x:v>M92004</x:v>
      </x:c>
      <x:c r="C330" s="13" t="n">
        <x:f>D691</x:f>
        <x:v>27</x:v>
      </x:c>
      <x:c r="D330" s="30" t="n">
        <x:f>E691</x:f>
        <x:v>88.9</x:v>
      </x:c>
      <x:c r="E330" s="13" t="n">
        <x:f>D1053</x:f>
        <x:v>41</x:v>
      </x:c>
      <x:c r="F330" s="30" t="n">
        <x:f>E1053</x:f>
        <x:v>87.8</x:v>
      </x:c>
      <x:c r="G330" s="31" t="n">
        <x:f>C330/$C$23</x:f>
        <x:v>0.001715592832634388</x:v>
      </x:c>
      <x:c r="H330" s="31" t="n">
        <x:f>E330/$D$23</x:f>
        <x:v>0.002536500866122247</x:v>
      </x:c>
      <x:c r="I330" s="31" t="n">
        <x:f>(G330+H330)/2*(F330-D330)</x:f>
        <x:v>-0.0023386515343161675</x:v>
      </x:c>
      <x:c r="J330" s="31" t="n">
        <x:f>(H330-G330)/2*(F330+D330)</x:f>
        <x:v>0.07252722475865234</x:v>
      </x:c>
      <x:c r="K330" s="31" t="n">
        <x:f>(G330+H330)/2*(MAX(0,F330-$B$3)-MIN(100,D330+$B$3))</x:f>
        <x:v>-0.0025512562192539874</x:v>
      </x:c>
      <x:c r="L330" s="31" t="n">
        <x:f>(G330+H330)/2*(MIN(100,F330+$B$3)-MAX(0,D330-$B$3))</x:f>
        <x:v>-0.002126046849378348</x:v>
      </x:c>
      <x:c r="M330" s="31" t="n">
        <x:f>IF(H330&gt;=G330,(H330-G330)/2*(MAX(0,D330-$B$3)+MAX(0,F330-$B$3)),(H330-G330)/2*(MIN(100,D330+$B$3)+MIN(100,F330+$B$3)))</x:f>
        <x:v>0.07248617935697796</x:v>
      </x:c>
      <x:c r="N330" s="31" t="n">
        <x:f>IF(H330&gt;=G330,(H330-G330)/2*(MIN(100,D330+$B$3)+MIN(100,F330+$B$3)),(H330-G330)/2*(MAX(0,D330-$B$3)+MAX(0,F330-$B$3)))</x:f>
        <x:v>0.07256827016032673</x:v>
      </x:c>
      <x:c r="O330" s="13" t="str">
        <x:v>I03 GP_Code!P5674/U5674; I04 Table_1!P5043/U5043</x:v>
      </x:c>
    </x:row>
    <x:row r="331" ht="24" customHeight="1">
      <x:c r="A331" s="13" t="str">
        <x:v>QUA</x:v>
      </x:c>
      <x:c r="B331" s="13" t="str">
        <x:v>M92006</x:v>
      </x:c>
      <x:c r="C331" s="13" t="n">
        <x:f>D692</x:f>
        <x:v>44</x:v>
      </x:c>
      <x:c r="D331" s="30" t="n">
        <x:f>E692</x:f>
        <x:v>90.9</x:v>
      </x:c>
      <x:c r="E331" s="13" t="n">
        <x:f>D1054</x:f>
        <x:v>42</x:v>
      </x:c>
      <x:c r="F331" s="30" t="n">
        <x:f>E1054</x:f>
        <x:v>92.9</x:v>
      </x:c>
      <x:c r="G331" s="31" t="n">
        <x:f>C331/$C$23</x:f>
        <x:v>0.002795780912441225</x:v>
      </x:c>
      <x:c r="H331" s="31" t="n">
        <x:f>E331/$D$23</x:f>
        <x:v>0.0025983667409057165</x:v>
      </x:c>
      <x:c r="I331" s="31" t="n">
        <x:f>(G331+H331)/2*(F331-D331)</x:f>
        <x:v>0.005394147653346941</x:v>
      </x:c>
      <x:c r="J331" s="31" t="n">
        <x:f>(H331-G331)/2*(F331+D331)</x:f>
        <x:v>-0.01814236236411322</x:v>
      </x:c>
      <x:c r="K331" s="31" t="n">
        <x:f>(G331+H331)/2*(MAX(0,F331-$B$3)-MIN(100,D331+$B$3))</x:f>
        <x:v>0.005124440270679609</x:v>
      </x:c>
      <x:c r="L331" s="31" t="n">
        <x:f>(G331+H331)/2*(MIN(100,F331+$B$3)-MAX(0,D331-$B$3))</x:f>
        <x:v>0.005663855036014273</x:v>
      </x:c>
      <x:c r="M331" s="31" t="n">
        <x:f>IF(H331&gt;=G331,(H331-G331)/2*(MAX(0,D331-$B$3)+MAX(0,F331-$B$3)),(H331-G331)/2*(MIN(100,D331+$B$3)+MIN(100,F331+$B$3)))</x:f>
        <x:v>-0.018152233072689997</x:v>
      </x:c>
      <x:c r="N331" s="31" t="n">
        <x:f>IF(H331&gt;=G331,(H331-G331)/2*(MIN(100,D331+$B$3)+MIN(100,F331+$B$3)),(H331-G331)/2*(MAX(0,D331-$B$3)+MAX(0,F331-$B$3)))</x:f>
        <x:v>-0.018132491655536445</x:v>
      </x:c>
      <x:c r="O331" s="13" t="str">
        <x:v>I03 GP_Code!P5675/U5675; I04 Table_1!P5044/U5044</x:v>
      </x:c>
    </x:row>
    <x:row r="332" ht="24" customHeight="1">
      <x:c r="A332" s="13" t="str">
        <x:v>QUA</x:v>
      </x:c>
      <x:c r="B332" s="13" t="str">
        <x:v>M92007</x:v>
      </x:c>
      <x:c r="C332" s="13" t="n">
        <x:f>D693</x:f>
        <x:v>89</x:v>
      </x:c>
      <x:c r="D332" s="30" t="n">
        <x:f>E693</x:f>
        <x:v>91</x:v>
      </x:c>
      <x:c r="E332" s="13" t="n">
        <x:f>D1055</x:f>
        <x:v>73</x:v>
      </x:c>
      <x:c r="F332" s="30" t="n">
        <x:f>E1055</x:f>
        <x:v>72.6</x:v>
      </x:c>
      <x:c r="G332" s="31" t="n">
        <x:f>C332/$C$23</x:f>
        <x:v>0.005655102300165206</x:v>
      </x:c>
      <x:c r="H332" s="31" t="n">
        <x:f>E332/$D$23</x:f>
        <x:v>0.004516208859193269</x:v>
      </x:c>
      <x:c r="I332" s="31" t="n">
        <x:f>(G332+H332)/2*(F332-D332)</x:f>
        <x:v>-0.093576062666098</x:v>
      </x:c>
      <x:c r="J332" s="31" t="n">
        <x:f>(H332-G332)/2*(F332+D332)</x:f>
        <x:v>-0.09316148347150438</x:v>
      </x:c>
      <x:c r="K332" s="31" t="n">
        <x:f>(G332+H332)/2*(MAX(0,F332-$B$3)-MIN(100,D332+$B$3))</x:f>
        <x:v>-0.0940846282240659</x:v>
      </x:c>
      <x:c r="L332" s="31" t="n">
        <x:f>(G332+H332)/2*(MIN(100,F332+$B$3)-MAX(0,D332-$B$3))</x:f>
        <x:v>-0.0930674971081301</x:v>
      </x:c>
      <x:c r="M332" s="31" t="n">
        <x:f>IF(H332&gt;=G332,(H332-G332)/2*(MAX(0,D332-$B$3)+MAX(0,F332-$B$3)),(H332-G332)/2*(MIN(100,D332+$B$3)+MIN(100,F332+$B$3)))</x:f>
        <x:v>-0.09321842814355298</x:v>
      </x:c>
      <x:c r="N332" s="31" t="n">
        <x:f>IF(H332&gt;=G332,(H332-G332)/2*(MIN(100,D332+$B$3)+MIN(100,F332+$B$3)),(H332-G332)/2*(MAX(0,D332-$B$3)+MAX(0,F332-$B$3)))</x:f>
        <x:v>-0.0931045387994558</x:v>
      </x:c>
      <x:c r="O332" s="13" t="str">
        <x:v>I03 GP_Code!P5676/U5676; I04 Table_1!P5045/U5045</x:v>
      </x:c>
    </x:row>
    <x:row r="333" ht="24" customHeight="1">
      <x:c r="A333" s="13" t="str">
        <x:v>QUA</x:v>
      </x:c>
      <x:c r="B333" s="13" t="str">
        <x:v>M92008</x:v>
      </x:c>
      <x:c r="C333" s="13" t="n">
        <x:f>D694</x:f>
        <x:v>127</x:v>
      </x:c>
      <x:c r="D333" s="30" t="n">
        <x:f>E694</x:f>
        <x:v>92.9</x:v>
      </x:c>
      <x:c r="E333" s="13" t="n">
        <x:f>D1056</x:f>
        <x:v>134</x:v>
      </x:c>
      <x:c r="F333" s="30" t="n">
        <x:f>E1056</x:f>
        <x:v>91.8</x:v>
      </x:c>
      <x:c r="G333" s="31" t="n">
        <x:f>C333/$C$23</x:f>
        <x:v>0.0080696403609099</x:v>
      </x:c>
      <x:c r="H333" s="31" t="n">
        <x:f>E333/$D$23</x:f>
        <x:v>0.008290027220984904</x:v>
      </x:c>
      <x:c r="I333" s="31" t="n">
        <x:f>(G333+H333)/2*(F333-D333)</x:f>
        <x:v>-0.008997817170042213</x:v>
      </x:c>
      <x:c r="J333" s="31" t="n">
        <x:f>(H333-G333)/2*(F333+D333)</x:f>
        <x:v>0.020352726527926596</x:v>
      </x:c>
      <x:c r="K333" s="31" t="n">
        <x:f>(G333+H333)/2*(MAX(0,F333-$B$3)-MIN(100,D333+$B$3))</x:f>
        <x:v>-0.009815800549136906</x:v>
      </x:c>
      <x:c r="L333" s="31" t="n">
        <x:f>(G333+H333)/2*(MIN(100,F333+$B$3)-MAX(0,D333-$B$3))</x:f>
        <x:v>-0.008179833790947518</x:v>
      </x:c>
      <x:c r="M333" s="31" t="n">
        <x:f>IF(H333&gt;=G333,(H333-G333)/2*(MAX(0,D333-$B$3)+MAX(0,F333-$B$3)),(H333-G333)/2*(MIN(100,D333+$B$3)+MIN(100,F333+$B$3)))</x:f>
        <x:v>0.020341707184922852</x:v>
      </x:c>
      <x:c r="N333" s="31" t="n">
        <x:f>IF(H333&gt;=G333,(H333-G333)/2*(MIN(100,D333+$B$3)+MIN(100,F333+$B$3)),(H333-G333)/2*(MAX(0,D333-$B$3)+MAX(0,F333-$B$3)))</x:f>
        <x:v>0.02036374587093035</x:v>
      </x:c>
      <x:c r="O333" s="13" t="str">
        <x:v>I03 GP_Code!P5677/U5677; I04 Table_1!P5046/U5046</x:v>
      </x:c>
    </x:row>
    <x:row r="334" ht="24" customHeight="1">
      <x:c r="A334" s="13" t="str">
        <x:v>QUA</x:v>
      </x:c>
      <x:c r="B334" s="13" t="str">
        <x:v>M92009</x:v>
      </x:c>
      <x:c r="C334" s="13" t="n">
        <x:f>D695</x:f>
        <x:v>174</x:v>
      </x:c>
      <x:c r="D334" s="30" t="n">
        <x:f>E695</x:f>
        <x:v>89.7</x:v>
      </x:c>
      <x:c r="E334" s="13" t="n">
        <x:f>D1057</x:f>
        <x:v>148</x:v>
      </x:c>
      <x:c r="F334" s="30" t="n">
        <x:f>E1057</x:f>
        <x:v>85.1</x:v>
      </x:c>
      <x:c r="G334" s="31" t="n">
        <x:f>C334/$C$23</x:f>
        <x:v>0.01105604269919939</x:v>
      </x:c>
      <x:c r="H334" s="31" t="n">
        <x:f>E334/$D$23</x:f>
        <x:v>0.009156149467953477</x:v>
      </x:c>
      <x:c r="I334" s="31" t="n">
        <x:f>(G334+H334)/2*(F334-D334)</x:f>
        <x:v>-0.046488041984451674</x:v>
      </x:c>
      <x:c r="J334" s="31" t="n">
        <x:f>(H334-G334)/2*(F334+D334)</x:f>
        <x:v>-0.16605066841089278</x:v>
      </x:c>
      <x:c r="K334" s="31" t="n">
        <x:f>(G334+H334)/2*(MAX(0,F334-$B$3)-MIN(100,D334+$B$3))</x:f>
        <x:v>-0.04749865159280926</x:v>
      </x:c>
      <x:c r="L334" s="31" t="n">
        <x:f>(G334+H334)/2*(MIN(100,F334+$B$3)-MAX(0,D334-$B$3))</x:f>
        <x:v>-0.04547743237609409</x:v>
      </x:c>
      <x:c r="M334" s="31" t="n">
        <x:f>IF(H334&gt;=G334,(H334-G334)/2*(MAX(0,D334-$B$3)+MAX(0,F334-$B$3)),(H334-G334)/2*(MIN(100,D334+$B$3)+MIN(100,F334+$B$3)))</x:f>
        <x:v>-0.16614566307245504</x:v>
      </x:c>
      <x:c r="N334" s="31" t="n">
        <x:f>IF(H334&gt;=G334,(H334-G334)/2*(MIN(100,D334+$B$3)+MIN(100,F334+$B$3)),(H334-G334)/2*(MAX(0,D334-$B$3)+MAX(0,F334-$B$3)))</x:f>
        <x:v>-0.16595567374933046</x:v>
      </x:c>
      <x:c r="O334" s="13" t="str">
        <x:v>I03 GP_Code!P5678/U5678; I04 Table_1!P5047/U5047</x:v>
      </x:c>
    </x:row>
    <x:row r="335" ht="24" customHeight="1">
      <x:c r="A335" s="13" t="str">
        <x:v>QUA</x:v>
      </x:c>
      <x:c r="B335" s="13" t="str">
        <x:v>M92010</x:v>
      </x:c>
      <x:c r="C335" s="13" t="n">
        <x:f>D696</x:f>
        <x:v>109</x:v>
      </x:c>
      <x:c r="D335" s="30" t="n">
        <x:f>E696</x:f>
        <x:v>91.7</x:v>
      </x:c>
      <x:c r="E335" s="13" t="n">
        <x:f>D1058</x:f>
        <x:v>120</x:v>
      </x:c>
      <x:c r="F335" s="30" t="n">
        <x:f>E1058</x:f>
        <x:v>87.5</x:v>
      </x:c>
      <x:c r="G335" s="31" t="n">
        <x:f>C335/$C$23</x:f>
        <x:v>0.006925911805820308</x:v>
      </x:c>
      <x:c r="H335" s="31" t="n">
        <x:f>E335/$D$23</x:f>
        <x:v>0.007423904974016332</x:v>
      </x:c>
      <x:c r="I335" s="31" t="n">
        <x:f>(G335+H335)/2*(F335-D335)</x:f>
        <x:v>-0.030134615237656967</x:v>
      </x:c>
      <x:c r="J335" s="31" t="n">
        <x:f>(H335-G335)/2*(F335+D335)</x:f>
        <x:v>0.04462018787036378</x:v>
      </x:c>
      <x:c r="K335" s="31" t="n">
        <x:f>(G335+H335)/2*(MAX(0,F335-$B$3)-MIN(100,D335+$B$3))</x:f>
        <x:v>-0.030852106076648757</x:v>
      </x:c>
      <x:c r="L335" s="31" t="n">
        <x:f>(G335+H335)/2*(MIN(100,F335+$B$3)-MAX(0,D335-$B$3))</x:f>
        <x:v>-0.029417124398665177</x:v>
      </x:c>
      <x:c r="M335" s="31" t="n">
        <x:f>IF(H335&gt;=G335,(H335-G335)/2*(MAX(0,D335-$B$3)+MAX(0,F335-$B$3)),(H335-G335)/2*(MIN(100,D335+$B$3)+MIN(100,F335+$B$3)))</x:f>
        <x:v>0.044595288211953986</x:v>
      </x:c>
      <x:c r="N335" s="31" t="n">
        <x:f>IF(H335&gt;=G335,(H335-G335)/2*(MIN(100,D335+$B$3)+MIN(100,F335+$B$3)),(H335-G335)/2*(MAX(0,D335-$B$3)+MAX(0,F335-$B$3)))</x:f>
        <x:v>0.04464508752877359</x:v>
      </x:c>
      <x:c r="O335" s="13" t="str">
        <x:v>I03 GP_Code!P5679/U5679; I04 Table_1!P5048/U5048</x:v>
      </x:c>
    </x:row>
    <x:row r="336" ht="24" customHeight="1">
      <x:c r="A336" s="13" t="str">
        <x:v>QUA</x:v>
      </x:c>
      <x:c r="B336" s="13" t="str">
        <x:v>M92011</x:v>
      </x:c>
      <x:c r="C336" s="13" t="n">
        <x:f>D697</x:f>
        <x:v>113</x:v>
      </x:c>
      <x:c r="D336" s="30" t="n">
        <x:f>E697</x:f>
        <x:v>89.4</x:v>
      </x:c>
      <x:c r="E336" s="13" t="n">
        <x:f>D1059</x:f>
        <x:v>270</x:v>
      </x:c>
      <x:c r="F336" s="30" t="n">
        <x:f>E1059</x:f>
        <x:v>83.7</x:v>
      </x:c>
      <x:c r="G336" s="31" t="n">
        <x:f>C336/$C$23</x:f>
        <x:v>0.007180073706951328</x:v>
      </x:c>
      <x:c r="H336" s="31" t="n">
        <x:f>E336/$D$23</x:f>
        <x:v>0.01670378619153675</x:v>
      </x:c>
      <x:c r="I336" s="31" t="n">
        <x:f>(G336+H336)/2*(F336-D336)</x:f>
        <x:v>-0.06806900071069105</x:v>
      </x:c>
      <x:c r="J336" s="31" t="n">
        <x:f>(H336-G336)/2*(F336+D336)</x:f>
        <x:v>0.8242773155408684</x:v>
      </x:c>
      <x:c r="K336" s="31" t="n">
        <x:f>(G336+H336)/2*(MAX(0,F336-$B$3)-MIN(100,D336+$B$3))</x:f>
        <x:v>-0.06926319370561539</x:v>
      </x:c>
      <x:c r="L336" s="31" t="n">
        <x:f>(G336+H336)/2*(MIN(100,F336+$B$3)-MAX(0,D336-$B$3))</x:f>
        <x:v>-0.06687480771576672</x:v>
      </x:c>
      <x:c r="M336" s="31" t="n">
        <x:f>IF(H336&gt;=G336,(H336-G336)/2*(MAX(0,D336-$B$3)+MAX(0,F336-$B$3)),(H336-G336)/2*(MIN(100,D336+$B$3)+MIN(100,F336+$B$3)))</x:f>
        <x:v>0.823801129916639</x:v>
      </x:c>
      <x:c r="N336" s="31" t="n">
        <x:f>IF(H336&gt;=G336,(H336-G336)/2*(MIN(100,D336+$B$3)+MIN(100,F336+$B$3)),(H336-G336)/2*(MAX(0,D336-$B$3)+MAX(0,F336-$B$3)))</x:f>
        <x:v>0.8247535011650975</x:v>
      </x:c>
      <x:c r="O336" s="13" t="str">
        <x:v>I03 GP_Code!P5680/U5680; I04 Table_1!P5049/U5049</x:v>
      </x:c>
    </x:row>
    <x:row r="337" ht="24" customHeight="1">
      <x:c r="A337" s="13" t="str">
        <x:v>QUA</x:v>
      </x:c>
      <x:c r="B337" s="13" t="str">
        <x:v>M92012</x:v>
      </x:c>
      <x:c r="C337" s="13" t="n">
        <x:f>D698</x:f>
        <x:v>114</x:v>
      </x:c>
      <x:c r="D337" s="30" t="n">
        <x:f>E698</x:f>
        <x:v>76.3</x:v>
      </x:c>
      <x:c r="E337" s="13" t="n">
        <x:f>D1060</x:f>
        <x:v>146</x:v>
      </x:c>
      <x:c r="F337" s="30" t="n">
        <x:f>E1060</x:f>
        <x:v>78.8</x:v>
      </x:c>
      <x:c r="G337" s="31" t="n">
        <x:f>C337/$C$23</x:f>
        <x:v>0.0072436141822340835</x:v>
      </x:c>
      <x:c r="H337" s="31" t="n">
        <x:f>E337/$D$23</x:f>
        <x:v>0.009032417718386539</x:v>
      </x:c>
      <x:c r="I337" s="31" t="n">
        <x:f>(G337+H337)/2*(F337-D337)</x:f>
        <x:v>0.02034503987577578</x:v>
      </x:c>
      <x:c r="J337" s="31" t="n">
        <x:f>(H337-G337)/2*(F337+D337)</x:f>
        <x:v>0.1387217142286229</x:v>
      </x:c>
      <x:c r="K337" s="31" t="n">
        <x:f>(G337+H337)/2*(MAX(0,F337-$B$3)-MIN(100,D337+$B$3))</x:f>
        <x:v>0.019531238280744795</x:v>
      </x:c>
      <x:c r="L337" s="31" t="n">
        <x:f>(G337+H337)/2*(MIN(100,F337+$B$3)-MAX(0,D337-$B$3))</x:f>
        <x:v>0.021158841470806763</x:v>
      </x:c>
      <x:c r="M337" s="31" t="n">
        <x:f>IF(H337&gt;=G337,(H337-G337)/2*(MAX(0,D337-$B$3)+MAX(0,F337-$B$3)),(H337-G337)/2*(MIN(100,D337+$B$3)+MIN(100,F337+$B$3)))</x:f>
        <x:v>0.13863227405181527</x:v>
      </x:c>
      <x:c r="N337" s="31" t="n">
        <x:f>IF(H337&gt;=G337,(H337-G337)/2*(MIN(100,D337+$B$3)+MIN(100,F337+$B$3)),(H337-G337)/2*(MAX(0,D337-$B$3)+MAX(0,F337-$B$3)))</x:f>
        <x:v>0.13881115440543051</x:v>
      </x:c>
      <x:c r="O337" s="13" t="str">
        <x:v>I03 GP_Code!P5681/U5681; I04 Table_1!P5050/U5050</x:v>
      </x:c>
    </x:row>
    <x:row r="338" ht="24" customHeight="1">
      <x:c r="A338" s="13" t="str">
        <x:v>QUA</x:v>
      </x:c>
      <x:c r="B338" s="13" t="str">
        <x:v>M92013</x:v>
      </x:c>
      <x:c r="C338" s="13" t="n">
        <x:f>D699</x:f>
        <x:v>91</x:v>
      </x:c>
      <x:c r="D338" s="30" t="n">
        <x:f>E699</x:f>
        <x:v>74.7</x:v>
      </x:c>
      <x:c r="E338" s="13" t="n">
        <x:f>D1061</x:f>
        <x:v>93</x:v>
      </x:c>
      <x:c r="F338" s="30" t="n">
        <x:f>E1061</x:f>
        <x:v>73.1</x:v>
      </x:c>
      <x:c r="G338" s="31" t="n">
        <x:f>C338/$C$23</x:f>
        <x:v>0.0057821832507307155</x:v>
      </x:c>
      <x:c r="H338" s="31" t="n">
        <x:f>E338/$D$23</x:f>
        <x:v>0.005753526354862658</x:v>
      </x:c>
      <x:c r="I338" s="31" t="n">
        <x:f>(G338+H338)/2*(F338-D338)</x:f>
        <x:v>-0.009228567684474748</x:v>
      </x:c>
      <x:c r="J338" s="31" t="n">
        <x:f>(H338-G338)/2*(F338+D338)</x:f>
        <x:v>-0.002117744604649476</x:v>
      </x:c>
      <x:c r="K338" s="31" t="n">
        <x:f>(G338+H338)/2*(MAX(0,F338-$B$3)-MIN(100,D338+$B$3))</x:f>
        <x:v>-0.009805353164754383</x:v>
      </x:c>
      <x:c r="L338" s="31" t="n">
        <x:f>(G338+H338)/2*(MIN(100,F338+$B$3)-MAX(0,D338-$B$3))</x:f>
        <x:v>-0.00865178220419511</x:v>
      </x:c>
      <x:c r="M338" s="31" t="n">
        <x:f>IF(H338&gt;=G338,(H338-G338)/2*(MAX(0,D338-$B$3)+MAX(0,F338-$B$3)),(H338-G338)/2*(MIN(100,D338+$B$3)+MIN(100,F338+$B$3)))</x:f>
        <x:v>-0.002119177449442878</x:v>
      </x:c>
      <x:c r="N338" s="31" t="n">
        <x:f>IF(H338&gt;=G338,(H338-G338)/2*(MIN(100,D338+$B$3)+MIN(100,F338+$B$3)),(H338-G338)/2*(MAX(0,D338-$B$3)+MAX(0,F338-$B$3)))</x:f>
        <x:v>-0.0021163117598560727</x:v>
      </x:c>
      <x:c r="O338" s="13" t="str">
        <x:v>I03 GP_Code!P5682/U5682; I04 Table_1!P5051/U5051</x:v>
      </x:c>
    </x:row>
    <x:row r="339" ht="24" customHeight="1">
      <x:c r="A339" s="13" t="str">
        <x:v>QUA</x:v>
      </x:c>
      <x:c r="B339" s="13" t="str">
        <x:v>M92015</x:v>
      </x:c>
      <x:c r="C339" s="13" t="n">
        <x:f>D701</x:f>
        <x:v>59</x:v>
      </x:c>
      <x:c r="D339" s="30" t="n">
        <x:f>E701</x:f>
        <x:v>79.7</x:v>
      </x:c>
      <x:c r="E339" s="13" t="n">
        <x:f>D1062</x:f>
        <x:v>68</x:v>
      </x:c>
      <x:c r="F339" s="30" t="n">
        <x:f>E1062</x:f>
        <x:v>79.4</x:v>
      </x:c>
      <x:c r="G339" s="31" t="n">
        <x:f>C339/$C$23</x:f>
        <x:v>0.0037488880416825516</x:v>
      </x:c>
      <x:c r="H339" s="31" t="n">
        <x:f>E339/$D$23</x:f>
        <x:v>0.004206879485275922</x:v>
      </x:c>
      <x:c r="I339" s="31" t="n">
        <x:f>(G339+H339)/2*(F339-D339)</x:f>
        <x:v>-0.0011933651290437599</x:v>
      </x:c>
      <x:c r="J339" s="31" t="n">
        <x:f>(H339-G339)/2*(F339+D339)</x:f>
        <x:v>0.036433219337852624</x:v>
      </x:c>
      <x:c r="K339" s="31" t="n">
        <x:f>(G339+H339)/2*(MAX(0,F339-$B$3)-MIN(100,D339+$B$3))</x:f>
        <x:v>-0.001591153505391661</x:v>
      </x:c>
      <x:c r="L339" s="31" t="n">
        <x:f>(G339+H339)/2*(MIN(100,F339+$B$3)-MAX(0,D339-$B$3))</x:f>
        <x:v>-0.0007955767526958588</x:v>
      </x:c>
      <x:c r="M339" s="31" t="n">
        <x:f>IF(H339&gt;=G339,(H339-G339)/2*(MAX(0,D339-$B$3)+MAX(0,F339-$B$3)),(H339-G339)/2*(MIN(100,D339+$B$3)+MIN(100,F339+$B$3)))</x:f>
        <x:v>0.036410319765672945</x:v>
      </x:c>
      <x:c r="N339" s="31" t="n">
        <x:f>IF(H339&gt;=G339,(H339-G339)/2*(MIN(100,D339+$B$3)+MIN(100,F339+$B$3)),(H339-G339)/2*(MAX(0,D339-$B$3)+MAX(0,F339-$B$3)))</x:f>
        <x:v>0.03645611891003228</x:v>
      </x:c>
      <x:c r="O339" s="13" t="str">
        <x:v>I03 GP_Code!P5684/U5684; I04 Table_1!P5052/U5052</x:v>
      </x:c>
    </x:row>
    <x:row r="340" ht="24" customHeight="1">
      <x:c r="A340" s="13" t="str">
        <x:v>QUA</x:v>
      </x:c>
      <x:c r="B340" s="13" t="str">
        <x:v>M92016</x:v>
      </x:c>
      <x:c r="C340" s="13" t="n">
        <x:f>D702</x:f>
        <x:v>301</x:v>
      </x:c>
      <x:c r="D340" s="30" t="n">
        <x:f>E702</x:f>
        <x:v>70.4</x:v>
      </x:c>
      <x:c r="E340" s="13" t="n">
        <x:f>D1063</x:f>
        <x:v>310</x:v>
      </x:c>
      <x:c r="F340" s="30" t="n">
        <x:f>E1063</x:f>
        <x:v>76.1</x:v>
      </x:c>
      <x:c r="G340" s="31" t="n">
        <x:f>C340/$C$23</x:f>
        <x:v>0.01912568306010929</x:v>
      </x:c>
      <x:c r="H340" s="31" t="n">
        <x:f>E340/$D$23</x:f>
        <x:v>0.019178421182875525</x:v>
      </x:c>
      <x:c r="I340" s="31" t="n">
        <x:f>(G340+H340)/2*(F340-D340)</x:f>
        <x:v>0.10916669709250651</x:v>
      </x:c>
      <x:c r="J340" s="31" t="n">
        <x:f>(H340-G340)/2*(F340+D340)</x:f>
        <x:v>0.003863067492626697</x:v>
      </x:c>
      <x:c r="K340" s="31" t="n">
        <x:f>(G340+H340)/2*(MAX(0,F340-$B$3)-MIN(100,D340+$B$3))</x:f>
        <x:v>0.10725149188035739</x:v>
      </x:c>
      <x:c r="L340" s="31" t="n">
        <x:f>(G340+H340)/2*(MIN(100,F340+$B$3)-MAX(0,D340-$B$3))</x:f>
        <x:v>0.11108190230465564</x:v>
      </x:c>
      <x:c r="M340" s="31" t="n">
        <x:f>IF(H340&gt;=G340,(H340-G340)/2*(MAX(0,D340-$B$3)+MAX(0,F340-$B$3)),(H340-G340)/2*(MIN(100,D340+$B$3)+MIN(100,F340+$B$3)))</x:f>
        <x:v>0.0038604305864883854</x:v>
      </x:c>
      <x:c r="N340" s="31" t="n">
        <x:f>IF(H340&gt;=G340,(H340-G340)/2*(MIN(100,D340+$B$3)+MIN(100,F340+$B$3)),(H340-G340)/2*(MAX(0,D340-$B$3)+MAX(0,F340-$B$3)))</x:f>
        <x:v>0.003865704398765008</x:v>
      </x:c>
      <x:c r="O340" s="13" t="str">
        <x:v>I03 GP_Code!P5685/U5685; I04 Table_1!P5053/U5053</x:v>
      </x:c>
    </x:row>
    <x:row r="341" ht="24" customHeight="1">
      <x:c r="A341" s="13" t="str">
        <x:v>QUA</x:v>
      </x:c>
      <x:c r="B341" s="13" t="str">
        <x:v>M92019</x:v>
      </x:c>
      <x:c r="C341" s="13" t="n">
        <x:f>D703</x:f>
        <x:v>94</x:v>
      </x:c>
      <x:c r="D341" s="30" t="n">
        <x:f>E703</x:f>
        <x:v>68.1</x:v>
      </x:c>
      <x:c r="E341" s="13" t="n">
        <x:f>D1064</x:f>
        <x:v>74</x:v>
      </x:c>
      <x:c r="F341" s="30" t="n">
        <x:f>E1064</x:f>
        <x:v>77</x:v>
      </x:c>
      <x:c r="G341" s="31" t="n">
        <x:f>C341/$C$23</x:f>
        <x:v>0.005972804676578981</x:v>
      </x:c>
      <x:c r="H341" s="31" t="n">
        <x:f>E341/$D$23</x:f>
        <x:v>0.0045780747339767384</x:v>
      </x:c>
      <x:c r="I341" s="31" t="n">
        <x:f>(G341+H341)/2*(F341-D341)</x:f>
        <x:v>0.046951413376972985</x:v>
      </x:c>
      <x:c r="J341" s="31" t="n">
        <x:f>(H341-G341)/2*(F341+D341)</x:f>
        <x:v>-0.1011876573357927</x:v>
      </x:c>
      <x:c r="K341" s="31" t="n">
        <x:f>(G341+H341)/2*(MAX(0,F341-$B$3)-MIN(100,D341+$B$3))</x:f>
        <x:v>0.04642386940644523</x:v>
      </x:c>
      <x:c r="L341" s="31" t="n">
        <x:f>(G341+H341)/2*(MIN(100,F341+$B$3)-MAX(0,D341-$B$3))</x:f>
        <x:v>0.04747895734750074</x:v>
      </x:c>
      <x:c r="M341" s="31" t="n">
        <x:f>IF(H341&gt;=G341,(H341-G341)/2*(MAX(0,D341-$B$3)+MAX(0,F341-$B$3)),(H341-G341)/2*(MIN(100,D341+$B$3)+MIN(100,F341+$B$3)))</x:f>
        <x:v>-0.10125739383292282</x:v>
      </x:c>
      <x:c r="N341" s="31" t="n">
        <x:f>IF(H341&gt;=G341,(H341-G341)/2*(MIN(100,D341+$B$3)+MIN(100,F341+$B$3)),(H341-G341)/2*(MAX(0,D341-$B$3)+MAX(0,F341-$B$3)))</x:f>
        <x:v>-0.1011179208386626</x:v>
      </x:c>
      <x:c r="O341" s="13" t="str">
        <x:v>I03 GP_Code!P5686/U5686; I04 Table_1!P5054/U5054</x:v>
      </x:c>
    </x:row>
    <x:row r="342" ht="24" customHeight="1">
      <x:c r="A342" s="13" t="str">
        <x:v>QUA</x:v>
      </x:c>
      <x:c r="B342" s="13" t="str">
        <x:v>M92022</x:v>
      </x:c>
      <x:c r="C342" s="13" t="n">
        <x:f>D704</x:f>
        <x:v>67</x:v>
      </x:c>
      <x:c r="D342" s="30" t="n">
        <x:f>E704</x:f>
        <x:v>82.1</x:v>
      </x:c>
      <x:c r="E342" s="13" t="n">
        <x:f>D1065</x:f>
        <x:v>79</x:v>
      </x:c>
      <x:c r="F342" s="30" t="n">
        <x:f>E1065</x:f>
        <x:v>81</x:v>
      </x:c>
      <x:c r="G342" s="31" t="n">
        <x:f>C342/$C$23</x:f>
        <x:v>0.0042572118439445925</x:v>
      </x:c>
      <x:c r="H342" s="31" t="n">
        <x:f>E342/$D$23</x:f>
        <x:v>0.004887404107894086</x:v>
      </x:c>
      <x:c r="I342" s="31" t="n">
        <x:f>(G342+H342)/2*(F342-D342)</x:f>
        <x:v>-0.005029538773511247</x:v>
      </x:c>
      <x:c r="J342" s="31" t="n">
        <x:f>(H342-G342)/2*(F342+D342)</x:f>
        <x:v>0.05139217912508117</x:v>
      </x:c>
      <x:c r="K342" s="31" t="n">
        <x:f>(G342+H342)/2*(MAX(0,F342-$B$3)-MIN(100,D342+$B$3))</x:f>
        <x:v>-0.005486769571103155</x:v>
      </x:c>
      <x:c r="L342" s="31" t="n">
        <x:f>(G342+H342)/2*(MIN(100,F342+$B$3)-MAX(0,D342-$B$3))</x:f>
        <x:v>-0.0045723079759193395</x:v>
      </x:c>
      <x:c r="M342" s="31" t="n">
        <x:f>IF(H342&gt;=G342,(H342-G342)/2*(MAX(0,D342-$B$3)+MAX(0,F342-$B$3)),(H342-G342)/2*(MIN(100,D342+$B$3)+MIN(100,F342+$B$3)))</x:f>
        <x:v>0.0513606695118837</x:v>
      </x:c>
      <x:c r="N342" s="31" t="n">
        <x:f>IF(H342&gt;=G342,(H342-G342)/2*(MIN(100,D342+$B$3)+MIN(100,F342+$B$3)),(H342-G342)/2*(MAX(0,D342-$B$3)+MAX(0,F342-$B$3)))</x:f>
        <x:v>0.05142368873827864</x:v>
      </x:c>
      <x:c r="O342" s="13" t="str">
        <x:v>I03 GP_Code!P5687/U5687; I04 Table_1!P5055/U5055</x:v>
      </x:c>
    </x:row>
    <x:row r="343" ht="24" customHeight="1">
      <x:c r="A343" s="13" t="str">
        <x:v>QUA</x:v>
      </x:c>
      <x:c r="B343" s="13" t="str">
        <x:v>M92026</x:v>
      </x:c>
      <x:c r="C343" s="13" t="n">
        <x:f>D705</x:f>
        <x:v>58</x:v>
      </x:c>
      <x:c r="D343" s="30" t="n">
        <x:f>E705</x:f>
        <x:v>84.5</x:v>
      </x:c>
      <x:c r="E343" s="13" t="n">
        <x:f>D1066</x:f>
        <x:v>54</x:v>
      </x:c>
      <x:c r="F343" s="30" t="n">
        <x:f>E1066</x:f>
        <x:v>85.2</x:v>
      </x:c>
      <x:c r="G343" s="31" t="n">
        <x:f>C343/$C$23</x:f>
        <x:v>0.0036853475663997967</x:v>
      </x:c>
      <x:c r="H343" s="31" t="n">
        <x:f>E343/$D$23</x:f>
        <x:v>0.0033407572383073497</x:v>
      </x:c>
      <x:c r="I343" s="31" t="n">
        <x:f>(G343+H343)/2*(F343-D343)</x:f>
        <x:v>0.0024591366816475112</x:v>
      </x:c>
      <x:c r="J343" s="31" t="n">
        <x:f>(H343-G343)/2*(F343+D343)</x:f>
        <x:v>-0.029238489338644123</x:v>
      </x:c>
      <x:c r="K343" s="31" t="n">
        <x:f>(G343+H343)/2*(MAX(0,F343-$B$3)-MIN(100,D343+$B$3))</x:f>
        <x:v>0.002107831441412174</x:v>
      </x:c>
      <x:c r="L343" s="31" t="n">
        <x:f>(G343+H343)/2*(MIN(100,F343+$B$3)-MAX(0,D343-$B$3))</x:f>
        <x:v>0.0028104419218828486</x:v>
      </x:c>
      <x:c r="M343" s="31" t="n">
        <x:f>IF(H343&gt;=G343,(H343-G343)/2*(MAX(0,D343-$B$3)+MAX(0,F343-$B$3)),(H343-G343)/2*(MIN(100,D343+$B$3)+MIN(100,F343+$B$3)))</x:f>
        <x:v>-0.02925571885504875</x:v>
      </x:c>
      <x:c r="N343" s="31" t="n">
        <x:f>IF(H343&gt;=G343,(H343-G343)/2*(MIN(100,D343+$B$3)+MIN(100,F343+$B$3)),(H343-G343)/2*(MAX(0,D343-$B$3)+MAX(0,F343-$B$3)))</x:f>
        <x:v>-0.029221259822239505</x:v>
      </x:c>
      <x:c r="O343" s="13" t="str">
        <x:v>I03 GP_Code!P5688/U5688; I04 Table_1!P5056/U5056</x:v>
      </x:c>
    </x:row>
    <x:row r="344" ht="24" customHeight="1">
      <x:c r="A344" s="13" t="str">
        <x:v>QUA</x:v>
      </x:c>
      <x:c r="B344" s="13" t="str">
        <x:v>M92028</x:v>
      </x:c>
      <x:c r="C344" s="13" t="n">
        <x:f>D706</x:f>
        <x:v>90</x:v>
      </x:c>
      <x:c r="D344" s="30" t="n">
        <x:f>E706</x:f>
        <x:v>77.8</x:v>
      </x:c>
      <x:c r="E344" s="13" t="n">
        <x:f>D1067</x:f>
        <x:v>102</x:v>
      </x:c>
      <x:c r="F344" s="30" t="n">
        <x:f>E1067</x:f>
        <x:v>59.8</x:v>
      </x:c>
      <x:c r="G344" s="31" t="n">
        <x:f>C344/$C$23</x:f>
        <x:v>0.0057186427754479605</x:v>
      </x:c>
      <x:c r="H344" s="31" t="n">
        <x:f>E344/$D$23</x:f>
        <x:v>0.006310319227913883</x:v>
      </x:c>
      <x:c r="I344" s="31" t="n">
        <x:f>(G344+H344)/2*(F344-D344)</x:f>
        <x:v>-0.10826065803025658</x:v>
      </x:c>
      <x:c r="J344" s="31" t="n">
        <x:f>(H344-G344)/2*(F344+D344)</x:f>
        <x:v>0.04070733992965547</x:v>
      </x:c>
      <x:c r="K344" s="31" t="n">
        <x:f>(G344+H344)/2*(MAX(0,F344-$B$3)-MIN(100,D344+$B$3))</x:f>
        <x:v>-0.10886210613042464</x:v>
      </x:c>
      <x:c r="L344" s="31" t="n">
        <x:f>(G344+H344)/2*(MIN(100,F344+$B$3)-MAX(0,D344-$B$3))</x:f>
        <x:v>-0.10765920993008853</x:v>
      </x:c>
      <x:c r="M344" s="31" t="n">
        <x:f>IF(H344&gt;=G344,(H344-G344)/2*(MAX(0,D344-$B$3)+MAX(0,F344-$B$3)),(H344-G344)/2*(MIN(100,D344+$B$3)+MIN(100,F344+$B$3)))</x:f>
        <x:v>0.04067775610703218</x:v>
      </x:c>
      <x:c r="N344" s="31" t="n">
        <x:f>IF(H344&gt;=G344,(H344-G344)/2*(MIN(100,D344+$B$3)+MIN(100,F344+$B$3)),(H344-G344)/2*(MAX(0,D344-$B$3)+MAX(0,F344-$B$3)))</x:f>
        <x:v>0.04073692375227876</x:v>
      </x:c>
      <x:c r="O344" s="13" t="str">
        <x:v>I03 GP_Code!P5689/U5689; I04 Table_1!P5057/U5057</x:v>
      </x:c>
    </x:row>
    <x:row r="345" ht="24" customHeight="1">
      <x:c r="A345" s="13" t="str">
        <x:v>QUA</x:v>
      </x:c>
      <x:c r="B345" s="13" t="str">
        <x:v>M92029</x:v>
      </x:c>
      <x:c r="C345" s="13" t="n">
        <x:f>D707</x:f>
        <x:v>57</x:v>
      </x:c>
      <x:c r="D345" s="30" t="n">
        <x:f>E707</x:f>
        <x:v>93</x:v>
      </x:c>
      <x:c r="E345" s="13" t="n">
        <x:f>D1068</x:f>
        <x:v>47</x:v>
      </x:c>
      <x:c r="F345" s="30" t="n">
        <x:f>E1068</x:f>
        <x:v>85.1</x:v>
      </x:c>
      <x:c r="G345" s="31" t="n">
        <x:f>C345/$C$23</x:f>
        <x:v>0.0036218070911170418</x:v>
      </x:c>
      <x:c r="H345" s="31" t="n">
        <x:f>E345/$D$23</x:f>
        <x:v>0.002907696114823064</x:v>
      </x:c>
      <x:c r="I345" s="31" t="n">
        <x:f>(G345+H345)/2*(F345-D345)</x:f>
        <x:v>-0.025791537663463437</x:v>
      </x:c>
      <x:c r="J345" s="31" t="n">
        <x:f>(H345-G345)/2*(F345+D345)</x:f>
        <x:v>-0.06359158243897874</x:v>
      </x:c>
      <x:c r="K345" s="31" t="n">
        <x:f>(G345+H345)/2*(MAX(0,F345-$B$3)-MIN(100,D345+$B$3))</x:f>
        <x:v>-0.026118012823760424</x:v>
      </x:c>
      <x:c r="L345" s="31" t="n">
        <x:f>(G345+H345)/2*(MIN(100,F345+$B$3)-MAX(0,D345-$B$3))</x:f>
        <x:v>-0.02546506250316645</x:v>
      </x:c>
      <x:c r="M345" s="31" t="n">
        <x:f>IF(H345&gt;=G345,(H345-G345)/2*(MAX(0,D345-$B$3)+MAX(0,F345-$B$3)),(H345-G345)/2*(MIN(100,D345+$B$3)+MIN(100,F345+$B$3)))</x:f>
        <x:v>-0.06362728798779343</x:v>
      </x:c>
      <x:c r="N345" s="31" t="n">
        <x:f>IF(H345&gt;=G345,(H345-G345)/2*(MIN(100,D345+$B$3)+MIN(100,F345+$B$3)),(H345-G345)/2*(MAX(0,D345-$B$3)+MAX(0,F345-$B$3)))</x:f>
        <x:v>-0.06355587689016404</x:v>
      </x:c>
      <x:c r="O345" s="13" t="str">
        <x:v>I03 GP_Code!P5690/U5690; I04 Table_1!P5058/U5058</x:v>
      </x:c>
    </x:row>
    <x:row r="346" ht="24" customHeight="1">
      <x:c r="A346" s="13" t="str">
        <x:v>QUA</x:v>
      </x:c>
      <x:c r="B346" s="13" t="str">
        <x:v>M92039</x:v>
      </x:c>
      <x:c r="C346" s="13" t="n">
        <x:f>D708</x:f>
        <x:v>96</x:v>
      </x:c>
      <x:c r="D346" s="30" t="n">
        <x:f>E708</x:f>
        <x:v>84.4</x:v>
      </x:c>
      <x:c r="E346" s="13" t="n">
        <x:f>D1069</x:f>
        <x:v>94</x:v>
      </x:c>
      <x:c r="F346" s="30" t="n">
        <x:f>E1069</x:f>
        <x:v>80.9</x:v>
      </x:c>
      <x:c r="G346" s="31" t="n">
        <x:f>C346/$C$23</x:f>
        <x:v>0.006099885627144491</x:v>
      </x:c>
      <x:c r="H346" s="31" t="n">
        <x:f>E346/$D$23</x:f>
        <x:v>0.005815392229646128</x:v>
      </x:c>
      <x:c r="I346" s="31" t="n">
        <x:f>(G346+H346)/2*(F346-D346)</x:f>
        <x:v>-0.020851736249383586</x:v>
      </x:c>
      <x:c r="J346" s="31" t="n">
        <x:f>(H346-G346)/2*(F346+D346)</x:f>
        <x:v>-0.023513379303239743</x:v>
      </x:c>
      <x:c r="K346" s="31" t="n">
        <x:f>(G346+H346)/2*(MAX(0,F346-$B$3)-MIN(100,D346+$B$3))</x:f>
        <x:v>-0.021447500142223082</x:v>
      </x:c>
      <x:c r="L346" s="31" t="n">
        <x:f>(G346+H346)/2*(MIN(100,F346+$B$3)-MAX(0,D346-$B$3))</x:f>
        <x:v>-0.020255972356544086</x:v>
      </x:c>
      <x:c r="M346" s="31" t="n">
        <x:f>IF(H346&gt;=G346,(H346-G346)/2*(MAX(0,D346-$B$3)+MAX(0,F346-$B$3)),(H346-G346)/2*(MIN(100,D346+$B$3)+MIN(100,F346+$B$3)))</x:f>
        <x:v>-0.02352760397311466</x:v>
      </x:c>
      <x:c r="N346" s="31" t="n">
        <x:f>IF(H346&gt;=G346,(H346-G346)/2*(MIN(100,D346+$B$3)+MIN(100,F346+$B$3)),(H346-G346)/2*(MAX(0,D346-$B$3)+MAX(0,F346-$B$3)))</x:f>
        <x:v>-0.023499154633364824</x:v>
      </x:c>
      <x:c r="O346" s="13" t="str">
        <x:v>I03 GP_Code!P5691/U5691; I04 Table_1!P5059/U5059</x:v>
      </x:c>
    </x:row>
    <x:row r="347" ht="24" customHeight="1">
      <x:c r="A347" s="13" t="str">
        <x:v>QUA</x:v>
      </x:c>
      <x:c r="B347" s="13" t="str">
        <x:v>M92040</x:v>
      </x:c>
      <x:c r="C347" s="13" t="n">
        <x:f>D709</x:f>
        <x:v>160</x:v>
      </x:c>
      <x:c r="D347" s="30" t="n">
        <x:f>E709</x:f>
        <x:v>78.1</x:v>
      </x:c>
      <x:c r="E347" s="13" t="n">
        <x:f>D1070</x:f>
        <x:v>175</x:v>
      </x:c>
      <x:c r="F347" s="30" t="n">
        <x:f>E1070</x:f>
        <x:v>78.9</x:v>
      </x:c>
      <x:c r="G347" s="31" t="n">
        <x:f>C347/$C$23</x:f>
        <x:v>0.010166476045240819</x:v>
      </x:c>
      <x:c r="H347" s="31" t="n">
        <x:f>E347/$D$23</x:f>
        <x:v>0.010826528087107152</x:v>
      </x:c>
      <x:c r="I347" s="31" t="n">
        <x:f>(G347+H347)/2*(F347-D347)</x:f>
        <x:v>0.008397201652939307</x:v>
      </x:c>
      <x:c r="J347" s="31" t="n">
        <x:f>(H347-G347)/2*(F347+D347)</x:f>
        <x:v>0.051814085286507126</x:v>
      </x:c>
      <x:c r="K347" s="31" t="n">
        <x:f>(G347+H347)/2*(MAX(0,F347-$B$3)-MIN(100,D347+$B$3))</x:f>
        <x:v>0.007347551446321968</x:v>
      </x:c>
      <x:c r="L347" s="31" t="n">
        <x:f>(G347+H347)/2*(MIN(100,F347+$B$3)-MAX(0,D347-$B$3))</x:f>
        <x:v>0.009446851859556646</x:v>
      </x:c>
      <x:c r="M347" s="31" t="n">
        <x:f>IF(H347&gt;=G347,(H347-G347)/2*(MAX(0,D347-$B$3)+MAX(0,F347-$B$3)),(H347-G347)/2*(MIN(100,D347+$B$3)+MIN(100,F347+$B$3)))</x:f>
        <x:v>0.05178108268441381</x:v>
      </x:c>
      <x:c r="N347" s="31" t="n">
        <x:f>IF(H347&gt;=G347,(H347-G347)/2*(MIN(100,D347+$B$3)+MIN(100,F347+$B$3)),(H347-G347)/2*(MAX(0,D347-$B$3)+MAX(0,F347-$B$3)))</x:f>
        <x:v>0.05184708788860044</x:v>
      </x:c>
      <x:c r="O347" s="13" t="str">
        <x:v>I03 GP_Code!P5692/U5692; I04 Table_1!P5060/U5060</x:v>
      </x:c>
    </x:row>
    <x:row r="348" ht="24" customHeight="1">
      <x:c r="A348" s="13" t="str">
        <x:v>QUA</x:v>
      </x:c>
      <x:c r="B348" s="13" t="str">
        <x:v>M92041</x:v>
      </x:c>
      <x:c r="C348" s="13" t="n">
        <x:f>D710</x:f>
        <x:v>58</x:v>
      </x:c>
      <x:c r="D348" s="30" t="n">
        <x:f>E710</x:f>
        <x:v>81</x:v>
      </x:c>
      <x:c r="E348" s="13" t="n">
        <x:f>D1071</x:f>
        <x:v>56</x:v>
      </x:c>
      <x:c r="F348" s="30" t="n">
        <x:f>E1071</x:f>
        <x:v>85.7</x:v>
      </x:c>
      <x:c r="G348" s="31" t="n">
        <x:f>C348/$C$23</x:f>
        <x:v>0.0036853475663997967</x:v>
      </x:c>
      <x:c r="H348" s="31" t="n">
        <x:f>E348/$D$23</x:f>
        <x:v>0.0034644889878742884</x:v>
      </x:c>
      <x:c r="I348" s="31" t="n">
        <x:f>(G348+H348)/2*(F348-D348)</x:f>
        <x:v>0.01680211590254411</x:v>
      </x:c>
      <x:c r="J348" s="31" t="n">
        <x:f>(H348-G348)/2*(F348+D348)</x:f>
        <x:v>-0.018408562520101115</x:v>
      </x:c>
      <x:c r="K348" s="31" t="n">
        <x:f>(G348+H348)/2*(MAX(0,F348-$B$3)-MIN(100,D348+$B$3))</x:f>
        <x:v>0.016444624074830425</x:v>
      </x:c>
      <x:c r="L348" s="31" t="n">
        <x:f>(G348+H348)/2*(MIN(100,F348+$B$3)-MAX(0,D348-$B$3))</x:f>
        <x:v>0.017159607730257792</x:v>
      </x:c>
      <x:c r="M348" s="31" t="n">
        <x:f>IF(H348&gt;=G348,(H348-G348)/2*(MAX(0,D348-$B$3)+MAX(0,F348-$B$3)),(H348-G348)/2*(MIN(100,D348+$B$3)+MIN(100,F348+$B$3)))</x:f>
        <x:v>-0.018419605449027394</x:v>
      </x:c>
      <x:c r="N348" s="31" t="n">
        <x:f>IF(H348&gt;=G348,(H348-G348)/2*(MIN(100,D348+$B$3)+MIN(100,F348+$B$3)),(H348-G348)/2*(MAX(0,D348-$B$3)+MAX(0,F348-$B$3)))</x:f>
        <x:v>-0.018397519591174843</x:v>
      </x:c>
      <x:c r="O348" s="13" t="str">
        <x:v>I03 GP_Code!P5693/U5693; I04 Table_1!P5061/U5061</x:v>
      </x:c>
    </x:row>
    <x:row r="349" ht="24" customHeight="1">
      <x:c r="A349" s="13" t="str">
        <x:v>QUA</x:v>
      </x:c>
      <x:c r="B349" s="13" t="str">
        <x:v>M92043</x:v>
      </x:c>
      <x:c r="C349" s="13" t="n">
        <x:f>D712</x:f>
        <x:v>70</x:v>
      </x:c>
      <x:c r="D349" s="30" t="n">
        <x:f>E712</x:f>
        <x:v>90</x:v>
      </x:c>
      <x:c r="E349" s="13" t="n">
        <x:f>D1072</x:f>
        <x:v>60</x:v>
      </x:c>
      <x:c r="F349" s="30" t="n">
        <x:f>E1072</x:f>
        <x:v>83.3</x:v>
      </x:c>
      <x:c r="G349" s="31" t="n">
        <x:f>C349/$C$23</x:f>
        <x:v>0.004447833269792858</x:v>
      </x:c>
      <x:c r="H349" s="31" t="n">
        <x:f>E349/$D$23</x:f>
        <x:v>0.003711952487008166</x:v>
      </x:c>
      <x:c r="I349" s="31" t="n">
        <x:f>(G349+H349)/2*(F349-D349)</x:f>
        <x:v>-0.02733528228528344</x:v>
      </x:c>
      <x:c r="J349" s="31" t="n">
        <x:f>(H349-G349)/2*(F349+D349)</x:f>
        <x:v>-0.06376406982829357</x:v>
      </x:c>
      <x:c r="K349" s="31" t="n">
        <x:f>(G349+H349)/2*(MAX(0,F349-$B$3)-MIN(100,D349+$B$3))</x:f>
        <x:v>-0.02774327157312347</x:v>
      </x:c>
      <x:c r="L349" s="31" t="n">
        <x:f>(G349+H349)/2*(MIN(100,F349+$B$3)-MAX(0,D349-$B$3))</x:f>
        <x:v>-0.026927292997443415</x:v>
      </x:c>
      <x:c r="M349" s="31" t="n">
        <x:f>IF(H349&gt;=G349,(H349-G349)/2*(MAX(0,D349-$B$3)+MAX(0,F349-$B$3)),(H349-G349)/2*(MIN(100,D349+$B$3)+MIN(100,F349+$B$3)))</x:f>
        <x:v>-0.06380086386743279</x:v>
      </x:c>
      <x:c r="N349" s="31" t="n">
        <x:f>IF(H349&gt;=G349,(H349-G349)/2*(MIN(100,D349+$B$3)+MIN(100,F349+$B$3)),(H349-G349)/2*(MAX(0,D349-$B$3)+MAX(0,F349-$B$3)))</x:f>
        <x:v>-0.06372727578915433</x:v>
      </x:c>
      <x:c r="O349" s="13" t="str">
        <x:v>I03 GP_Code!P5695/U5695; I04 Table_1!P5062/U5062</x:v>
      </x:c>
    </x:row>
    <x:row r="350" ht="24" customHeight="1">
      <x:c r="A350" s="13" t="str">
        <x:v>QUA</x:v>
      </x:c>
      <x:c r="B350" s="13" t="str">
        <x:v>M92607</x:v>
      </x:c>
      <x:c r="C350" s="13" t="n">
        <x:f>D714</x:f>
        <x:v>223</x:v>
      </x:c>
      <x:c r="D350" s="30" t="n">
        <x:f>E714</x:f>
        <x:v>66.4</x:v>
      </x:c>
      <x:c r="E350" s="13" t="n">
        <x:f>D1073</x:f>
        <x:v>248</x:v>
      </x:c>
      <x:c r="F350" s="30" t="n">
        <x:f>E1073</x:f>
        <x:v>62.1</x:v>
      </x:c>
      <x:c r="G350" s="31" t="n">
        <x:f>C350/$C$23</x:f>
        <x:v>0.01416952598805439</x:v>
      </x:c>
      <x:c r="H350" s="31" t="n">
        <x:f>E350/$D$23</x:f>
        <x:v>0.015342736946300421</x:v>
      </x:c>
      <x:c r="I350" s="31" t="n">
        <x:f>(G350+H350)/2*(F350-D350)</x:f>
        <x:v>-0.06345136530886292</x:v>
      </x:c>
      <x:c r="J350" s="31" t="n">
        <x:f>(H350-G350)/2*(F350+D350)</x:f>
        <x:v>0.07537880406730744</x:v>
      </x:c>
      <x:c r="K350" s="31" t="n">
        <x:f>(G350+H350)/2*(MAX(0,F350-$B$3)-MIN(100,D350+$B$3))</x:f>
        <x:v>-0.06492697845558057</x:v>
      </x:c>
      <x:c r="L350" s="31" t="n">
        <x:f>(G350+H350)/2*(MIN(100,F350+$B$3)-MAX(0,D350-$B$3))</x:f>
        <x:v>-0.06197575216214526</x:v>
      </x:c>
      <x:c r="M350" s="31" t="n">
        <x:f>IF(H350&gt;=G350,(H350-G350)/2*(MAX(0,D350-$B$3)+MAX(0,F350-$B$3)),(H350-G350)/2*(MIN(100,D350+$B$3)+MIN(100,F350+$B$3)))</x:f>
        <x:v>0.07532014351939514</x:v>
      </x:c>
      <x:c r="N350" s="31" t="n">
        <x:f>IF(H350&gt;=G350,(H350-G350)/2*(MIN(100,D350+$B$3)+MIN(100,F350+$B$3)),(H350-G350)/2*(MAX(0,D350-$B$3)+MAX(0,F350-$B$3)))</x:f>
        <x:v>0.07543746461521975</x:v>
      </x:c>
      <x:c r="O350" s="13" t="str">
        <x:v>I03 GP_Code!P5697/U5697; I04 Table_1!P5063/U5063</x:v>
      </x:c>
    </x:row>
    <x:row r="351" ht="24" customHeight="1">
      <x:c r="A351" s="13" t="str">
        <x:v>QUA</x:v>
      </x:c>
      <x:c r="B351" s="13" t="str">
        <x:v>M92609</x:v>
      </x:c>
      <x:c r="C351" s="13" t="n">
        <x:f>D715</x:f>
        <x:v>71</x:v>
      </x:c>
      <x:c r="D351" s="30" t="n">
        <x:f>E715</x:f>
        <x:v>90.1</x:v>
      </x:c>
      <x:c r="E351" s="13" t="n">
        <x:f>D1074</x:f>
        <x:v>69</x:v>
      </x:c>
      <x:c r="F351" s="30" t="n">
        <x:f>E1074</x:f>
        <x:v>91.3</x:v>
      </x:c>
      <x:c r="G351" s="31" t="n">
        <x:f>C351/$C$23</x:f>
        <x:v>0.004511373745075613</x:v>
      </x:c>
      <x:c r="H351" s="31" t="n">
        <x:f>E351/$D$23</x:f>
        <x:v>0.004268745360059391</x:v>
      </x:c>
      <x:c r="I351" s="31" t="n">
        <x:f>(G351+H351)/2*(F351-D351)</x:f>
        <x:v>0.005268071463081015</x:v>
      </x:c>
      <x:c r="J351" s="31" t="n">
        <x:f>(H351-G351)/2*(F351+D351)</x:f>
        <x:v>-0.02200639452097133</x:v>
      </x:c>
      <x:c r="K351" s="31" t="n">
        <x:f>(G351+H351)/2*(MAX(0,F351-$B$3)-MIN(100,D351+$B$3))</x:f>
        <x:v>0.00482906550782429</x:v>
      </x:c>
      <x:c r="L351" s="31" t="n">
        <x:f>(G351+H351)/2*(MIN(100,F351+$B$3)-MAX(0,D351-$B$3))</x:f>
        <x:v>0.00570707741833774</x:v>
      </x:c>
      <x:c r="M351" s="31" t="n">
        <x:f>IF(H351&gt;=G351,(H351-G351)/2*(MAX(0,D351-$B$3)+MAX(0,F351-$B$3)),(H351-G351)/2*(MIN(100,D351+$B$3)+MIN(100,F351+$B$3)))</x:f>
        <x:v>-0.022018525940222144</x:v>
      </x:c>
      <x:c r="N351" s="31" t="n">
        <x:f>IF(H351&gt;=G351,(H351-G351)/2*(MIN(100,D351+$B$3)+MIN(100,F351+$B$3)),(H351-G351)/2*(MAX(0,D351-$B$3)+MAX(0,F351-$B$3)))</x:f>
        <x:v>-0.021994263101720524</x:v>
      </x:c>
      <x:c r="O351" s="13" t="str">
        <x:v>I03 GP_Code!P5698/U5698; I04 Table_1!P5064/U5064</x:v>
      </x:c>
    </x:row>
    <x:row r="352" ht="24" customHeight="1">
      <x:c r="A352" s="13" t="str">
        <x:v>QUA</x:v>
      </x:c>
      <x:c r="B352" s="13" t="str">
        <x:v>M92612</x:v>
      </x:c>
      <x:c r="C352" s="13" t="n">
        <x:f>D716</x:f>
        <x:v>452</x:v>
      </x:c>
      <x:c r="D352" s="30" t="n">
        <x:f>E716</x:f>
        <x:v>70.1</x:v>
      </x:c>
      <x:c r="E352" s="13" t="n">
        <x:f>D1075</x:f>
        <x:v>441</x:v>
      </x:c>
      <x:c r="F352" s="30" t="n">
        <x:f>E1075</x:f>
        <x:v>72.6</x:v>
      </x:c>
      <x:c r="G352" s="31" t="n">
        <x:f>C352/$C$23</x:f>
        <x:v>0.02872029482780531</x:v>
      </x:c>
      <x:c r="H352" s="31" t="n">
        <x:f>E352/$D$23</x:f>
        <x:v>0.027282850779510023</x:v>
      </x:c>
      <x:c r="I352" s="31" t="n">
        <x:f>(G352+H352)/2*(F352-D352)</x:f>
        <x:v>0.07000393200914416</x:v>
      </x:c>
      <x:c r="J352" s="31" t="n">
        <x:f>(H352-G352)/2*(F352+D352)</x:f>
        <x:v>-0.10256163284586875</x:v>
      </x:c>
      <x:c r="K352" s="31" t="n">
        <x:f>(G352+H352)/2*(MAX(0,F352-$B$3)-MIN(100,D352+$B$3))</x:f>
        <x:v>0.06720377472877856</x:v>
      </x:c>
      <x:c r="L352" s="31" t="n">
        <x:f>(G352+H352)/2*(MIN(100,F352+$B$3)-MAX(0,D352-$B$3))</x:f>
        <x:v>0.07280408928950978</x:v>
      </x:c>
      <x:c r="M352" s="31" t="n">
        <x:f>IF(H352&gt;=G352,(H352-G352)/2*(MAX(0,D352-$B$3)+MAX(0,F352-$B$3)),(H352-G352)/2*(MIN(100,D352+$B$3)+MIN(100,F352+$B$3)))</x:f>
        <x:v>-0.10263350504828352</x:v>
      </x:c>
      <x:c r="N352" s="31" t="n">
        <x:f>IF(H352&gt;=G352,(H352-G352)/2*(MIN(100,D352+$B$3)+MIN(100,F352+$B$3)),(H352-G352)/2*(MAX(0,D352-$B$3)+MAX(0,F352-$B$3)))</x:f>
        <x:v>-0.10248976064345398</x:v>
      </x:c>
      <x:c r="O352" s="13" t="str">
        <x:v>I03 GP_Code!P5699/U5699; I04 Table_1!P5065/U5065</x:v>
      </x:c>
    </x:row>
    <x:row r="353" ht="24" customHeight="1">
      <x:c r="A353" s="13" t="str">
        <x:v>QUA</x:v>
      </x:c>
      <x:c r="B353" s="13" t="str">
        <x:v>M92627</x:v>
      </x:c>
      <x:c r="C353" s="13" t="n">
        <x:f>D717</x:f>
        <x:v>48</x:v>
      </x:c>
      <x:c r="D353" s="30" t="n">
        <x:f>E717</x:f>
        <x:v>85.4</x:v>
      </x:c>
      <x:c r="E353" s="13" t="n">
        <x:f>D1076</x:f>
        <x:v>41</x:v>
      </x:c>
      <x:c r="F353" s="30" t="n">
        <x:f>E1076</x:f>
        <x:v>85.4</x:v>
      </x:c>
      <x:c r="G353" s="31" t="n">
        <x:f>C353/$C$23</x:f>
        <x:v>0.0030499428135722455</x:v>
      </x:c>
      <x:c r="H353" s="31" t="n">
        <x:f>E353/$D$23</x:f>
        <x:v>0.002536500866122247</x:v>
      </x:c>
      <x:c r="I353" s="31" t="n">
        <x:f>(G353+H353)/2*(F353-D353)</x:f>
        <x:v>0</x:v>
      </x:c>
      <x:c r="J353" s="31" t="n">
        <x:f>(H353-G353)/2*(F353+D353)</x:f>
        <x:v>-0.04384794231222988</x:v>
      </x:c>
      <x:c r="K353" s="31" t="n">
        <x:f>(G353+H353)/2*(MAX(0,F353-$B$3)-MIN(100,D353+$B$3))</x:f>
        <x:v>-0.00027932218398470874</x:v>
      </x:c>
      <x:c r="L353" s="31" t="n">
        <x:f>(G353+H353)/2*(MIN(100,F353+$B$3)-MAX(0,D353-$B$3))</x:f>
        <x:v>0.00027932218398470874</x:v>
      </x:c>
      <x:c r="M353" s="31" t="n">
        <x:f>IF(H353&gt;=G353,(H353-G353)/2*(MAX(0,D353-$B$3)+MAX(0,F353-$B$3)),(H353-G353)/2*(MIN(100,D353+$B$3)+MIN(100,F353+$B$3)))</x:f>
        <x:v>-0.04387361440960238</x:v>
      </x:c>
      <x:c r="N353" s="31" t="n">
        <x:f>IF(H353&gt;=G353,(H353-G353)/2*(MIN(100,D353+$B$3)+MIN(100,F353+$B$3)),(H353-G353)/2*(MAX(0,D353-$B$3)+MAX(0,F353-$B$3)))</x:f>
        <x:v>-0.04382227021485738</x:v>
      </x:c>
      <x:c r="O353" s="13" t="str">
        <x:v>I03 GP_Code!P5700/U5700; I04 Table_1!P5066/U5066</x:v>
      </x:c>
    </x:row>
    <x:row r="354" ht="24" customHeight="1">
      <x:c r="A354" s="13" t="str">
        <x:v>QUA</x:v>
      </x:c>
      <x:c r="B354" s="13" t="str">
        <x:v>M92629</x:v>
      </x:c>
      <x:c r="C354" s="13" t="n">
        <x:f>D718</x:f>
        <x:v>56</x:v>
      </x:c>
      <x:c r="D354" s="30" t="n">
        <x:f>E718</x:f>
        <x:v>85.7</x:v>
      </x:c>
      <x:c r="E354" s="13" t="n">
        <x:f>D1077</x:f>
        <x:v>52</x:v>
      </x:c>
      <x:c r="F354" s="30" t="n">
        <x:f>E1077</x:f>
        <x:v>80.8</x:v>
      </x:c>
      <x:c r="G354" s="31" t="n">
        <x:f>C354/$C$23</x:f>
        <x:v>0.0035582666158342864</x:v>
      </x:c>
      <x:c r="H354" s="31" t="n">
        <x:f>E354/$D$23</x:f>
        <x:v>0.0032170254887404106</x:v>
      </x:c>
      <x:c r="I354" s="31" t="n">
        <x:f>(G354+H354)/2*(F354-D354)</x:f>
        <x:v>-0.016599465656208026</x:v>
      </x:c>
      <x:c r="J354" s="31" t="n">
        <x:f>(H354-G354)/2*(F354+D354)</x:f>
        <x:v>-0.028408323830565154</x:v>
      </x:c>
      <x:c r="K354" s="31" t="n">
        <x:f>(G354+H354)/2*(MAX(0,F354-$B$3)-MIN(100,D354+$B$3))</x:f>
        <x:v>-0.016938230261436742</x:v>
      </x:c>
      <x:c r="L354" s="31" t="n">
        <x:f>(G354+H354)/2*(MIN(100,F354+$B$3)-MAX(0,D354-$B$3))</x:f>
        <x:v>-0.01626070105097931</x:v>
      </x:c>
      <x:c r="M354" s="31" t="n">
        <x:f>IF(H354&gt;=G354,(H354-G354)/2*(MAX(0,D354-$B$3)+MAX(0,F354-$B$3)),(H354-G354)/2*(MIN(100,D354+$B$3)+MIN(100,F354+$B$3)))</x:f>
        <x:v>-0.028425385886919848</x:v>
      </x:c>
      <x:c r="N354" s="31" t="n">
        <x:f>IF(H354&gt;=G354,(H354-G354)/2*(MIN(100,D354+$B$3)+MIN(100,F354+$B$3)),(H354-G354)/2*(MAX(0,D354-$B$3)+MAX(0,F354-$B$3)))</x:f>
        <x:v>-0.02839126177421046</x:v>
      </x:c>
      <x:c r="O354" s="13" t="str">
        <x:v>I03 GP_Code!P5701/U5701; I04 Table_1!P5067/U5067</x:v>
      </x:c>
    </x:row>
    <x:row r="355" ht="24" customHeight="1">
      <x:c r="A355" s="13" t="str">
        <x:v>QUA</x:v>
      </x:c>
      <x:c r="B355" s="13" t="str">
        <x:v>M92630</x:v>
      </x:c>
      <x:c r="C355" s="13" t="n">
        <x:f>D719</x:f>
        <x:v>69</x:v>
      </x:c>
      <x:c r="D355" s="30" t="n">
        <x:f>E719</x:f>
        <x:v>84.1</x:v>
      </x:c>
      <x:c r="E355" s="13" t="n">
        <x:f>D1078</x:f>
        <x:v>80</x:v>
      </x:c>
      <x:c r="F355" s="30" t="n">
        <x:f>E1078</x:f>
        <x:v>87.5</x:v>
      </x:c>
      <x:c r="G355" s="31" t="n">
        <x:f>C355/$C$23</x:f>
        <x:v>0.004384292794510103</x:v>
      </x:c>
      <x:c r="H355" s="31" t="n">
        <x:f>E355/$D$23</x:f>
        <x:v>0.004949269982677555</x:v>
      </x:c>
      <x:c r="I355" s="31" t="n">
        <x:f>(G355+H355)/2*(F355-D355)</x:f>
        <x:v>0.015867056721219044</x:v>
      </x:c>
      <x:c r="J355" s="31" t="n">
        <x:f>(H355-G355)/2*(F355+D355)</x:f>
        <x:v>0.04847504274476735</x:v>
      </x:c>
      <x:c r="K355" s="31" t="n">
        <x:f>(G355+H355)/2*(MAX(0,F355-$B$3)-MIN(100,D355+$B$3))</x:f>
        <x:v>0.01540037858235969</x:v>
      </x:c>
      <x:c r="L355" s="31" t="n">
        <x:f>(G355+H355)/2*(MIN(100,F355+$B$3)-MAX(0,D355-$B$3))</x:f>
        <x:v>0.0163337348600784</x:v>
      </x:c>
      <x:c r="M355" s="31" t="n">
        <x:f>IF(H355&gt;=G355,(H355-G355)/2*(MAX(0,D355-$B$3)+MAX(0,F355-$B$3)),(H355-G355)/2*(MIN(100,D355+$B$3)+MIN(100,F355+$B$3)))</x:f>
        <x:v>0.048446793885358976</x:v>
      </x:c>
      <x:c r="N355" s="31" t="n">
        <x:f>IF(H355&gt;=G355,(H355-G355)/2*(MIN(100,D355+$B$3)+MIN(100,F355+$B$3)),(H355-G355)/2*(MAX(0,D355-$B$3)+MAX(0,F355-$B$3)))</x:f>
        <x:v>0.04850329160417571</x:v>
      </x:c>
      <x:c r="O355" s="13" t="str">
        <x:v>I03 GP_Code!P5702/U5702; I04 Table_1!P5068/U5068</x:v>
      </x:c>
    </x:row>
    <x:row r="356" ht="24" customHeight="1">
      <x:c r="A356" s="13" t="str">
        <x:v>QUA</x:v>
      </x:c>
      <x:c r="B356" s="13" t="str">
        <x:v>M92640</x:v>
      </x:c>
      <x:c r="C356" s="13" t="n">
        <x:f>D720</x:f>
        <x:v>31</x:v>
      </x:c>
      <x:c r="D356" s="30" t="n">
        <x:f>E720</x:f>
        <x:v>83.9</x:v>
      </x:c>
      <x:c r="E356" s="13" t="n">
        <x:f>D1079</x:f>
        <x:v>23</x:v>
      </x:c>
      <x:c r="F356" s="30" t="n">
        <x:f>E1079</x:f>
        <x:v>73.9</x:v>
      </x:c>
      <x:c r="G356" s="31" t="n">
        <x:f>C356/$C$23</x:f>
        <x:v>0.0019697547337654085</x:v>
      </x:c>
      <x:c r="H356" s="31" t="n">
        <x:f>E356/$D$23</x:f>
        <x:v>0.0014229151200197971</x:v>
      </x:c>
      <x:c r="I356" s="31" t="n">
        <x:f>(G356+H356)/2*(F356-D356)</x:f>
        <x:v>-0.01696334926892603</x:v>
      </x:c>
      <x:c r="J356" s="31" t="n">
        <x:f>(H356-G356)/2*(F356+D356)</x:f>
        <x:v>-0.043145645524528736</x:v>
      </x:c>
      <x:c r="K356" s="31" t="n">
        <x:f>(G356+H356)/2*(MAX(0,F356-$B$3)-MIN(100,D356+$B$3))</x:f>
        <x:v>-0.01713298276161528</x:v>
      </x:c>
      <x:c r="L356" s="31" t="n">
        <x:f>(G356+H356)/2*(MIN(100,F356+$B$3)-MAX(0,D356-$B$3))</x:f>
        <x:v>-0.016793715776236777</x:v>
      </x:c>
      <x:c r="M356" s="31" t="n">
        <x:f>IF(H356&gt;=G356,(H356-G356)/2*(MAX(0,D356-$B$3)+MAX(0,F356-$B$3)),(H356-G356)/2*(MIN(100,D356+$B$3)+MIN(100,F356+$B$3)))</x:f>
        <x:v>-0.04317298750521602</x:v>
      </x:c>
      <x:c r="N356" s="31" t="n">
        <x:f>IF(H356&gt;=G356,(H356-G356)/2*(MIN(100,D356+$B$3)+MIN(100,F356+$B$3)),(H356-G356)/2*(MAX(0,D356-$B$3)+MAX(0,F356-$B$3)))</x:f>
        <x:v>-0.043118303543841455</x:v>
      </x:c>
      <x:c r="O356" s="13" t="str">
        <x:v>I03 GP_Code!P5703/U5703; I04 Table_1!P5069/U5069</x:v>
      </x:c>
    </x:row>
    <x:row r="357" ht="24" customHeight="1">
      <x:c r="A357" s="13" t="str">
        <x:v>QUA</x:v>
      </x:c>
      <x:c r="B357" s="13" t="str">
        <x:v>M92649</x:v>
      </x:c>
      <x:c r="C357" s="13" t="n">
        <x:f>D721</x:f>
        <x:v>41</x:v>
      </x:c>
      <x:c r="D357" s="30" t="n">
        <x:f>E721</x:f>
        <x:v>78</x:v>
      </x:c>
      <x:c r="E357" s="13" t="n">
        <x:f>D1080</x:f>
        <x:v>50</x:v>
      </x:c>
      <x:c r="F357" s="30" t="n">
        <x:f>E1080</x:f>
        <x:v>80</x:v>
      </x:c>
      <x:c r="G357" s="31" t="n">
        <x:f>C357/$C$23</x:f>
        <x:v>0.0026051594865929596</x:v>
      </x:c>
      <x:c r="H357" s="31" t="n">
        <x:f>E357/$D$23</x:f>
        <x:v>0.003093293739173472</x:v>
      </x:c>
      <x:c r="I357" s="31" t="n">
        <x:f>(G357+H357)/2*(F357-D357)</x:f>
        <x:v>0.005698453225766432</x:v>
      </x:c>
      <x:c r="J357" s="31" t="n">
        <x:f>(H357-G357)/2*(F357+D357)</x:f>
        <x:v>0.038562605953860477</x:v>
      </x:c>
      <x:c r="K357" s="31" t="n">
        <x:f>(G357+H357)/2*(MAX(0,F357-$B$3)-MIN(100,D357+$B$3))</x:f>
        <x:v>0.005413530564478126</x:v>
      </x:c>
      <x:c r="L357" s="31" t="n">
        <x:f>(G357+H357)/2*(MIN(100,F357+$B$3)-MAX(0,D357-$B$3))</x:f>
        <x:v>0.005983375887054737</x:v>
      </x:c>
      <x:c r="M357" s="31" t="n">
        <x:f>IF(H357&gt;=G357,(H357-G357)/2*(MAX(0,D357-$B$3)+MAX(0,F357-$B$3)),(H357-G357)/2*(MIN(100,D357+$B$3)+MIN(100,F357+$B$3)))</x:f>
        <x:v>0.038538199241231454</x:v>
      </x:c>
      <x:c r="N357" s="31" t="n">
        <x:f>IF(H357&gt;=G357,(H357-G357)/2*(MIN(100,D357+$B$3)+MIN(100,F357+$B$3)),(H357-G357)/2*(MAX(0,D357-$B$3)+MAX(0,F357-$B$3)))</x:f>
        <x:v>0.0385870126664895</x:v>
      </x:c>
      <x:c r="O357" s="13" t="str">
        <x:v>I03 GP_Code!P5704/U5704; I04 Table_1!P5070/U5070</x:v>
      </x:c>
    </x:row>
    <x:row r="358" ht="24" customHeight="1">
      <x:c r="A358" s="13" t="str">
        <x:v>QUA</x:v>
      </x:c>
      <x:c r="B358" s="13" t="str">
        <x:v>M92654</x:v>
      </x:c>
      <x:c r="C358" s="13" t="n">
        <x:f>D722</x:f>
        <x:v>95</x:v>
      </x:c>
      <x:c r="D358" s="30" t="n">
        <x:f>E722</x:f>
        <x:v>76.8</x:v>
      </x:c>
      <x:c r="E358" s="13" t="n">
        <x:f>D1081</x:f>
        <x:v>113</x:v>
      </x:c>
      <x:c r="F358" s="30" t="n">
        <x:f>E1081</x:f>
        <x:v>71.7</x:v>
      </x:c>
      <x:c r="G358" s="31" t="n">
        <x:f>C358/$C$23</x:f>
        <x:v>0.006036345151861736</x:v>
      </x:c>
      <x:c r="H358" s="31" t="n">
        <x:f>E358/$D$23</x:f>
        <x:v>0.006990843850532047</x:v>
      </x:c>
      <x:c r="I358" s="31" t="n">
        <x:f>(G358+H358)/2*(F358-D358)</x:f>
        <x:v>-0.03321933195610411</x:v>
      </x:c>
      <x:c r="J358" s="31" t="n">
        <x:f>(H358-G358)/2*(F358+D358)</x:f>
        <x:v>0.07087152837627056</x:v>
      </x:c>
      <x:c r="K358" s="31" t="n">
        <x:f>(G358+H358)/2*(MAX(0,F358-$B$3)-MIN(100,D358+$B$3))</x:f>
        <x:v>-0.033870691406223764</x:v>
      </x:c>
      <x:c r="L358" s="31" t="n">
        <x:f>(G358+H358)/2*(MIN(100,F358+$B$3)-MAX(0,D358-$B$3))</x:f>
        <x:v>-0.032567972505984456</x:v>
      </x:c>
      <x:c r="M358" s="31" t="n">
        <x:f>IF(H358&gt;=G358,(H358-G358)/2*(MAX(0,D358-$B$3)+MAX(0,F358-$B$3)),(H358-G358)/2*(MIN(100,D358+$B$3)+MIN(100,F358+$B$3)))</x:f>
        <x:v>0.07082380344133705</x:v>
      </x:c>
      <x:c r="N358" s="31" t="n">
        <x:f>IF(H358&gt;=G358,(H358-G358)/2*(MIN(100,D358+$B$3)+MIN(100,F358+$B$3)),(H358-G358)/2*(MAX(0,D358-$B$3)+MAX(0,F358-$B$3)))</x:f>
        <x:v>0.07091925331120408</x:v>
      </x:c>
      <x:c r="O358" s="13" t="str">
        <x:v>I03 GP_Code!P5705/U5705; I04 Table_1!P5071/U5071</x:v>
      </x:c>
    </x:row>
    <x:row r="359" ht="24" customHeight="1">
      <x:c r="A359" s="13" t="str">
        <x:v>QUA</x:v>
      </x:c>
      <x:c r="B359" s="13" t="str">
        <x:v>Y00228</x:v>
      </x:c>
      <x:c r="C359" s="13" t="n">
        <x:f>D723</x:f>
        <x:v>32</x:v>
      </x:c>
      <x:c r="D359" s="30" t="n">
        <x:f>E723</x:f>
        <x:v>78.1</x:v>
      </x:c>
      <x:c r="E359" s="13" t="n">
        <x:f>D1082</x:f>
        <x:v>31</x:v>
      </x:c>
      <x:c r="F359" s="30" t="n">
        <x:f>E1082</x:f>
        <x:v>80.6</x:v>
      </x:c>
      <x:c r="G359" s="31" t="n">
        <x:f>C359/$C$23</x:f>
        <x:v>0.002033295209048164</x:v>
      </x:c>
      <x:c r="H359" s="31" t="n">
        <x:f>E359/$D$23</x:f>
        <x:v>0.0019178421182875526</x:v>
      </x:c>
      <x:c r="I359" s="31" t="n">
        <x:f>(G359+H359)/2*(F359-D359)</x:f>
        <x:v>0.004938921659169645</x:v>
      </x:c>
      <x:c r="J359" s="31" t="n">
        <x:f>(H359-G359)/2*(F359+D359)</x:f>
        <x:v>-0.009161202751854499</x:v>
      </x:c>
      <x:c r="K359" s="31" t="n">
        <x:f>(G359+H359)/2*(MAX(0,F359-$B$3)-MIN(100,D359+$B$3))</x:f>
        <x:v>0.004741364792802871</x:v>
      </x:c>
      <x:c r="L359" s="31" t="n">
        <x:f>(G359+H359)/2*(MIN(100,F359+$B$3)-MAX(0,D359-$B$3))</x:f>
        <x:v>0.00513647852553642</x:v>
      </x:c>
      <x:c r="M359" s="31" t="n">
        <x:f>IF(H359&gt;=G359,(H359-G359)/2*(MAX(0,D359-$B$3)+MAX(0,F359-$B$3)),(H359-G359)/2*(MIN(100,D359+$B$3)+MIN(100,F359+$B$3)))</x:f>
        <x:v>-0.00916697540639253</x:v>
      </x:c>
      <x:c r="N359" s="31" t="n">
        <x:f>IF(H359&gt;=G359,(H359-G359)/2*(MIN(100,D359+$B$3)+MIN(100,F359+$B$3)),(H359-G359)/2*(MAX(0,D359-$B$3)+MAX(0,F359-$B$3)))</x:f>
        <x:v>-0.00915543009731647</x:v>
      </x:c>
      <x:c r="O359" s="13" t="str">
        <x:v>I03 GP_Code!P5706/U5706; I04 Table_1!P5072/U5072</x:v>
      </x:c>
    </x:row>
    <x:row r="360" ht="24" customHeight="1">
      <x:c r="A360" s="13" t="str">
        <x:v>QUA</x:v>
      </x:c>
      <x:c r="B360" s="13" t="str">
        <x:v>Y00278</x:v>
      </x:c>
      <x:c r="C360" s="13" t="n">
        <x:f>D724</x:f>
        <x:v>52</x:v>
      </x:c>
      <x:c r="D360" s="30" t="n">
        <x:f>E724</x:f>
        <x:v>86.5</x:v>
      </x:c>
      <x:c r="E360" s="13" t="n">
        <x:f>D1083</x:f>
        <x:v>58</x:v>
      </x:c>
      <x:c r="F360" s="30" t="n">
        <x:f>E1083</x:f>
        <x:v>81</x:v>
      </x:c>
      <x:c r="G360" s="31" t="n">
        <x:f>C360/$C$23</x:f>
        <x:v>0.003304104714703266</x:v>
      </x:c>
      <x:c r="H360" s="31" t="n">
        <x:f>E360/$D$23</x:f>
        <x:v>0.0035882207374412275</x:v>
      </x:c>
      <x:c r="I360" s="31" t="n">
        <x:f>(G360+H360)/2*(F360-D360)</x:f>
        <x:v>-0.018953894993397356</x:v>
      </x:c>
      <x:c r="J360" s="31" t="n">
        <x:f>(H360-G360)/2*(F360+D360)</x:f>
        <x:v>0.02379471690430426</x:v>
      </x:c>
      <x:c r="K360" s="31" t="n">
        <x:f>(G360+H360)/2*(MAX(0,F360-$B$3)-MIN(100,D360+$B$3))</x:f>
        <x:v>-0.019298511266004563</x:v>
      </x:c>
      <x:c r="L360" s="31" t="n">
        <x:f>(G360+H360)/2*(MIN(100,F360+$B$3)-MAX(0,D360-$B$3))</x:f>
        <x:v>-0.01860927872079015</x:v>
      </x:c>
      <x:c r="M360" s="31" t="n">
        <x:f>IF(H360&gt;=G360,(H360-G360)/2*(MAX(0,D360-$B$3)+MAX(0,F360-$B$3)),(H360-G360)/2*(MIN(100,D360+$B$3)+MIN(100,F360+$B$3)))</x:f>
        <x:v>0.02378051110316736</x:v>
      </x:c>
      <x:c r="N360" s="31" t="n">
        <x:f>IF(H360&gt;=G360,(H360-G360)/2*(MIN(100,D360+$B$3)+MIN(100,F360+$B$3)),(H360-G360)/2*(MAX(0,D360-$B$3)+MAX(0,F360-$B$3)))</x:f>
        <x:v>0.023808922705441157</x:v>
      </x:c>
      <x:c r="O360" s="13" t="str">
        <x:v>I03 GP_Code!P5707/U5707; I04 Table_1!P5073/U5073</x:v>
      </x:c>
    </x:row>
    <x:row r="361" ht="24" customHeight="1">
      <x:c r="A361" s="13" t="str">
        <x:v>QUA</x:v>
      </x:c>
      <x:c r="B361" s="13" t="str">
        <x:v>Y01756</x:v>
      </x:c>
      <x:c r="C361" s="13" t="n">
        <x:f>D728</x:f>
        <x:v>70</x:v>
      </x:c>
      <x:c r="D361" s="30" t="n">
        <x:f>E728</x:f>
        <x:v>87.1</x:v>
      </x:c>
      <x:c r="E361" s="13" t="n">
        <x:f>D1084</x:f>
        <x:v>59</x:v>
      </x:c>
      <x:c r="F361" s="30" t="n">
        <x:f>E1084</x:f>
        <x:v>84.7</x:v>
      </x:c>
      <x:c r="G361" s="31" t="n">
        <x:f>C361/$C$23</x:f>
        <x:v>0.004447833269792858</x:v>
      </x:c>
      <x:c r="H361" s="31" t="n">
        <x:f>E361/$D$23</x:f>
        <x:v>0.003650086612224697</x:v>
      </x:c>
      <x:c r="I361" s="31" t="n">
        <x:f>(G361+H361)/2*(F361-D361)</x:f>
        <x:v>-0.009717503858421031</x:v>
      </x:c>
      <x:c r="J361" s="31" t="n">
        <x:f>(H361-G361)/2*(F361+D361)</x:f>
        <x:v>-0.06852643788510505</x:v>
      </x:c>
      <x:c r="K361" s="31" t="n">
        <x:f>(G361+H361)/2*(MAX(0,F361-$B$3)-MIN(100,D361+$B$3))</x:f>
        <x:v>-0.010122399852521885</x:v>
      </x:c>
      <x:c r="L361" s="31" t="n">
        <x:f>(G361+H361)/2*(MIN(100,F361+$B$3)-MAX(0,D361-$B$3))</x:f>
        <x:v>-0.009312607864320177</x:v>
      </x:c>
      <x:c r="M361" s="31" t="n">
        <x:f>IF(H361&gt;=G361,(H361-G361)/2*(MAX(0,D361-$B$3)+MAX(0,F361-$B$3)),(H361-G361)/2*(MIN(100,D361+$B$3)+MIN(100,F361+$B$3)))</x:f>
        <x:v>-0.06856632521798345</x:v>
      </x:c>
      <x:c r="N361" s="31" t="n">
        <x:f>IF(H361&gt;=G361,(H361-G361)/2*(MIN(100,D361+$B$3)+MIN(100,F361+$B$3)),(H361-G361)/2*(MAX(0,D361-$B$3)+MAX(0,F361-$B$3)))</x:f>
        <x:v>-0.06848655055222663</x:v>
      </x:c>
      <x:c r="O361" s="13" t="str">
        <x:v>I03 GP_Code!P5711/U5711; I04 Table_1!P5074/U5074</x:v>
      </x:c>
    </x:row>
    <x:row r="362" ht="24" customHeight="1">
      <x:c r="A362" s="13" t="str">
        <x:v>QUA</x:v>
      </x:c>
      <x:c r="B362" s="13" t="str">
        <x:v>Y02212</x:v>
      </x:c>
      <x:c r="C362" s="13" t="n">
        <x:f>D729</x:f>
        <x:v>31</x:v>
      </x:c>
      <x:c r="D362" s="30" t="n">
        <x:f>E729</x:f>
        <x:v>77.4</x:v>
      </x:c>
      <x:c r="E362" s="13" t="n">
        <x:f>D1085</x:f>
        <x:v>42</x:v>
      </x:c>
      <x:c r="F362" s="30" t="n">
        <x:f>E1085</x:f>
        <x:v>81</x:v>
      </x:c>
      <x:c r="G362" s="31" t="n">
        <x:f>C362/$C$23</x:f>
        <x:v>0.0019697547337654085</x:v>
      </x:c>
      <x:c r="H362" s="31" t="n">
        <x:f>E362/$D$23</x:f>
        <x:v>0.0025983667409057165</x:v>
      </x:c>
      <x:c r="I362" s="31" t="n">
        <x:f>(G362+H362)/2*(F362-D362)</x:f>
        <x:v>0.008222618654408011</x:v>
      </x:c>
      <x:c r="J362" s="31" t="n">
        <x:f>(H362-G362)/2*(F362+D362)</x:f>
        <x:v>0.0497860709655124</x:v>
      </x:c>
      <x:c r="K362" s="31" t="n">
        <x:f>(G362+H362)/2*(MAX(0,F362-$B$3)-MIN(100,D362+$B$3))</x:f>
        <x:v>0.007994212580674469</x:v>
      </x:c>
      <x:c r="L362" s="31" t="n">
        <x:f>(G362+H362)/2*(MIN(100,F362+$B$3)-MAX(0,D362-$B$3))</x:f>
        <x:v>0.008451024728141555</x:v>
      </x:c>
      <x:c r="M362" s="31" t="n">
        <x:f>IF(H362&gt;=G362,(H362-G362)/2*(MAX(0,D362-$B$3)+MAX(0,F362-$B$3)),(H362-G362)/2*(MIN(100,D362+$B$3)+MIN(100,F362+$B$3)))</x:f>
        <x:v>0.04975464036515539</x:v>
      </x:c>
      <x:c r="N362" s="31" t="n">
        <x:f>IF(H362&gt;=G362,(H362-G362)/2*(MIN(100,D362+$B$3)+MIN(100,F362+$B$3)),(H362-G362)/2*(MAX(0,D362-$B$3)+MAX(0,F362-$B$3)))</x:f>
        <x:v>0.049817501565869414</x:v>
      </x:c>
      <x:c r="O362" s="13" t="str">
        <x:v>I03 GP_Code!P5712/U5712; I04 Table_1!P5075/U5075</x:v>
      </x:c>
    </x:row>
    <x:row r="363" ht="24" customHeight="1">
      <x:c r="A363" s="13" t="str">
        <x:v>QUA</x:v>
      </x:c>
      <x:c r="B363" s="13" t="str">
        <x:v>Y02626</x:v>
      </x:c>
      <x:c r="C363" s="13" t="n">
        <x:f>D730</x:f>
        <x:v>77</x:v>
      </x:c>
      <x:c r="D363" s="30" t="n">
        <x:f>E730</x:f>
        <x:v>85.7</x:v>
      </x:c>
      <x:c r="E363" s="13" t="n">
        <x:f>D1086</x:f>
        <x:v>61</x:v>
      </x:c>
      <x:c r="F363" s="30" t="n">
        <x:f>E1086</x:f>
        <x:v>78.7</x:v>
      </x:c>
      <x:c r="G363" s="31" t="n">
        <x:f>C363/$C$23</x:f>
        <x:v>0.004892616596772144</x:v>
      </x:c>
      <x:c r="H363" s="31" t="n">
        <x:f>E363/$D$23</x:f>
        <x:v>0.0037738183617916357</x:v>
      </x:c>
      <x:c r="I363" s="31" t="n">
        <x:f>(G363+H363)/2*(F363-D363)</x:f>
        <x:v>-0.03033252235497323</x:v>
      </x:c>
      <x:c r="J363" s="31" t="n">
        <x:f>(H363-G363)/2*(F363+D363)</x:f>
        <x:v>-0.09196521491539776</x:v>
      </x:c>
      <x:c r="K363" s="31" t="n">
        <x:f>(G363+H363)/2*(MAX(0,F363-$B$3)-MIN(100,D363+$B$3))</x:f>
        <x:v>-0.030765844102901393</x:v>
      </x:c>
      <x:c r="L363" s="31" t="n">
        <x:f>(G363+H363)/2*(MIN(100,F363+$B$3)-MAX(0,D363-$B$3))</x:f>
        <x:v>-0.029899200607045064</x:v>
      </x:c>
      <x:c r="M363" s="31" t="n">
        <x:f>IF(H363&gt;=G363,(H363-G363)/2*(MAX(0,D363-$B$3)+MAX(0,F363-$B$3)),(H363-G363)/2*(MIN(100,D363+$B$3)+MIN(100,F363+$B$3)))</x:f>
        <x:v>-0.09202115482714678</x:v>
      </x:c>
      <x:c r="N363" s="31" t="n">
        <x:f>IF(H363&gt;=G363,(H363-G363)/2*(MIN(100,D363+$B$3)+MIN(100,F363+$B$3)),(H363-G363)/2*(MAX(0,D363-$B$3)+MAX(0,F363-$B$3)))</x:f>
        <x:v>-0.09190927500364873</x:v>
      </x:c>
      <x:c r="O363" s="13" t="str">
        <x:v>I03 GP_Code!P5713/U5713; I04 Table_1!P5076/U5076</x:v>
      </x:c>
    </x:row>
    <x:row r="364" ht="24" customHeight="1">
      <x:c r="A364" s="13" t="str">
        <x:v>QUA</x:v>
      </x:c>
      <x:c r="B364" s="13" t="str">
        <x:v>Y02627</x:v>
      </x:c>
      <x:c r="C364" s="13" t="n">
        <x:f>D731</x:f>
        <x:v>217</x:v>
      </x:c>
      <x:c r="D364" s="30" t="n">
        <x:f>E731</x:f>
        <x:v>67.3</x:v>
      </x:c>
      <x:c r="E364" s="13" t="n">
        <x:f>D1087</x:f>
        <x:v>225</x:v>
      </x:c>
      <x:c r="F364" s="30" t="n">
        <x:f>E1087</x:f>
        <x:v>74.2</x:v>
      </x:c>
      <x:c r="G364" s="31" t="n">
        <x:f>C364/$C$23</x:f>
        <x:v>0.01378828313635786</x:v>
      </x:c>
      <x:c r="H364" s="31" t="n">
        <x:f>E364/$D$23</x:f>
        <x:v>0.013919821826280624</x:v>
      </x:c>
      <x:c r="I364" s="31" t="n">
        <x:f>(G364+H364)/2*(F364-D364)</x:f>
        <x:v>0.09559296212110285</x:v>
      </x:c>
      <x:c r="J364" s="31" t="n">
        <x:f>(H364-G364)/2*(F364+D364)</x:f>
        <x:v>0.00930636231203564</x:v>
      </x:c>
      <x:c r="K364" s="31" t="n">
        <x:f>(G364+H364)/2*(MAX(0,F364-$B$3)-MIN(100,D364+$B$3))</x:f>
        <x:v>0.094207556872971</x:v>
      </x:c>
      <x:c r="L364" s="31" t="n">
        <x:f>(G364+H364)/2*(MIN(100,F364+$B$3)-MAX(0,D364-$B$3))</x:f>
        <x:v>0.0969783673692347</x:v>
      </x:c>
      <x:c r="M364" s="31" t="n">
        <x:f>IF(H364&gt;=G364,(H364-G364)/2*(MAX(0,D364-$B$3)+MAX(0,F364-$B$3)),(H364-G364)/2*(MIN(100,D364+$B$3)+MIN(100,F364+$B$3)))</x:f>
        <x:v>0.009299785377539503</x:v>
      </x:c>
      <x:c r="N364" s="31" t="n">
        <x:f>IF(H364&gt;=G364,(H364-G364)/2*(MIN(100,D364+$B$3)+MIN(100,F364+$B$3)),(H364-G364)/2*(MAX(0,D364-$B$3)+MAX(0,F364-$B$3)))</x:f>
        <x:v>0.009312939246531779</x:v>
      </x:c>
      <x:c r="O364" s="13" t="str">
        <x:v>I03 GP_Code!P5714/U5714; I04 Table_1!P5077/U5077</x:v>
      </x:c>
    </x:row>
    <x:row r="365" ht="24" customHeight="1">
      <x:c r="A365" s="13" t="str">
        <x:v>QUA</x:v>
      </x:c>
      <x:c r="B365" s="13" t="str">
        <x:v>Y02636</x:v>
      </x:c>
      <x:c r="C365" s="13" t="n">
        <x:f>D732</x:f>
        <x:v>85</x:v>
      </x:c>
      <x:c r="D365" s="30" t="n">
        <x:f>E732</x:f>
        <x:v>69.4</x:v>
      </x:c>
      <x:c r="E365" s="13" t="n">
        <x:f>D1088</x:f>
        <x:v>106</x:v>
      </x:c>
      <x:c r="F365" s="30" t="n">
        <x:f>E1088</x:f>
        <x:v>69.8</x:v>
      </x:c>
      <x:c r="G365" s="31" t="n">
        <x:f>C365/$C$23</x:f>
        <x:v>0.005400940399034185</x:v>
      </x:c>
      <x:c r="H365" s="31" t="n">
        <x:f>E365/$D$23</x:f>
        <x:v>0.00655778272704776</x:v>
      </x:c>
      <x:c r="I365" s="31" t="n">
        <x:f>(G365+H365)/2*(F365-D365)</x:f>
        <x:v>0.002391744625216338</x:v>
      </x:c>
      <x:c r="J365" s="31" t="n">
        <x:f>(H365-G365)/2*(F365+D365)</x:f>
        <x:v>0.08051622602974484</x:v>
      </x:c>
      <x:c r="K365" s="31" t="n">
        <x:f>(G365+H365)/2*(MAX(0,F365-$B$3)-MIN(100,D365+$B$3))</x:f>
        <x:v>0.0017938084689122747</x:v>
      </x:c>
      <x:c r="L365" s="31" t="n">
        <x:f>(G365+H365)/2*(MIN(100,F365+$B$3)-MAX(0,D365-$B$3))</x:f>
        <x:v>0.002989680781520401</x:v>
      </x:c>
      <x:c r="M365" s="31" t="n">
        <x:f>IF(H365&gt;=G365,(H365-G365)/2*(MAX(0,D365-$B$3)+MAX(0,F365-$B$3)),(H365-G365)/2*(MIN(100,D365+$B$3)+MIN(100,F365+$B$3)))</x:f>
        <x:v>0.08045838391334419</x:v>
      </x:c>
      <x:c r="N365" s="31" t="n">
        <x:f>IF(H365&gt;=G365,(H365-G365)/2*(MIN(100,D365+$B$3)+MIN(100,F365+$B$3)),(H365-G365)/2*(MAX(0,D365-$B$3)+MAX(0,F365-$B$3)))</x:f>
        <x:v>0.08057406814614554</x:v>
      </x:c>
      <x:c r="O365" s="13" t="str">
        <x:v>I03 GP_Code!P5715/U5715; I04 Table_1!P5078/U5078</x:v>
      </x:c>
    </x:row>
    <x:row r="366" ht="24" customHeight="1">
      <x:c r="A366" s="13" t="str">
        <x:v>QUA</x:v>
      </x:c>
      <x:c r="B366" s="13" t="str">
        <x:v>Y02653</x:v>
      </x:c>
      <x:c r="C366" s="13" t="n">
        <x:f>D733</x:f>
        <x:v>78</x:v>
      </x:c>
      <x:c r="D366" s="30" t="n">
        <x:f>E733</x:f>
        <x:v>85.9</x:v>
      </x:c>
      <x:c r="E366" s="13" t="n">
        <x:f>D1089</x:f>
        <x:v>66</x:v>
      </x:c>
      <x:c r="F366" s="30" t="n">
        <x:f>E1089</x:f>
        <x:v>84.8</x:v>
      </x:c>
      <x:c r="G366" s="31" t="n">
        <x:f>C366/$C$23</x:f>
        <x:v>0.004956157072054899</x:v>
      </x:c>
      <x:c r="H366" s="31" t="n">
        <x:f>E366/$D$23</x:f>
        <x:v>0.004083147735708983</x:v>
      </x:c>
      <x:c r="I366" s="31" t="n">
        <x:f>(G366+H366)/2*(F366-D366)</x:f>
        <x:v>-0.004971617644270173</x:v>
      </x:c>
      <x:c r="J366" s="31" t="n">
        <x:f>(H366-G366)/2*(F366+D366)</x:f>
        <x:v>-0.07451134685712389</x:v>
      </x:c>
      <x:c r="K366" s="31" t="n">
        <x:f>(G366+H366)/2*(MAX(0,F366-$B$3)-MIN(100,D366+$B$3))</x:f>
        <x:v>-0.005423582884658342</x:v>
      </x:c>
      <x:c r="L366" s="31" t="n">
        <x:f>(G366+H366)/2*(MIN(100,F366+$B$3)-MAX(0,D366-$B$3))</x:f>
        <x:v>-0.004519652403882005</x:v>
      </x:c>
      <x:c r="M366" s="31" t="n">
        <x:f>IF(H366&gt;=G366,(H366-G366)/2*(MAX(0,D366-$B$3)+MAX(0,F366-$B$3)),(H366-G366)/2*(MIN(100,D366+$B$3)+MIN(100,F366+$B$3)))</x:f>
        <x:v>-0.0745549973239412</x:v>
      </x:c>
      <x:c r="N366" s="31" t="n">
        <x:f>IF(H366&gt;=G366,(H366-G366)/2*(MIN(100,D366+$B$3)+MIN(100,F366+$B$3)),(H366-G366)/2*(MAX(0,D366-$B$3)+MAX(0,F366-$B$3)))</x:f>
        <x:v>-0.07446769639030662</x:v>
      </x:c>
      <x:c r="O366" s="13" t="str">
        <x:v>I03 GP_Code!P5716/U5716; I04 Table_1!P5079/U5079</x:v>
      </x:c>
    </x:row>
    <x:row r="367" ht="24" customHeight="1">
      <x:c r="A367" s="13" t="str">
        <x:v>QUA</x:v>
      </x:c>
      <x:c r="B367" s="13" t="str">
        <x:v>Y02701</x:v>
      </x:c>
      <x:c r="C367" s="13" t="n">
        <x:f>D734</x:f>
        <x:v>151</x:v>
      </x:c>
      <x:c r="D367" s="30" t="n">
        <x:f>E734</x:f>
        <x:v>81.5</x:v>
      </x:c>
      <x:c r="E367" s="13" t="n">
        <x:f>D1090</x:f>
        <x:v>141</x:v>
      </x:c>
      <x:c r="F367" s="30" t="n">
        <x:f>E1090</x:f>
        <x:v>82.3</x:v>
      </x:c>
      <x:c r="G367" s="31" t="n">
        <x:f>C367/$C$23</x:f>
        <x:v>0.009594611767696022</x:v>
      </x:c>
      <x:c r="H367" s="31" t="n">
        <x:f>E367/$D$23</x:f>
        <x:v>0.008723088344469191</x:v>
      </x:c>
      <x:c r="I367" s="31" t="n">
        <x:f>(G367+H367)/2*(F367-D367)</x:f>
        <x:v>0.007327080044866059</x:v>
      </x:c>
      <x:c r="J367" s="31" t="n">
        <x:f>(H367-G367)/2*(F367+D367)</x:f>
        <x:v>-0.07137776836227747</x:v>
      </x:c>
      <x:c r="K367" s="31" t="n">
        <x:f>(G367+H367)/2*(MAX(0,F367-$B$3)-MIN(100,D367+$B$3))</x:f>
        <x:v>0.006411195039257851</x:v>
      </x:c>
      <x:c r="L367" s="31" t="n">
        <x:f>(G367+H367)/2*(MIN(100,F367+$B$3)-MAX(0,D367-$B$3))</x:f>
        <x:v>0.008242965050474269</x:v>
      </x:c>
      <x:c r="M367" s="31" t="n">
        <x:f>IF(H367&gt;=G367,(H367-G367)/2*(MAX(0,D367-$B$3)+MAX(0,F367-$B$3)),(H367-G367)/2*(MIN(100,D367+$B$3)+MIN(100,F367+$B$3)))</x:f>
        <x:v>-0.0714213445334388</x:v>
      </x:c>
      <x:c r="N367" s="31" t="n">
        <x:f>IF(H367&gt;=G367,(H367-G367)/2*(MIN(100,D367+$B$3)+MIN(100,F367+$B$3)),(H367-G367)/2*(MAX(0,D367-$B$3)+MAX(0,F367-$B$3)))</x:f>
        <x:v>-0.07133419219111613</x:v>
      </x:c>
      <x:c r="O367" s="13" t="str">
        <x:v>I03 GP_Code!P5717/U5717; I04 Table_1!P5080/U5080</x:v>
      </x:c>
    </x:row>
    <x:row r="368" ht="24" customHeight="1">
      <x:c r="A368" s="13" t="str">
        <x:v>QUA</x:v>
      </x:c>
      <x:c r="B368" s="13" t="str">
        <x:v>Y02736</x:v>
      </x:c>
      <x:c r="C368" s="13" t="n">
        <x:f>D735</x:f>
        <x:v>110</x:v>
      </x:c>
      <x:c r="D368" s="30" t="n">
        <x:f>E735</x:f>
        <x:v>70</x:v>
      </x:c>
      <x:c r="E368" s="13" t="n">
        <x:f>D1091</x:f>
        <x:v>120</x:v>
      </x:c>
      <x:c r="F368" s="30" t="n">
        <x:f>E1091</x:f>
        <x:v>73.3</x:v>
      </x:c>
      <x:c r="G368" s="31" t="n">
        <x:f>C368/$C$23</x:f>
        <x:v>0.006989452281103063</x:v>
      </x:c>
      <x:c r="H368" s="31" t="n">
        <x:f>E368/$D$23</x:f>
        <x:v>0.007423904974016332</x:v>
      </x:c>
      <x:c r="I368" s="31" t="n">
        <x:f>(G368+H368)/2*(F368-D368)</x:f>
        <x:v>0.023782039470946984</x:v>
      </x:c>
      <x:c r="J368" s="31" t="n">
        <x:f>(H368-G368)/2*(F368+D368)</x:f>
        <x:v>0.031128535447235754</x:v>
      </x:c>
      <x:c r="K368" s="31" t="n">
        <x:f>(G368+H368)/2*(MAX(0,F368-$B$3)-MIN(100,D368+$B$3))</x:f>
        <x:v>0.023061371608191054</x:v>
      </x:c>
      <x:c r="L368" s="31" t="n">
        <x:f>(G368+H368)/2*(MIN(100,F368+$B$3)-MAX(0,D368-$B$3))</x:f>
        <x:v>0.02450270733370291</x:v>
      </x:c>
      <x:c r="M368" s="31" t="n">
        <x:f>IF(H368&gt;=G368,(H368-G368)/2*(MAX(0,D368-$B$3)+MAX(0,F368-$B$3)),(H368-G368)/2*(MIN(100,D368+$B$3)+MIN(100,F368+$B$3)))</x:f>
        <x:v>0.031106812812590087</x:v>
      </x:c>
      <x:c r="N368" s="31" t="n">
        <x:f>IF(H368&gt;=G368,(H368-G368)/2*(MIN(100,D368+$B$3)+MIN(100,F368+$B$3)),(H368-G368)/2*(MAX(0,D368-$B$3)+MAX(0,F368-$B$3)))</x:f>
        <x:v>0.03115025808188141</x:v>
      </x:c>
      <x:c r="O368" s="13" t="str">
        <x:v>I03 GP_Code!P5718/U5718; I04 Table_1!P5081/U5081</x:v>
      </x:c>
    </x:row>
    <x:row r="369" ht="24" customHeight="1">
      <x:c r="A369" s="13" t="str">
        <x:v>QUA</x:v>
      </x:c>
      <x:c r="B369" s="13" t="str">
        <x:v>Y02757</x:v>
      </x:c>
      <x:c r="C369" s="13" t="n">
        <x:f>D736</x:f>
        <x:v>226</x:v>
      </x:c>
      <x:c r="D369" s="30" t="n">
        <x:f>E736</x:f>
        <x:v>75.2</x:v>
      </x:c>
      <x:c r="E369" s="13" t="n">
        <x:f>D1092</x:f>
        <x:v>230</x:v>
      </x:c>
      <x:c r="F369" s="30" t="n">
        <x:f>E1092</x:f>
        <x:v>75.2</x:v>
      </x:c>
      <x:c r="G369" s="31" t="n">
        <x:f>C369/$C$23</x:f>
        <x:v>0.014360147413902655</x:v>
      </x:c>
      <x:c r="H369" s="31" t="n">
        <x:f>E369/$D$23</x:f>
        <x:v>0.01422915120019797</x:v>
      </x:c>
      <x:c r="I369" s="31" t="n">
        <x:f>(G369+H369)/2*(F369-D369)</x:f>
        <x:v>0</x:v>
      </x:c>
      <x:c r="J369" s="31" t="n">
        <x:f>(H369-G369)/2*(F369+D369)</x:f>
        <x:v>-0.009850915270592345</x:v>
      </x:c>
      <x:c r="K369" s="31" t="n">
        <x:f>(G369+H369)/2*(MAX(0,F369-$B$3)-MIN(100,D369+$B$3))</x:f>
        <x:v>-0.0014294649307049498</x:v>
      </x:c>
      <x:c r="L369" s="31" t="n">
        <x:f>(G369+H369)/2*(MIN(100,F369+$B$3)-MAX(0,D369-$B$3))</x:f>
        <x:v>0.0014294649307049498</x:v>
      </x:c>
      <x:c r="M369" s="31" t="n">
        <x:f>IF(H369&gt;=G369,(H369-G369)/2*(MAX(0,D369-$B$3)+MAX(0,F369-$B$3)),(H369-G369)/2*(MIN(100,D369+$B$3)+MIN(100,F369+$B$3)))</x:f>
        <x:v>-0.00985746508127758</x:v>
      </x:c>
      <x:c r="N369" s="31" t="n">
        <x:f>IF(H369&gt;=G369,(H369-G369)/2*(MIN(100,D369+$B$3)+MIN(100,F369+$B$3)),(H369-G369)/2*(MAX(0,D369-$B$3)+MAX(0,F369-$B$3)))</x:f>
        <x:v>-0.009844365459907111</x:v>
      </x:c>
      <x:c r="O369" s="13" t="str">
        <x:v>I03 GP_Code!P5719/U5719; I04 Table_1!P5082/U5082</x:v>
      </x:c>
    </x:row>
    <x:row r="370" ht="24" customHeight="1">
      <x:c r="A370" s="12"/>
      <x:c r="B370" s="12"/>
      <x:c r="C370" s="12"/>
      <x:c r="D370" s="12"/>
      <x:c r="E370" s="12"/>
      <x:c r="F370" s="12"/>
      <x:c r="G370" s="12"/>
      <x:c r="H370" s="12"/>
      <x:c r="I370" s="12"/>
      <x:c r="J370" s="12"/>
      <x:c r="K370" s="12"/>
      <x:c r="L370" s="12"/>
      <x:c r="M370" s="12"/>
      <x:c r="N370" s="12"/>
      <x:c r="O370" s="12"/>
    </x:row>
    <x:row r="371" ht="24" customHeight="1">
      <x:c r="A371" s="12"/>
      <x:c r="B371" s="12"/>
      <x:c r="C371" s="12"/>
      <x:c r="D371" s="12"/>
      <x:c r="E371" s="12"/>
      <x:c r="F371" s="12"/>
      <x:c r="G371" s="12"/>
      <x:c r="H371" s="12"/>
      <x:c r="I371" s="12"/>
      <x:c r="J371" s="12"/>
      <x:c r="K371" s="12"/>
      <x:c r="L371" s="12"/>
      <x:c r="M371" s="12"/>
      <x:c r="N371" s="12"/>
      <x:c r="O371" s="12"/>
    </x:row>
    <x:row r="372" ht="24" customHeight="1">
      <x:c r="A372" s="12" t="str">
        <x:v>两个年度全部目标ICB原始GP行</x:v>
      </x:c>
      <x:c r="B372" s="12"/>
      <x:c r="C372" s="12"/>
      <x:c r="D372" s="12"/>
      <x:c r="E372" s="12"/>
      <x:c r="F372" s="12"/>
      <x:c r="G372" s="12"/>
      <x:c r="H372" s="12"/>
      <x:c r="I372" s="12"/>
      <x:c r="J372" s="12"/>
      <x:c r="K372" s="12"/>
      <x:c r="L372" s="12"/>
      <x:c r="M372" s="12"/>
      <x:c r="N372" s="12"/>
      <x:c r="O372" s="12"/>
    </x:row>
    <x:row r="373" ht="24" customHeight="1">
      <x:c r="A373" s="16" t="str">
        <x:v>来源</x:v>
      </x:c>
      <x:c r="B373" s="16" t="str">
        <x:v>ICB</x:v>
      </x:c>
      <x:c r="C373" s="16" t="str">
        <x:v>GP编码</x:v>
      </x:c>
      <x:c r="D373" s="16" t="str">
        <x:v>原5y分母</x:v>
      </x:c>
      <x:c r="E373" s="16" t="str">
        <x:v>原显示MMR2（%）</x:v>
      </x:c>
      <x:c r="F373" s="16" t="str">
        <x:v>原记录定位</x:v>
      </x:c>
      <x:c r="G373" s="16" t="str">
        <x:v>纳入可比集合</x:v>
      </x:c>
      <x:c r="H373" s="16"/>
      <x:c r="I373" s="16"/>
      <x:c r="J373" s="16"/>
      <x:c r="K373" s="16"/>
      <x:c r="L373" s="16"/>
      <x:c r="M373" s="16"/>
      <x:c r="N373" s="16"/>
      <x:c r="O373" s="16"/>
    </x:row>
    <x:row r="374" ht="24" customHeight="1">
      <x:c r="A374" s="13" t="str">
        <x:v>I03</x:v>
      </x:c>
      <x:c r="B374" s="13" t="str">
        <x:v>QHL</x:v>
      </x:c>
      <x:c r="C374" s="13" t="str">
        <x:v>M81062</x:v>
      </x:c>
      <x:c r="D374" s="13" t="n">
        <x:v>33</x:v>
      </x:c>
      <x:c r="E374" s="30" t="n">
        <x:v>72.7</x:v>
      </x:c>
      <x:c r="F374" s="13" t="str">
        <x:v>I03 GP_Code!P2595/U2595</x:v>
      </x:c>
      <x:c r="G374" s="13" t="str">
        <x:v>是</x:v>
      </x:c>
      <x:c r="H374" s="12"/>
      <x:c r="I374" s="12"/>
      <x:c r="J374" s="12"/>
      <x:c r="K374" s="12"/>
      <x:c r="L374" s="12"/>
      <x:c r="M374" s="12"/>
      <x:c r="N374" s="12"/>
      <x:c r="O374" s="12"/>
    </x:row>
    <x:row r="375" ht="24" customHeight="1">
      <x:c r="A375" s="13" t="str">
        <x:v>I03</x:v>
      </x:c>
      <x:c r="B375" s="13" t="str">
        <x:v>QHL</x:v>
      </x:c>
      <x:c r="C375" s="13" t="str">
        <x:v>M85001</x:v>
      </x:c>
      <x:c r="D375" s="13" t="n">
        <x:v>78</x:v>
      </x:c>
      <x:c r="E375" s="30" t="n">
        <x:v>70.5</x:v>
      </x:c>
      <x:c r="F375" s="13" t="str">
        <x:v>I03 GP_Code!P2596/U2596</x:v>
      </x:c>
      <x:c r="G375" s="13" t="str">
        <x:v>是</x:v>
      </x:c>
      <x:c r="H375" s="12"/>
      <x:c r="I375" s="12"/>
      <x:c r="J375" s="12"/>
      <x:c r="K375" s="12"/>
      <x:c r="L375" s="12"/>
      <x:c r="M375" s="12"/>
      <x:c r="N375" s="12"/>
      <x:c r="O375" s="12"/>
    </x:row>
    <x:row r="376" ht="24" customHeight="1">
      <x:c r="A376" s="13" t="str">
        <x:v>I03</x:v>
      </x:c>
      <x:c r="B376" s="13" t="str">
        <x:v>QHL</x:v>
      </x:c>
      <x:c r="C376" s="13" t="str">
        <x:v>M85005</x:v>
      </x:c>
      <x:c r="D376" s="13" t="n">
        <x:v>124</x:v>
      </x:c>
      <x:c r="E376" s="30" t="n">
        <x:v>75.8</x:v>
      </x:c>
      <x:c r="F376" s="13" t="str">
        <x:v>I03 GP_Code!P2597/U2597</x:v>
      </x:c>
      <x:c r="G376" s="13" t="str">
        <x:v>是</x:v>
      </x:c>
      <x:c r="H376" s="12"/>
      <x:c r="I376" s="12"/>
      <x:c r="J376" s="12"/>
      <x:c r="K376" s="12"/>
      <x:c r="L376" s="12"/>
      <x:c r="M376" s="12"/>
      <x:c r="N376" s="12"/>
      <x:c r="O376" s="12"/>
    </x:row>
    <x:row r="377" ht="24" customHeight="1">
      <x:c r="A377" s="13" t="str">
        <x:v>I03</x:v>
      </x:c>
      <x:c r="B377" s="13" t="str">
        <x:v>QHL</x:v>
      </x:c>
      <x:c r="C377" s="13" t="str">
        <x:v>M85006</x:v>
      </x:c>
      <x:c r="D377" s="13" t="n">
        <x:v>118</x:v>
      </x:c>
      <x:c r="E377" s="30" t="n">
        <x:v>78</x:v>
      </x:c>
      <x:c r="F377" s="13" t="str">
        <x:v>I03 GP_Code!P2598/U2598</x:v>
      </x:c>
      <x:c r="G377" s="13" t="str">
        <x:v>是</x:v>
      </x:c>
      <x:c r="H377" s="12"/>
      <x:c r="I377" s="12"/>
      <x:c r="J377" s="12"/>
      <x:c r="K377" s="12"/>
      <x:c r="L377" s="12"/>
      <x:c r="M377" s="12"/>
      <x:c r="N377" s="12"/>
      <x:c r="O377" s="12"/>
    </x:row>
    <x:row r="378" ht="24" customHeight="1">
      <x:c r="A378" s="13" t="str">
        <x:v>I03</x:v>
      </x:c>
      <x:c r="B378" s="13" t="str">
        <x:v>QHL</x:v>
      </x:c>
      <x:c r="C378" s="13" t="str">
        <x:v>M85007</x:v>
      </x:c>
      <x:c r="D378" s="13" t="n">
        <x:v>188</x:v>
      </x:c>
      <x:c r="E378" s="30" t="n">
        <x:v>77.7</x:v>
      </x:c>
      <x:c r="F378" s="13" t="str">
        <x:v>I03 GP_Code!P2599/U2599</x:v>
      </x:c>
      <x:c r="G378" s="13" t="str">
        <x:v>是</x:v>
      </x:c>
      <x:c r="H378" s="12"/>
      <x:c r="I378" s="12"/>
      <x:c r="J378" s="12"/>
      <x:c r="K378" s="12"/>
      <x:c r="L378" s="12"/>
      <x:c r="M378" s="12"/>
      <x:c r="N378" s="12"/>
      <x:c r="O378" s="12"/>
    </x:row>
    <x:row r="379" ht="24" customHeight="1">
      <x:c r="A379" s="13" t="str">
        <x:v>I03</x:v>
      </x:c>
      <x:c r="B379" s="13" t="str">
        <x:v>QHL</x:v>
      </x:c>
      <x:c r="C379" s="13" t="str">
        <x:v>M85008</x:v>
      </x:c>
      <x:c r="D379" s="13" t="n">
        <x:v>18</x:v>
      </x:c>
      <x:c r="E379" s="30" t="n">
        <x:v>72.2</x:v>
      </x:c>
      <x:c r="F379" s="13" t="str">
        <x:v>I03 GP_Code!P2600/U2600</x:v>
      </x:c>
      <x:c r="G379" s="13" t="str">
        <x:v>否</x:v>
      </x:c>
      <x:c r="H379" s="12"/>
      <x:c r="I379" s="12"/>
      <x:c r="J379" s="12"/>
      <x:c r="K379" s="12"/>
      <x:c r="L379" s="12"/>
      <x:c r="M379" s="12"/>
      <x:c r="N379" s="12"/>
      <x:c r="O379" s="12"/>
    </x:row>
    <x:row r="380" ht="24" customHeight="1">
      <x:c r="A380" s="13" t="str">
        <x:v>I03</x:v>
      </x:c>
      <x:c r="B380" s="13" t="str">
        <x:v>QHL</x:v>
      </x:c>
      <x:c r="C380" s="13" t="str">
        <x:v>M85011</x:v>
      </x:c>
      <x:c r="D380" s="13" t="n">
        <x:v>94</x:v>
      </x:c>
      <x:c r="E380" s="30" t="n">
        <x:v>68.1</x:v>
      </x:c>
      <x:c r="F380" s="13" t="str">
        <x:v>I03 GP_Code!P2601/U2601</x:v>
      </x:c>
      <x:c r="G380" s="13" t="str">
        <x:v>是</x:v>
      </x:c>
      <x:c r="H380" s="12"/>
      <x:c r="I380" s="12"/>
      <x:c r="J380" s="12"/>
      <x:c r="K380" s="12"/>
      <x:c r="L380" s="12"/>
      <x:c r="M380" s="12"/>
      <x:c r="N380" s="12"/>
      <x:c r="O380" s="12"/>
    </x:row>
    <x:row r="381" ht="24" customHeight="1">
      <x:c r="A381" s="13" t="str">
        <x:v>I03</x:v>
      </x:c>
      <x:c r="B381" s="13" t="str">
        <x:v>QHL</x:v>
      </x:c>
      <x:c r="C381" s="13" t="str">
        <x:v>M85013</x:v>
      </x:c>
      <x:c r="D381" s="13" t="n">
        <x:v>33</x:v>
      </x:c>
      <x:c r="E381" s="30" t="n">
        <x:v>84.8</x:v>
      </x:c>
      <x:c r="F381" s="13" t="str">
        <x:v>I03 GP_Code!P2602/U2602</x:v>
      </x:c>
      <x:c r="G381" s="13" t="str">
        <x:v>是</x:v>
      </x:c>
      <x:c r="H381" s="12"/>
      <x:c r="I381" s="12"/>
      <x:c r="J381" s="12"/>
      <x:c r="K381" s="12"/>
      <x:c r="L381" s="12"/>
      <x:c r="M381" s="12"/>
      <x:c r="N381" s="12"/>
      <x:c r="O381" s="12"/>
    </x:row>
    <x:row r="382" ht="24" customHeight="1">
      <x:c r="A382" s="13" t="str">
        <x:v>I03</x:v>
      </x:c>
      <x:c r="B382" s="13" t="str">
        <x:v>QHL</x:v>
      </x:c>
      <x:c r="C382" s="13" t="str">
        <x:v>M85014</x:v>
      </x:c>
      <x:c r="D382" s="13" t="n">
        <x:v>37</x:v>
      </x:c>
      <x:c r="E382" s="30" t="n">
        <x:v>89.2</x:v>
      </x:c>
      <x:c r="F382" s="13" t="str">
        <x:v>I03 GP_Code!P2603/U2603</x:v>
      </x:c>
      <x:c r="G382" s="13" t="str">
        <x:v>是</x:v>
      </x:c>
      <x:c r="H382" s="12"/>
      <x:c r="I382" s="12"/>
      <x:c r="J382" s="12"/>
      <x:c r="K382" s="12"/>
      <x:c r="L382" s="12"/>
      <x:c r="M382" s="12"/>
      <x:c r="N382" s="12"/>
      <x:c r="O382" s="12"/>
    </x:row>
    <x:row r="383" ht="24" customHeight="1">
      <x:c r="A383" s="13" t="str">
        <x:v>I03</x:v>
      </x:c>
      <x:c r="B383" s="13" t="str">
        <x:v>QHL</x:v>
      </x:c>
      <x:c r="C383" s="13" t="str">
        <x:v>M85016</x:v>
      </x:c>
      <x:c r="D383" s="13" t="n">
        <x:v>79</x:v>
      </x:c>
      <x:c r="E383" s="30" t="n">
        <x:v>79.7</x:v>
      </x:c>
      <x:c r="F383" s="13" t="str">
        <x:v>I03 GP_Code!P2604/U2604</x:v>
      </x:c>
      <x:c r="G383" s="13" t="str">
        <x:v>是</x:v>
      </x:c>
      <x:c r="H383" s="12"/>
      <x:c r="I383" s="12"/>
      <x:c r="J383" s="12"/>
      <x:c r="K383" s="12"/>
      <x:c r="L383" s="12"/>
      <x:c r="M383" s="12"/>
      <x:c r="N383" s="12"/>
      <x:c r="O383" s="12"/>
    </x:row>
    <x:row r="384" ht="24" customHeight="1">
      <x:c r="A384" s="13" t="str">
        <x:v>I03</x:v>
      </x:c>
      <x:c r="B384" s="13" t="str">
        <x:v>QHL</x:v>
      </x:c>
      <x:c r="C384" s="13" t="str">
        <x:v>M85018</x:v>
      </x:c>
      <x:c r="D384" s="13" t="n">
        <x:v>136</x:v>
      </x:c>
      <x:c r="E384" s="30" t="n">
        <x:v>91.2</x:v>
      </x:c>
      <x:c r="F384" s="13" t="str">
        <x:v>I03 GP_Code!P2605/U2605</x:v>
      </x:c>
      <x:c r="G384" s="13" t="str">
        <x:v>是</x:v>
      </x:c>
      <x:c r="H384" s="12"/>
      <x:c r="I384" s="12"/>
      <x:c r="J384" s="12"/>
      <x:c r="K384" s="12"/>
      <x:c r="L384" s="12"/>
      <x:c r="M384" s="12"/>
      <x:c r="N384" s="12"/>
      <x:c r="O384" s="12"/>
    </x:row>
    <x:row r="385" ht="24" customHeight="1">
      <x:c r="A385" s="13" t="str">
        <x:v>I03</x:v>
      </x:c>
      <x:c r="B385" s="13" t="str">
        <x:v>QHL</x:v>
      </x:c>
      <x:c r="C385" s="13" t="str">
        <x:v>M85021</x:v>
      </x:c>
      <x:c r="D385" s="13" t="n">
        <x:v>33</x:v>
      </x:c>
      <x:c r="E385" s="30" t="n">
        <x:v>78.8</x:v>
      </x:c>
      <x:c r="F385" s="13" t="str">
        <x:v>I03 GP_Code!P2606/U2606</x:v>
      </x:c>
      <x:c r="G385" s="13" t="str">
        <x:v>是</x:v>
      </x:c>
      <x:c r="H385" s="12"/>
      <x:c r="I385" s="12"/>
      <x:c r="J385" s="12"/>
      <x:c r="K385" s="12"/>
      <x:c r="L385" s="12"/>
      <x:c r="M385" s="12"/>
      <x:c r="N385" s="12"/>
      <x:c r="O385" s="12"/>
    </x:row>
    <x:row r="386" ht="24" customHeight="1">
      <x:c r="A386" s="13" t="str">
        <x:v>I03</x:v>
      </x:c>
      <x:c r="B386" s="13" t="str">
        <x:v>QHL</x:v>
      </x:c>
      <x:c r="C386" s="13" t="str">
        <x:v>M85023</x:v>
      </x:c>
      <x:c r="D386" s="13" t="n">
        <x:v>137</x:v>
      </x:c>
      <x:c r="E386" s="30" t="n">
        <x:v>73.7</x:v>
      </x:c>
      <x:c r="F386" s="13" t="str">
        <x:v>I03 GP_Code!P2607/U2607</x:v>
      </x:c>
      <x:c r="G386" s="13" t="str">
        <x:v>是</x:v>
      </x:c>
      <x:c r="H386" s="12"/>
      <x:c r="I386" s="12"/>
      <x:c r="J386" s="12"/>
      <x:c r="K386" s="12"/>
      <x:c r="L386" s="12"/>
      <x:c r="M386" s="12"/>
      <x:c r="N386" s="12"/>
      <x:c r="O386" s="12"/>
    </x:row>
    <x:row r="387" ht="24" customHeight="1">
      <x:c r="A387" s="13" t="str">
        <x:v>I03</x:v>
      </x:c>
      <x:c r="B387" s="13" t="str">
        <x:v>QHL</x:v>
      </x:c>
      <x:c r="C387" s="13" t="str">
        <x:v>M85024</x:v>
      </x:c>
      <x:c r="D387" s="13" t="n">
        <x:v>106</x:v>
      </x:c>
      <x:c r="E387" s="30" t="n">
        <x:v>81.1</x:v>
      </x:c>
      <x:c r="F387" s="13" t="str">
        <x:v>I03 GP_Code!P2608/U2608</x:v>
      </x:c>
      <x:c r="G387" s="13" t="str">
        <x:v>是</x:v>
      </x:c>
      <x:c r="H387" s="12"/>
      <x:c r="I387" s="12"/>
      <x:c r="J387" s="12"/>
      <x:c r="K387" s="12"/>
      <x:c r="L387" s="12"/>
      <x:c r="M387" s="12"/>
      <x:c r="N387" s="12"/>
      <x:c r="O387" s="12"/>
    </x:row>
    <x:row r="388" ht="24" customHeight="1">
      <x:c r="A388" s="13" t="str">
        <x:v>I03</x:v>
      </x:c>
      <x:c r="B388" s="13" t="str">
        <x:v>QHL</x:v>
      </x:c>
      <x:c r="C388" s="13" t="str">
        <x:v>M85025</x:v>
      </x:c>
      <x:c r="D388" s="13" t="n">
        <x:v>127</x:v>
      </x:c>
      <x:c r="E388" s="30" t="n">
        <x:v>72.4</x:v>
      </x:c>
      <x:c r="F388" s="13" t="str">
        <x:v>I03 GP_Code!P2609/U2609</x:v>
      </x:c>
      <x:c r="G388" s="13" t="str">
        <x:v>是</x:v>
      </x:c>
      <x:c r="H388" s="12"/>
      <x:c r="I388" s="12"/>
      <x:c r="J388" s="12"/>
      <x:c r="K388" s="12"/>
      <x:c r="L388" s="12"/>
      <x:c r="M388" s="12"/>
      <x:c r="N388" s="12"/>
      <x:c r="O388" s="12"/>
    </x:row>
    <x:row r="389" ht="24" customHeight="1">
      <x:c r="A389" s="13" t="str">
        <x:v>I03</x:v>
      </x:c>
      <x:c r="B389" s="13" t="str">
        <x:v>QHL</x:v>
      </x:c>
      <x:c r="C389" s="13" t="str">
        <x:v>M85026</x:v>
      </x:c>
      <x:c r="D389" s="13" t="n">
        <x:v>133</x:v>
      </x:c>
      <x:c r="E389" s="30" t="n">
        <x:v>85</x:v>
      </x:c>
      <x:c r="F389" s="13" t="str">
        <x:v>I03 GP_Code!P2610/U2610</x:v>
      </x:c>
      <x:c r="G389" s="13" t="str">
        <x:v>是</x:v>
      </x:c>
      <x:c r="H389" s="12"/>
      <x:c r="I389" s="12"/>
      <x:c r="J389" s="12"/>
      <x:c r="K389" s="12"/>
      <x:c r="L389" s="12"/>
      <x:c r="M389" s="12"/>
      <x:c r="N389" s="12"/>
      <x:c r="O389" s="12"/>
    </x:row>
    <x:row r="390" ht="24" customHeight="1">
      <x:c r="A390" s="13" t="str">
        <x:v>I03</x:v>
      </x:c>
      <x:c r="B390" s="13" t="str">
        <x:v>QHL</x:v>
      </x:c>
      <x:c r="C390" s="13" t="str">
        <x:v>M85027</x:v>
      </x:c>
      <x:c r="D390" s="13" t="n">
        <x:v>89</x:v>
      </x:c>
      <x:c r="E390" s="30" t="n">
        <x:v>77.5</x:v>
      </x:c>
      <x:c r="F390" s="13" t="str">
        <x:v>I03 GP_Code!P2611/U2611</x:v>
      </x:c>
      <x:c r="G390" s="13" t="str">
        <x:v>是</x:v>
      </x:c>
      <x:c r="H390" s="12"/>
      <x:c r="I390" s="12"/>
      <x:c r="J390" s="12"/>
      <x:c r="K390" s="12"/>
      <x:c r="L390" s="12"/>
      <x:c r="M390" s="12"/>
      <x:c r="N390" s="12"/>
      <x:c r="O390" s="12"/>
    </x:row>
    <x:row r="391" ht="24" customHeight="1">
      <x:c r="A391" s="13" t="str">
        <x:v>I03</x:v>
      </x:c>
      <x:c r="B391" s="13" t="str">
        <x:v>QHL</x:v>
      </x:c>
      <x:c r="C391" s="13" t="str">
        <x:v>M85028</x:v>
      </x:c>
      <x:c r="D391" s="13" t="n">
        <x:v>316</x:v>
      </x:c>
      <x:c r="E391" s="30" t="n">
        <x:v>76.9</x:v>
      </x:c>
      <x:c r="F391" s="13" t="str">
        <x:v>I03 GP_Code!P2612/U2612</x:v>
      </x:c>
      <x:c r="G391" s="13" t="str">
        <x:v>是</x:v>
      </x:c>
      <x:c r="H391" s="12"/>
      <x:c r="I391" s="12"/>
      <x:c r="J391" s="12"/>
      <x:c r="K391" s="12"/>
      <x:c r="L391" s="12"/>
      <x:c r="M391" s="12"/>
      <x:c r="N391" s="12"/>
      <x:c r="O391" s="12"/>
    </x:row>
    <x:row r="392" ht="24" customHeight="1">
      <x:c r="A392" s="13" t="str">
        <x:v>I03</x:v>
      </x:c>
      <x:c r="B392" s="13" t="str">
        <x:v>QHL</x:v>
      </x:c>
      <x:c r="C392" s="13" t="str">
        <x:v>M85029</x:v>
      </x:c>
      <x:c r="D392" s="13" t="n">
        <x:v>171</x:v>
      </x:c>
      <x:c r="E392" s="30" t="n">
        <x:v>88.3</x:v>
      </x:c>
      <x:c r="F392" s="13" t="str">
        <x:v>I03 GP_Code!P2613/U2613</x:v>
      </x:c>
      <x:c r="G392" s="13" t="str">
        <x:v>是</x:v>
      </x:c>
      <x:c r="H392" s="12"/>
      <x:c r="I392" s="12"/>
      <x:c r="J392" s="12"/>
      <x:c r="K392" s="12"/>
      <x:c r="L392" s="12"/>
      <x:c r="M392" s="12"/>
      <x:c r="N392" s="12"/>
      <x:c r="O392" s="12"/>
    </x:row>
    <x:row r="393" ht="24" customHeight="1">
      <x:c r="A393" s="13" t="str">
        <x:v>I03</x:v>
      </x:c>
      <x:c r="B393" s="13" t="str">
        <x:v>QHL</x:v>
      </x:c>
      <x:c r="C393" s="13" t="str">
        <x:v>M85030</x:v>
      </x:c>
      <x:c r="D393" s="13" t="n">
        <x:v>226</x:v>
      </x:c>
      <x:c r="E393" s="30" t="n">
        <x:v>87.6</x:v>
      </x:c>
      <x:c r="F393" s="13" t="str">
        <x:v>I03 GP_Code!P2614/U2614</x:v>
      </x:c>
      <x:c r="G393" s="13" t="str">
        <x:v>是</x:v>
      </x:c>
      <x:c r="H393" s="12"/>
      <x:c r="I393" s="12"/>
      <x:c r="J393" s="12"/>
      <x:c r="K393" s="12"/>
      <x:c r="L393" s="12"/>
      <x:c r="M393" s="12"/>
      <x:c r="N393" s="12"/>
      <x:c r="O393" s="12"/>
    </x:row>
    <x:row r="394" ht="24" customHeight="1">
      <x:c r="A394" s="13" t="str">
        <x:v>I03</x:v>
      </x:c>
      <x:c r="B394" s="13" t="str">
        <x:v>QHL</x:v>
      </x:c>
      <x:c r="C394" s="13" t="str">
        <x:v>M85031</x:v>
      </x:c>
      <x:c r="D394" s="13" t="n">
        <x:v>148</x:v>
      </x:c>
      <x:c r="E394" s="30" t="n">
        <x:v>79.7</x:v>
      </x:c>
      <x:c r="F394" s="13" t="str">
        <x:v>I03 GP_Code!P2615/U2615</x:v>
      </x:c>
      <x:c r="G394" s="13" t="str">
        <x:v>是</x:v>
      </x:c>
      <x:c r="H394" s="12"/>
      <x:c r="I394" s="12"/>
      <x:c r="J394" s="12"/>
      <x:c r="K394" s="12"/>
      <x:c r="L394" s="12"/>
      <x:c r="M394" s="12"/>
      <x:c r="N394" s="12"/>
      <x:c r="O394" s="12"/>
    </x:row>
    <x:row r="395" ht="24" customHeight="1">
      <x:c r="A395" s="13" t="str">
        <x:v>I03</x:v>
      </x:c>
      <x:c r="B395" s="13" t="str">
        <x:v>QHL</x:v>
      </x:c>
      <x:c r="C395" s="13" t="str">
        <x:v>M85033</x:v>
      </x:c>
      <x:c r="D395" s="13" t="n">
        <x:v>217</x:v>
      </x:c>
      <x:c r="E395" s="30" t="n">
        <x:v>96.8</x:v>
      </x:c>
      <x:c r="F395" s="13" t="str">
        <x:v>I03 GP_Code!P2616/U2616</x:v>
      </x:c>
      <x:c r="G395" s="13" t="str">
        <x:v>是</x:v>
      </x:c>
      <x:c r="H395" s="12"/>
      <x:c r="I395" s="12"/>
      <x:c r="J395" s="12"/>
      <x:c r="K395" s="12"/>
      <x:c r="L395" s="12"/>
      <x:c r="M395" s="12"/>
      <x:c r="N395" s="12"/>
      <x:c r="O395" s="12"/>
    </x:row>
    <x:row r="396" ht="24" customHeight="1">
      <x:c r="A396" s="13" t="str">
        <x:v>I03</x:v>
      </x:c>
      <x:c r="B396" s="13" t="str">
        <x:v>QHL</x:v>
      </x:c>
      <x:c r="C396" s="13" t="str">
        <x:v>M85034</x:v>
      </x:c>
      <x:c r="D396" s="13" t="n">
        <x:v>277</x:v>
      </x:c>
      <x:c r="E396" s="30" t="n">
        <x:v>67.1</x:v>
      </x:c>
      <x:c r="F396" s="13" t="str">
        <x:v>I03 GP_Code!P2617/U2617</x:v>
      </x:c>
      <x:c r="G396" s="13" t="str">
        <x:v>是</x:v>
      </x:c>
      <x:c r="H396" s="12"/>
      <x:c r="I396" s="12"/>
      <x:c r="J396" s="12"/>
      <x:c r="K396" s="12"/>
      <x:c r="L396" s="12"/>
      <x:c r="M396" s="12"/>
      <x:c r="N396" s="12"/>
      <x:c r="O396" s="12"/>
    </x:row>
    <x:row r="397" ht="24" customHeight="1">
      <x:c r="A397" s="13" t="str">
        <x:v>I03</x:v>
      </x:c>
      <x:c r="B397" s="13" t="str">
        <x:v>QHL</x:v>
      </x:c>
      <x:c r="C397" s="13" t="str">
        <x:v>M85035</x:v>
      </x:c>
      <x:c r="D397" s="13" t="n">
        <x:v>74</x:v>
      </x:c>
      <x:c r="E397" s="30" t="n">
        <x:v>74.3</x:v>
      </x:c>
      <x:c r="F397" s="13" t="str">
        <x:v>I03 GP_Code!P2618/U2618</x:v>
      </x:c>
      <x:c r="G397" s="13" t="str">
        <x:v>是</x:v>
      </x:c>
      <x:c r="H397" s="12"/>
      <x:c r="I397" s="12"/>
      <x:c r="J397" s="12"/>
      <x:c r="K397" s="12"/>
      <x:c r="L397" s="12"/>
      <x:c r="M397" s="12"/>
      <x:c r="N397" s="12"/>
      <x:c r="O397" s="12"/>
    </x:row>
    <x:row r="398" ht="24" customHeight="1">
      <x:c r="A398" s="13" t="str">
        <x:v>I03</x:v>
      </x:c>
      <x:c r="B398" s="13" t="str">
        <x:v>QHL</x:v>
      </x:c>
      <x:c r="C398" s="13" t="str">
        <x:v>M85037</x:v>
      </x:c>
      <x:c r="D398" s="13" t="n">
        <x:v>105</x:v>
      </x:c>
      <x:c r="E398" s="30" t="n">
        <x:v>84.8</x:v>
      </x:c>
      <x:c r="F398" s="13" t="str">
        <x:v>I03 GP_Code!P2619/U2619</x:v>
      </x:c>
      <x:c r="G398" s="13" t="str">
        <x:v>是</x:v>
      </x:c>
      <x:c r="H398" s="12"/>
      <x:c r="I398" s="12"/>
      <x:c r="J398" s="12"/>
      <x:c r="K398" s="12"/>
      <x:c r="L398" s="12"/>
      <x:c r="M398" s="12"/>
      <x:c r="N398" s="12"/>
      <x:c r="O398" s="12"/>
    </x:row>
    <x:row r="399" ht="24" customHeight="1">
      <x:c r="A399" s="13" t="str">
        <x:v>I03</x:v>
      </x:c>
      <x:c r="B399" s="13" t="str">
        <x:v>QHL</x:v>
      </x:c>
      <x:c r="C399" s="13" t="str">
        <x:v>M85041</x:v>
      </x:c>
      <x:c r="D399" s="13" t="n">
        <x:v>68</x:v>
      </x:c>
      <x:c r="E399" s="30" t="n">
        <x:v>54.4</x:v>
      </x:c>
      <x:c r="F399" s="13" t="str">
        <x:v>I03 GP_Code!P2620/U2620</x:v>
      </x:c>
      <x:c r="G399" s="13" t="str">
        <x:v>是</x:v>
      </x:c>
      <x:c r="H399" s="12"/>
      <x:c r="I399" s="12"/>
      <x:c r="J399" s="12"/>
      <x:c r="K399" s="12"/>
      <x:c r="L399" s="12"/>
      <x:c r="M399" s="12"/>
      <x:c r="N399" s="12"/>
      <x:c r="O399" s="12"/>
    </x:row>
    <x:row r="400" ht="24" customHeight="1">
      <x:c r="A400" s="13" t="str">
        <x:v>I03</x:v>
      </x:c>
      <x:c r="B400" s="13" t="str">
        <x:v>QHL</x:v>
      </x:c>
      <x:c r="C400" s="13" t="str">
        <x:v>M85042</x:v>
      </x:c>
      <x:c r="D400" s="13" t="n">
        <x:v>49</x:v>
      </x:c>
      <x:c r="E400" s="30" t="n">
        <x:v>87.8</x:v>
      </x:c>
      <x:c r="F400" s="13" t="str">
        <x:v>I03 GP_Code!P2621/U2621</x:v>
      </x:c>
      <x:c r="G400" s="13" t="str">
        <x:v>是</x:v>
      </x:c>
      <x:c r="H400" s="12"/>
      <x:c r="I400" s="12"/>
      <x:c r="J400" s="12"/>
      <x:c r="K400" s="12"/>
      <x:c r="L400" s="12"/>
      <x:c r="M400" s="12"/>
      <x:c r="N400" s="12"/>
      <x:c r="O400" s="12"/>
    </x:row>
    <x:row r="401" ht="24" customHeight="1">
      <x:c r="A401" s="13" t="str">
        <x:v>I03</x:v>
      </x:c>
      <x:c r="B401" s="13" t="str">
        <x:v>QHL</x:v>
      </x:c>
      <x:c r="C401" s="13" t="str">
        <x:v>M85043</x:v>
      </x:c>
      <x:c r="D401" s="13" t="n">
        <x:v>53</x:v>
      </x:c>
      <x:c r="E401" s="30" t="n">
        <x:v>77.4</x:v>
      </x:c>
      <x:c r="F401" s="13" t="str">
        <x:v>I03 GP_Code!P2622/U2622</x:v>
      </x:c>
      <x:c r="G401" s="13" t="str">
        <x:v>是</x:v>
      </x:c>
      <x:c r="H401" s="12"/>
      <x:c r="I401" s="12"/>
      <x:c r="J401" s="12"/>
      <x:c r="K401" s="12"/>
      <x:c r="L401" s="12"/>
      <x:c r="M401" s="12"/>
      <x:c r="N401" s="12"/>
      <x:c r="O401" s="12"/>
    </x:row>
    <x:row r="402" ht="24" customHeight="1">
      <x:c r="A402" s="13" t="str">
        <x:v>I03</x:v>
      </x:c>
      <x:c r="B402" s="13" t="str">
        <x:v>QHL</x:v>
      </x:c>
      <x:c r="C402" s="13" t="str">
        <x:v>M85046</x:v>
      </x:c>
      <x:c r="D402" s="13" t="n">
        <x:v>616</x:v>
      </x:c>
      <x:c r="E402" s="30" t="n">
        <x:v>86.5</x:v>
      </x:c>
      <x:c r="F402" s="13" t="str">
        <x:v>I03 GP_Code!P2623/U2623</x:v>
      </x:c>
      <x:c r="G402" s="13" t="str">
        <x:v>是</x:v>
      </x:c>
      <x:c r="H402" s="12"/>
      <x:c r="I402" s="12"/>
      <x:c r="J402" s="12"/>
      <x:c r="K402" s="12"/>
      <x:c r="L402" s="12"/>
      <x:c r="M402" s="12"/>
      <x:c r="N402" s="12"/>
      <x:c r="O402" s="12"/>
    </x:row>
    <x:row r="403" ht="24" customHeight="1">
      <x:c r="A403" s="13" t="str">
        <x:v>I03</x:v>
      </x:c>
      <x:c r="B403" s="13" t="str">
        <x:v>QHL</x:v>
      </x:c>
      <x:c r="C403" s="13" t="str">
        <x:v>M85047</x:v>
      </x:c>
      <x:c r="D403" s="13" t="n">
        <x:v>75</x:v>
      </x:c>
      <x:c r="E403" s="30" t="n">
        <x:v>26.7</x:v>
      </x:c>
      <x:c r="F403" s="13" t="str">
        <x:v>I03 GP_Code!P2624/U2624</x:v>
      </x:c>
      <x:c r="G403" s="13" t="str">
        <x:v>是</x:v>
      </x:c>
      <x:c r="H403" s="12"/>
      <x:c r="I403" s="12"/>
      <x:c r="J403" s="12"/>
      <x:c r="K403" s="12"/>
      <x:c r="L403" s="12"/>
      <x:c r="M403" s="12"/>
      <x:c r="N403" s="12"/>
      <x:c r="O403" s="12"/>
    </x:row>
    <x:row r="404" ht="24" customHeight="1">
      <x:c r="A404" s="13" t="str">
        <x:v>I03</x:v>
      </x:c>
      <x:c r="B404" s="13" t="str">
        <x:v>QHL</x:v>
      </x:c>
      <x:c r="C404" s="13" t="str">
        <x:v>M85048</x:v>
      </x:c>
      <x:c r="D404" s="13" t="n">
        <x:v>121</x:v>
      </x:c>
      <x:c r="E404" s="30" t="n">
        <x:v>66.9</x:v>
      </x:c>
      <x:c r="F404" s="13" t="str">
        <x:v>I03 GP_Code!P2625/U2625</x:v>
      </x:c>
      <x:c r="G404" s="13" t="str">
        <x:v>是</x:v>
      </x:c>
      <x:c r="H404" s="12"/>
      <x:c r="I404" s="12"/>
      <x:c r="J404" s="12"/>
      <x:c r="K404" s="12"/>
      <x:c r="L404" s="12"/>
      <x:c r="M404" s="12"/>
      <x:c r="N404" s="12"/>
      <x:c r="O404" s="12"/>
    </x:row>
    <x:row r="405" ht="24" customHeight="1">
      <x:c r="A405" s="13" t="str">
        <x:v>I03</x:v>
      </x:c>
      <x:c r="B405" s="13" t="str">
        <x:v>QHL</x:v>
      </x:c>
      <x:c r="C405" s="13" t="str">
        <x:v>M85051</x:v>
      </x:c>
      <x:c r="D405" s="13" t="n">
        <x:v>80</x:v>
      </x:c>
      <x:c r="E405" s="30" t="n">
        <x:v>76.3</x:v>
      </x:c>
      <x:c r="F405" s="13" t="str">
        <x:v>I03 GP_Code!P2626/U2626</x:v>
      </x:c>
      <x:c r="G405" s="13" t="str">
        <x:v>是</x:v>
      </x:c>
      <x:c r="H405" s="12"/>
      <x:c r="I405" s="12"/>
      <x:c r="J405" s="12"/>
      <x:c r="K405" s="12"/>
      <x:c r="L405" s="12"/>
      <x:c r="M405" s="12"/>
      <x:c r="N405" s="12"/>
      <x:c r="O405" s="12"/>
    </x:row>
    <x:row r="406" ht="24" customHeight="1">
      <x:c r="A406" s="13" t="str">
        <x:v>I03</x:v>
      </x:c>
      <x:c r="B406" s="13" t="str">
        <x:v>QHL</x:v>
      </x:c>
      <x:c r="C406" s="13" t="str">
        <x:v>M85053</x:v>
      </x:c>
      <x:c r="D406" s="13" t="n">
        <x:v>116</x:v>
      </x:c>
      <x:c r="E406" s="30" t="n">
        <x:v>70.7</x:v>
      </x:c>
      <x:c r="F406" s="13" t="str">
        <x:v>I03 GP_Code!P2627/U2627</x:v>
      </x:c>
      <x:c r="G406" s="13" t="str">
        <x:v>是</x:v>
      </x:c>
      <x:c r="H406" s="12"/>
      <x:c r="I406" s="12"/>
      <x:c r="J406" s="12"/>
      <x:c r="K406" s="12"/>
      <x:c r="L406" s="12"/>
      <x:c r="M406" s="12"/>
      <x:c r="N406" s="12"/>
      <x:c r="O406" s="12"/>
    </x:row>
    <x:row r="407" ht="24" customHeight="1">
      <x:c r="A407" s="13" t="str">
        <x:v>I03</x:v>
      </x:c>
      <x:c r="B407" s="13" t="str">
        <x:v>QHL</x:v>
      </x:c>
      <x:c r="C407" s="13" t="str">
        <x:v>M85055</x:v>
      </x:c>
      <x:c r="D407" s="13" t="n">
        <x:v>83</x:v>
      </x:c>
      <x:c r="E407" s="30" t="n">
        <x:v>71.1</x:v>
      </x:c>
      <x:c r="F407" s="13" t="str">
        <x:v>I03 GP_Code!P2628/U2628</x:v>
      </x:c>
      <x:c r="G407" s="13" t="str">
        <x:v>是</x:v>
      </x:c>
      <x:c r="H407" s="12"/>
      <x:c r="I407" s="12"/>
      <x:c r="J407" s="12"/>
      <x:c r="K407" s="12"/>
      <x:c r="L407" s="12"/>
      <x:c r="M407" s="12"/>
      <x:c r="N407" s="12"/>
      <x:c r="O407" s="12"/>
    </x:row>
    <x:row r="408" ht="24" customHeight="1">
      <x:c r="A408" s="13" t="str">
        <x:v>I03</x:v>
      </x:c>
      <x:c r="B408" s="13" t="str">
        <x:v>QHL</x:v>
      </x:c>
      <x:c r="C408" s="13" t="str">
        <x:v>M85056</x:v>
      </x:c>
      <x:c r="D408" s="13" t="n">
        <x:v>90</x:v>
      </x:c>
      <x:c r="E408" s="30" t="n">
        <x:v>74.4</x:v>
      </x:c>
      <x:c r="F408" s="13" t="str">
        <x:v>I03 GP_Code!P2629/U2629</x:v>
      </x:c>
      <x:c r="G408" s="13" t="str">
        <x:v>是</x:v>
      </x:c>
      <x:c r="H408" s="12"/>
      <x:c r="I408" s="12"/>
      <x:c r="J408" s="12"/>
      <x:c r="K408" s="12"/>
      <x:c r="L408" s="12"/>
      <x:c r="M408" s="12"/>
      <x:c r="N408" s="12"/>
      <x:c r="O408" s="12"/>
    </x:row>
    <x:row r="409" ht="24" customHeight="1">
      <x:c r="A409" s="13" t="str">
        <x:v>I03</x:v>
      </x:c>
      <x:c r="B409" s="13" t="str">
        <x:v>QHL</x:v>
      </x:c>
      <x:c r="C409" s="13" t="str">
        <x:v>M85058</x:v>
      </x:c>
      <x:c r="D409" s="13" t="n">
        <x:v>175</x:v>
      </x:c>
      <x:c r="E409" s="30" t="n">
        <x:v>70.9</x:v>
      </x:c>
      <x:c r="F409" s="13" t="str">
        <x:v>I03 GP_Code!P2630/U2630</x:v>
      </x:c>
      <x:c r="G409" s="13" t="str">
        <x:v>是</x:v>
      </x:c>
      <x:c r="H409" s="12"/>
      <x:c r="I409" s="12"/>
      <x:c r="J409" s="12"/>
      <x:c r="K409" s="12"/>
      <x:c r="L409" s="12"/>
      <x:c r="M409" s="12"/>
      <x:c r="N409" s="12"/>
      <x:c r="O409" s="12"/>
    </x:row>
    <x:row r="410" ht="24" customHeight="1">
      <x:c r="A410" s="13" t="str">
        <x:v>I03</x:v>
      </x:c>
      <x:c r="B410" s="13" t="str">
        <x:v>QHL</x:v>
      </x:c>
      <x:c r="C410" s="13" t="str">
        <x:v>M85060</x:v>
      </x:c>
      <x:c r="D410" s="13" t="n">
        <x:v>128</x:v>
      </x:c>
      <x:c r="E410" s="30" t="n">
        <x:v>86.7</x:v>
      </x:c>
      <x:c r="F410" s="13" t="str">
        <x:v>I03 GP_Code!P2631/U2631</x:v>
      </x:c>
      <x:c r="G410" s="13" t="str">
        <x:v>是</x:v>
      </x:c>
      <x:c r="H410" s="12"/>
      <x:c r="I410" s="12"/>
      <x:c r="J410" s="12"/>
      <x:c r="K410" s="12"/>
      <x:c r="L410" s="12"/>
      <x:c r="M410" s="12"/>
      <x:c r="N410" s="12"/>
      <x:c r="O410" s="12"/>
    </x:row>
    <x:row r="411" ht="24" customHeight="1">
      <x:c r="A411" s="13" t="str">
        <x:v>I03</x:v>
      </x:c>
      <x:c r="B411" s="13" t="str">
        <x:v>QHL</x:v>
      </x:c>
      <x:c r="C411" s="13" t="str">
        <x:v>M85061</x:v>
      </x:c>
      <x:c r="D411" s="13" t="n">
        <x:v>151</x:v>
      </x:c>
      <x:c r="E411" s="30" t="n">
        <x:v>62.3</x:v>
      </x:c>
      <x:c r="F411" s="13" t="str">
        <x:v>I03 GP_Code!P2632/U2632</x:v>
      </x:c>
      <x:c r="G411" s="13" t="str">
        <x:v>是</x:v>
      </x:c>
      <x:c r="H411" s="12"/>
      <x:c r="I411" s="12"/>
      <x:c r="J411" s="12"/>
      <x:c r="K411" s="12"/>
      <x:c r="L411" s="12"/>
      <x:c r="M411" s="12"/>
      <x:c r="N411" s="12"/>
      <x:c r="O411" s="12"/>
    </x:row>
    <x:row r="412" ht="24" customHeight="1">
      <x:c r="A412" s="13" t="str">
        <x:v>I03</x:v>
      </x:c>
      <x:c r="B412" s="13" t="str">
        <x:v>QHL</x:v>
      </x:c>
      <x:c r="C412" s="13" t="str">
        <x:v>M85062</x:v>
      </x:c>
      <x:c r="D412" s="13" t="n">
        <x:v>65</x:v>
      </x:c>
      <x:c r="E412" s="30" t="n">
        <x:v>69.2</x:v>
      </x:c>
      <x:c r="F412" s="13" t="str">
        <x:v>I03 GP_Code!P2633/U2633</x:v>
      </x:c>
      <x:c r="G412" s="13" t="str">
        <x:v>是</x:v>
      </x:c>
      <x:c r="H412" s="12"/>
      <x:c r="I412" s="12"/>
      <x:c r="J412" s="12"/>
      <x:c r="K412" s="12"/>
      <x:c r="L412" s="12"/>
      <x:c r="M412" s="12"/>
      <x:c r="N412" s="12"/>
      <x:c r="O412" s="12"/>
    </x:row>
    <x:row r="413" ht="24" customHeight="1">
      <x:c r="A413" s="13" t="str">
        <x:v>I03</x:v>
      </x:c>
      <x:c r="B413" s="13" t="str">
        <x:v>QHL</x:v>
      </x:c>
      <x:c r="C413" s="13" t="str">
        <x:v>M85063</x:v>
      </x:c>
      <x:c r="D413" s="13" t="n">
        <x:v>630</x:v>
      </x:c>
      <x:c r="E413" s="30" t="n">
        <x:v>82.5</x:v>
      </x:c>
      <x:c r="F413" s="13" t="str">
        <x:v>I03 GP_Code!P2634/U2634</x:v>
      </x:c>
      <x:c r="G413" s="13" t="str">
        <x:v>是</x:v>
      </x:c>
      <x:c r="H413" s="12"/>
      <x:c r="I413" s="12"/>
      <x:c r="J413" s="12"/>
      <x:c r="K413" s="12"/>
      <x:c r="L413" s="12"/>
      <x:c r="M413" s="12"/>
      <x:c r="N413" s="12"/>
      <x:c r="O413" s="12"/>
    </x:row>
    <x:row r="414" ht="24" customHeight="1">
      <x:c r="A414" s="13" t="str">
        <x:v>I03</x:v>
      </x:c>
      <x:c r="B414" s="13" t="str">
        <x:v>QHL</x:v>
      </x:c>
      <x:c r="C414" s="13" t="str">
        <x:v>M85065</x:v>
      </x:c>
      <x:c r="D414" s="13" t="n">
        <x:v>182</x:v>
      </x:c>
      <x:c r="E414" s="30" t="n">
        <x:v>81.3</x:v>
      </x:c>
      <x:c r="F414" s="13" t="str">
        <x:v>I03 GP_Code!P2635/U2635</x:v>
      </x:c>
      <x:c r="G414" s="13" t="str">
        <x:v>是</x:v>
      </x:c>
      <x:c r="H414" s="12"/>
      <x:c r="I414" s="12"/>
      <x:c r="J414" s="12"/>
      <x:c r="K414" s="12"/>
      <x:c r="L414" s="12"/>
      <x:c r="M414" s="12"/>
      <x:c r="N414" s="12"/>
      <x:c r="O414" s="12"/>
    </x:row>
    <x:row r="415" ht="24" customHeight="1">
      <x:c r="A415" s="13" t="str">
        <x:v>I03</x:v>
      </x:c>
      <x:c r="B415" s="13" t="str">
        <x:v>QHL</x:v>
      </x:c>
      <x:c r="C415" s="13" t="str">
        <x:v>M85066</x:v>
      </x:c>
      <x:c r="D415" s="13" t="n">
        <x:v>103</x:v>
      </x:c>
      <x:c r="E415" s="30" t="n">
        <x:v>87.4</x:v>
      </x:c>
      <x:c r="F415" s="13" t="str">
        <x:v>I03 GP_Code!P2636/U2636</x:v>
      </x:c>
      <x:c r="G415" s="13" t="str">
        <x:v>是</x:v>
      </x:c>
      <x:c r="H415" s="12"/>
      <x:c r="I415" s="12"/>
      <x:c r="J415" s="12"/>
      <x:c r="K415" s="12"/>
      <x:c r="L415" s="12"/>
      <x:c r="M415" s="12"/>
      <x:c r="N415" s="12"/>
      <x:c r="O415" s="12"/>
    </x:row>
    <x:row r="416" ht="24" customHeight="1">
      <x:c r="A416" s="13" t="str">
        <x:v>I03</x:v>
      </x:c>
      <x:c r="B416" s="13" t="str">
        <x:v>QHL</x:v>
      </x:c>
      <x:c r="C416" s="13" t="str">
        <x:v>M85070</x:v>
      </x:c>
      <x:c r="D416" s="13" t="n">
        <x:v>168</x:v>
      </x:c>
      <x:c r="E416" s="30" t="n">
        <x:v>72.6</x:v>
      </x:c>
      <x:c r="F416" s="13" t="str">
        <x:v>I03 GP_Code!P2637/U2637</x:v>
      </x:c>
      <x:c r="G416" s="13" t="str">
        <x:v>是</x:v>
      </x:c>
      <x:c r="H416" s="12"/>
      <x:c r="I416" s="12"/>
      <x:c r="J416" s="12"/>
      <x:c r="K416" s="12"/>
      <x:c r="L416" s="12"/>
      <x:c r="M416" s="12"/>
      <x:c r="N416" s="12"/>
      <x:c r="O416" s="12"/>
    </x:row>
    <x:row r="417" ht="24" customHeight="1">
      <x:c r="A417" s="13" t="str">
        <x:v>I03</x:v>
      </x:c>
      <x:c r="B417" s="13" t="str">
        <x:v>QHL</x:v>
      </x:c>
      <x:c r="C417" s="13" t="str">
        <x:v>M85071</x:v>
      </x:c>
      <x:c r="D417" s="13" t="n">
        <x:v>72</x:v>
      </x:c>
      <x:c r="E417" s="30" t="n">
        <x:v>80.6</x:v>
      </x:c>
      <x:c r="F417" s="13" t="str">
        <x:v>I03 GP_Code!P2638/U2638</x:v>
      </x:c>
      <x:c r="G417" s="13" t="str">
        <x:v>是</x:v>
      </x:c>
      <x:c r="H417" s="12"/>
      <x:c r="I417" s="12"/>
      <x:c r="J417" s="12"/>
      <x:c r="K417" s="12"/>
      <x:c r="L417" s="12"/>
      <x:c r="M417" s="12"/>
      <x:c r="N417" s="12"/>
      <x:c r="O417" s="12"/>
    </x:row>
    <x:row r="418" ht="24" customHeight="1">
      <x:c r="A418" s="13" t="str">
        <x:v>I03</x:v>
      </x:c>
      <x:c r="B418" s="13" t="str">
        <x:v>QHL</x:v>
      </x:c>
      <x:c r="C418" s="13" t="str">
        <x:v>M85074</x:v>
      </x:c>
      <x:c r="D418" s="13" t="n">
        <x:v>65</x:v>
      </x:c>
      <x:c r="E418" s="30" t="n">
        <x:v>78.5</x:v>
      </x:c>
      <x:c r="F418" s="13" t="str">
        <x:v>I03 GP_Code!P2639/U2639</x:v>
      </x:c>
      <x:c r="G418" s="13" t="str">
        <x:v>是</x:v>
      </x:c>
      <x:c r="H418" s="12"/>
      <x:c r="I418" s="12"/>
      <x:c r="J418" s="12"/>
      <x:c r="K418" s="12"/>
      <x:c r="L418" s="12"/>
      <x:c r="M418" s="12"/>
      <x:c r="N418" s="12"/>
      <x:c r="O418" s="12"/>
    </x:row>
    <x:row r="419" ht="24" customHeight="1">
      <x:c r="A419" s="13" t="str">
        <x:v>I03</x:v>
      </x:c>
      <x:c r="B419" s="13" t="str">
        <x:v>QHL</x:v>
      </x:c>
      <x:c r="C419" s="13" t="str">
        <x:v>M85076</x:v>
      </x:c>
      <x:c r="D419" s="13" t="n">
        <x:v>93</x:v>
      </x:c>
      <x:c r="E419" s="30" t="n">
        <x:v>84.9</x:v>
      </x:c>
      <x:c r="F419" s="13" t="str">
        <x:v>I03 GP_Code!P2640/U2640</x:v>
      </x:c>
      <x:c r="G419" s="13" t="str">
        <x:v>是</x:v>
      </x:c>
      <x:c r="H419" s="12"/>
      <x:c r="I419" s="12"/>
      <x:c r="J419" s="12"/>
      <x:c r="K419" s="12"/>
      <x:c r="L419" s="12"/>
      <x:c r="M419" s="12"/>
      <x:c r="N419" s="12"/>
      <x:c r="O419" s="12"/>
    </x:row>
    <x:row r="420" ht="24" customHeight="1">
      <x:c r="A420" s="13" t="str">
        <x:v>I03</x:v>
      </x:c>
      <x:c r="B420" s="13" t="str">
        <x:v>QHL</x:v>
      </x:c>
      <x:c r="C420" s="13" t="str">
        <x:v>M85077</x:v>
      </x:c>
      <x:c r="D420" s="13" t="n">
        <x:v>97</x:v>
      </x:c>
      <x:c r="E420" s="30" t="n">
        <x:v>88.7</x:v>
      </x:c>
      <x:c r="F420" s="13" t="str">
        <x:v>I03 GP_Code!P2641/U2641</x:v>
      </x:c>
      <x:c r="G420" s="13" t="str">
        <x:v>是</x:v>
      </x:c>
      <x:c r="H420" s="12"/>
      <x:c r="I420" s="12"/>
      <x:c r="J420" s="12"/>
      <x:c r="K420" s="12"/>
      <x:c r="L420" s="12"/>
      <x:c r="M420" s="12"/>
      <x:c r="N420" s="12"/>
      <x:c r="O420" s="12"/>
    </x:row>
    <x:row r="421" ht="24" customHeight="1">
      <x:c r="A421" s="13" t="str">
        <x:v>I03</x:v>
      </x:c>
      <x:c r="B421" s="13" t="str">
        <x:v>QHL</x:v>
      </x:c>
      <x:c r="C421" s="13" t="str">
        <x:v>M85078</x:v>
      </x:c>
      <x:c r="D421" s="13" t="n">
        <x:v>152</x:v>
      </x:c>
      <x:c r="E421" s="30" t="n">
        <x:v>80.9</x:v>
      </x:c>
      <x:c r="F421" s="13" t="str">
        <x:v>I03 GP_Code!P2642/U2642</x:v>
      </x:c>
      <x:c r="G421" s="13" t="str">
        <x:v>是</x:v>
      </x:c>
      <x:c r="H421" s="12"/>
      <x:c r="I421" s="12"/>
      <x:c r="J421" s="12"/>
      <x:c r="K421" s="12"/>
      <x:c r="L421" s="12"/>
      <x:c r="M421" s="12"/>
      <x:c r="N421" s="12"/>
      <x:c r="O421" s="12"/>
    </x:row>
    <x:row r="422" ht="24" customHeight="1">
      <x:c r="A422" s="13" t="str">
        <x:v>I03</x:v>
      </x:c>
      <x:c r="B422" s="13" t="str">
        <x:v>QHL</x:v>
      </x:c>
      <x:c r="C422" s="13" t="str">
        <x:v>M85079</x:v>
      </x:c>
      <x:c r="D422" s="13" t="n">
        <x:v>131</x:v>
      </x:c>
      <x:c r="E422" s="30" t="n">
        <x:v>74.8</x:v>
      </x:c>
      <x:c r="F422" s="13" t="str">
        <x:v>I03 GP_Code!P2643/U2643</x:v>
      </x:c>
      <x:c r="G422" s="13" t="str">
        <x:v>是</x:v>
      </x:c>
      <x:c r="H422" s="12"/>
      <x:c r="I422" s="12"/>
      <x:c r="J422" s="12"/>
      <x:c r="K422" s="12"/>
      <x:c r="L422" s="12"/>
      <x:c r="M422" s="12"/>
      <x:c r="N422" s="12"/>
      <x:c r="O422" s="12"/>
    </x:row>
    <x:row r="423" ht="24" customHeight="1">
      <x:c r="A423" s="13" t="str">
        <x:v>I03</x:v>
      </x:c>
      <x:c r="B423" s="13" t="str">
        <x:v>QHL</x:v>
      </x:c>
      <x:c r="C423" s="13" t="str">
        <x:v>M85081</x:v>
      </x:c>
      <x:c r="D423" s="13" t="n">
        <x:v>132</x:v>
      </x:c>
      <x:c r="E423" s="30" t="n">
        <x:v>86.4</x:v>
      </x:c>
      <x:c r="F423" s="13" t="str">
        <x:v>I03 GP_Code!P2644/U2644</x:v>
      </x:c>
      <x:c r="G423" s="13" t="str">
        <x:v>是</x:v>
      </x:c>
      <x:c r="H423" s="12"/>
      <x:c r="I423" s="12"/>
      <x:c r="J423" s="12"/>
      <x:c r="K423" s="12"/>
      <x:c r="L423" s="12"/>
      <x:c r="M423" s="12"/>
      <x:c r="N423" s="12"/>
      <x:c r="O423" s="12"/>
    </x:row>
    <x:row r="424" ht="24" customHeight="1">
      <x:c r="A424" s="13" t="str">
        <x:v>I03</x:v>
      </x:c>
      <x:c r="B424" s="13" t="str">
        <x:v>QHL</x:v>
      </x:c>
      <x:c r="C424" s="13" t="str">
        <x:v>M85084</x:v>
      </x:c>
      <x:c r="D424" s="13" t="n">
        <x:v>88</x:v>
      </x:c>
      <x:c r="E424" s="30" t="n">
        <x:v>65.9</x:v>
      </x:c>
      <x:c r="F424" s="13" t="str">
        <x:v>I03 GP_Code!P2645/U2645</x:v>
      </x:c>
      <x:c r="G424" s="13" t="str">
        <x:v>是</x:v>
      </x:c>
      <x:c r="H424" s="12"/>
      <x:c r="I424" s="12"/>
      <x:c r="J424" s="12"/>
      <x:c r="K424" s="12"/>
      <x:c r="L424" s="12"/>
      <x:c r="M424" s="12"/>
      <x:c r="N424" s="12"/>
      <x:c r="O424" s="12"/>
    </x:row>
    <x:row r="425" ht="24" customHeight="1">
      <x:c r="A425" s="13" t="str">
        <x:v>I03</x:v>
      </x:c>
      <x:c r="B425" s="13" t="str">
        <x:v>QHL</x:v>
      </x:c>
      <x:c r="C425" s="13" t="str">
        <x:v>M85086</x:v>
      </x:c>
      <x:c r="D425" s="13" t="n">
        <x:v>157</x:v>
      </x:c>
      <x:c r="E425" s="30" t="n">
        <x:v>84.1</x:v>
      </x:c>
      <x:c r="F425" s="13" t="str">
        <x:v>I03 GP_Code!P2646/U2646</x:v>
      </x:c>
      <x:c r="G425" s="13" t="str">
        <x:v>是</x:v>
      </x:c>
      <x:c r="H425" s="12"/>
      <x:c r="I425" s="12"/>
      <x:c r="J425" s="12"/>
      <x:c r="K425" s="12"/>
      <x:c r="L425" s="12"/>
      <x:c r="M425" s="12"/>
      <x:c r="N425" s="12"/>
      <x:c r="O425" s="12"/>
    </x:row>
    <x:row r="426" ht="24" customHeight="1">
      <x:c r="A426" s="13" t="str">
        <x:v>I03</x:v>
      </x:c>
      <x:c r="B426" s="13" t="str">
        <x:v>QHL</x:v>
      </x:c>
      <x:c r="C426" s="13" t="str">
        <x:v>M85087</x:v>
      </x:c>
      <x:c r="D426" s="13" t="n">
        <x:v>150</x:v>
      </x:c>
      <x:c r="E426" s="30" t="n">
        <x:v>80.7</x:v>
      </x:c>
      <x:c r="F426" s="13" t="str">
        <x:v>I03 GP_Code!P2647/U2647</x:v>
      </x:c>
      <x:c r="G426" s="13" t="str">
        <x:v>是</x:v>
      </x:c>
      <x:c r="H426" s="12"/>
      <x:c r="I426" s="12"/>
      <x:c r="J426" s="12"/>
      <x:c r="K426" s="12"/>
      <x:c r="L426" s="12"/>
      <x:c r="M426" s="12"/>
      <x:c r="N426" s="12"/>
      <x:c r="O426" s="12"/>
    </x:row>
    <x:row r="427" ht="24" customHeight="1">
      <x:c r="A427" s="13" t="str">
        <x:v>I03</x:v>
      </x:c>
      <x:c r="B427" s="13" t="str">
        <x:v>QHL</x:v>
      </x:c>
      <x:c r="C427" s="13" t="str">
        <x:v>M85088</x:v>
      </x:c>
      <x:c r="D427" s="13" t="n">
        <x:v>164</x:v>
      </x:c>
      <x:c r="E427" s="30" t="n">
        <x:v>64.6</x:v>
      </x:c>
      <x:c r="F427" s="13" t="str">
        <x:v>I03 GP_Code!P2648/U2648</x:v>
      </x:c>
      <x:c r="G427" s="13" t="str">
        <x:v>是</x:v>
      </x:c>
      <x:c r="H427" s="12"/>
      <x:c r="I427" s="12"/>
      <x:c r="J427" s="12"/>
      <x:c r="K427" s="12"/>
      <x:c r="L427" s="12"/>
      <x:c r="M427" s="12"/>
      <x:c r="N427" s="12"/>
      <x:c r="O427" s="12"/>
    </x:row>
    <x:row r="428" ht="24" customHeight="1">
      <x:c r="A428" s="13" t="str">
        <x:v>I03</x:v>
      </x:c>
      <x:c r="B428" s="13" t="str">
        <x:v>QHL</x:v>
      </x:c>
      <x:c r="C428" s="13" t="str">
        <x:v>M85094</x:v>
      </x:c>
      <x:c r="D428" s="13" t="n">
        <x:v>29</x:v>
      </x:c>
      <x:c r="E428" s="30" t="n">
        <x:v>75.9</x:v>
      </x:c>
      <x:c r="F428" s="13" t="str">
        <x:v>I03 GP_Code!P2649/U2649</x:v>
      </x:c>
      <x:c r="G428" s="13" t="str">
        <x:v>是</x:v>
      </x:c>
      <x:c r="H428" s="12"/>
      <x:c r="I428" s="12"/>
      <x:c r="J428" s="12"/>
      <x:c r="K428" s="12"/>
      <x:c r="L428" s="12"/>
      <x:c r="M428" s="12"/>
      <x:c r="N428" s="12"/>
      <x:c r="O428" s="12"/>
    </x:row>
    <x:row r="429" ht="24" customHeight="1">
      <x:c r="A429" s="13" t="str">
        <x:v>I03</x:v>
      </x:c>
      <x:c r="B429" s="13" t="str">
        <x:v>QHL</x:v>
      </x:c>
      <x:c r="C429" s="13" t="str">
        <x:v>M85097</x:v>
      </x:c>
      <x:c r="D429" s="13" t="n">
        <x:v>24</x:v>
      </x:c>
      <x:c r="E429" s="30" t="n">
        <x:v>100</x:v>
      </x:c>
      <x:c r="F429" s="13" t="str">
        <x:v>I03 GP_Code!P2650/U2650</x:v>
      </x:c>
      <x:c r="G429" s="13" t="str">
        <x:v>是</x:v>
      </x:c>
      <x:c r="H429" s="12"/>
      <x:c r="I429" s="12"/>
      <x:c r="J429" s="12"/>
      <x:c r="K429" s="12"/>
      <x:c r="L429" s="12"/>
      <x:c r="M429" s="12"/>
      <x:c r="N429" s="12"/>
      <x:c r="O429" s="12"/>
    </x:row>
    <x:row r="430" ht="24" customHeight="1">
      <x:c r="A430" s="13" t="str">
        <x:v>I03</x:v>
      </x:c>
      <x:c r="B430" s="13" t="str">
        <x:v>QHL</x:v>
      </x:c>
      <x:c r="C430" s="13" t="str">
        <x:v>M85105</x:v>
      </x:c>
      <x:c r="D430" s="13" t="n">
        <x:v>70</x:v>
      </x:c>
      <x:c r="E430" s="30" t="n">
        <x:v>80</x:v>
      </x:c>
      <x:c r="F430" s="13" t="str">
        <x:v>I03 GP_Code!P2651/U2651</x:v>
      </x:c>
      <x:c r="G430" s="13" t="str">
        <x:v>是</x:v>
      </x:c>
      <x:c r="H430" s="12"/>
      <x:c r="I430" s="12"/>
      <x:c r="J430" s="12"/>
      <x:c r="K430" s="12"/>
      <x:c r="L430" s="12"/>
      <x:c r="M430" s="12"/>
      <x:c r="N430" s="12"/>
      <x:c r="O430" s="12"/>
    </x:row>
    <x:row r="431" ht="24" customHeight="1">
      <x:c r="A431" s="13" t="str">
        <x:v>I03</x:v>
      </x:c>
      <x:c r="B431" s="13" t="str">
        <x:v>QHL</x:v>
      </x:c>
      <x:c r="C431" s="13" t="str">
        <x:v>M85107</x:v>
      </x:c>
      <x:c r="D431" s="13" t="n">
        <x:v>36</x:v>
      </x:c>
      <x:c r="E431" s="30" t="n">
        <x:v>75</x:v>
      </x:c>
      <x:c r="F431" s="13" t="str">
        <x:v>I03 GP_Code!P2652/U2652</x:v>
      </x:c>
      <x:c r="G431" s="13" t="str">
        <x:v>是</x:v>
      </x:c>
      <x:c r="H431" s="12"/>
      <x:c r="I431" s="12"/>
      <x:c r="J431" s="12"/>
      <x:c r="K431" s="12"/>
      <x:c r="L431" s="12"/>
      <x:c r="M431" s="12"/>
      <x:c r="N431" s="12"/>
      <x:c r="O431" s="12"/>
    </x:row>
    <x:row r="432" ht="24" customHeight="1">
      <x:c r="A432" s="13" t="str">
        <x:v>I03</x:v>
      </x:c>
      <x:c r="B432" s="13" t="str">
        <x:v>QHL</x:v>
      </x:c>
      <x:c r="C432" s="13" t="str">
        <x:v>M85108</x:v>
      </x:c>
      <x:c r="D432" s="13" t="n">
        <x:v>109</x:v>
      </x:c>
      <x:c r="E432" s="30" t="n">
        <x:v>53.2</x:v>
      </x:c>
      <x:c r="F432" s="13" t="str">
        <x:v>I03 GP_Code!P2653/U2653</x:v>
      </x:c>
      <x:c r="G432" s="13" t="str">
        <x:v>是</x:v>
      </x:c>
      <x:c r="H432" s="12"/>
      <x:c r="I432" s="12"/>
      <x:c r="J432" s="12"/>
      <x:c r="K432" s="12"/>
      <x:c r="L432" s="12"/>
      <x:c r="M432" s="12"/>
      <x:c r="N432" s="12"/>
      <x:c r="O432" s="12"/>
    </x:row>
    <x:row r="433" ht="24" customHeight="1">
      <x:c r="A433" s="13" t="str">
        <x:v>I03</x:v>
      </x:c>
      <x:c r="B433" s="13" t="str">
        <x:v>QHL</x:v>
      </x:c>
      <x:c r="C433" s="13" t="str">
        <x:v>M85110</x:v>
      </x:c>
      <x:c r="D433" s="13" t="n">
        <x:v>137</x:v>
      </x:c>
      <x:c r="E433" s="30" t="n">
        <x:v>78.1</x:v>
      </x:c>
      <x:c r="F433" s="13" t="str">
        <x:v>I03 GP_Code!P2654/U2654</x:v>
      </x:c>
      <x:c r="G433" s="13" t="str">
        <x:v>是</x:v>
      </x:c>
      <x:c r="H433" s="12"/>
      <x:c r="I433" s="12"/>
      <x:c r="J433" s="12"/>
      <x:c r="K433" s="12"/>
      <x:c r="L433" s="12"/>
      <x:c r="M433" s="12"/>
      <x:c r="N433" s="12"/>
      <x:c r="O433" s="12"/>
    </x:row>
    <x:row r="434" ht="24" customHeight="1">
      <x:c r="A434" s="13" t="str">
        <x:v>I03</x:v>
      </x:c>
      <x:c r="B434" s="13" t="str">
        <x:v>QHL</x:v>
      </x:c>
      <x:c r="C434" s="13" t="str">
        <x:v>M85113</x:v>
      </x:c>
      <x:c r="D434" s="13" t="n">
        <x:v>92</x:v>
      </x:c>
      <x:c r="E434" s="30" t="n">
        <x:v>79.3</x:v>
      </x:c>
      <x:c r="F434" s="13" t="str">
        <x:v>I03 GP_Code!P2655/U2655</x:v>
      </x:c>
      <x:c r="G434" s="13" t="str">
        <x:v>是</x:v>
      </x:c>
      <x:c r="H434" s="12"/>
      <x:c r="I434" s="12"/>
      <x:c r="J434" s="12"/>
      <x:c r="K434" s="12"/>
      <x:c r="L434" s="12"/>
      <x:c r="M434" s="12"/>
      <x:c r="N434" s="12"/>
      <x:c r="O434" s="12"/>
    </x:row>
    <x:row r="435" ht="24" customHeight="1">
      <x:c r="A435" s="13" t="str">
        <x:v>I03</x:v>
      </x:c>
      <x:c r="B435" s="13" t="str">
        <x:v>QHL</x:v>
      </x:c>
      <x:c r="C435" s="13" t="str">
        <x:v>M85115</x:v>
      </x:c>
      <x:c r="D435" s="13" t="n">
        <x:v>22</x:v>
      </x:c>
      <x:c r="E435" s="30" t="n">
        <x:v>77.3</x:v>
      </x:c>
      <x:c r="F435" s="13" t="str">
        <x:v>I03 GP_Code!P2656/U2656</x:v>
      </x:c>
      <x:c r="G435" s="13" t="str">
        <x:v>是</x:v>
      </x:c>
      <x:c r="H435" s="12"/>
      <x:c r="I435" s="12"/>
      <x:c r="J435" s="12"/>
      <x:c r="K435" s="12"/>
      <x:c r="L435" s="12"/>
      <x:c r="M435" s="12"/>
      <x:c r="N435" s="12"/>
      <x:c r="O435" s="12"/>
    </x:row>
    <x:row r="436" ht="24" customHeight="1">
      <x:c r="A436" s="13" t="str">
        <x:v>I03</x:v>
      </x:c>
      <x:c r="B436" s="13" t="str">
        <x:v>QHL</x:v>
      </x:c>
      <x:c r="C436" s="13" t="str">
        <x:v>M85116</x:v>
      </x:c>
      <x:c r="D436" s="13" t="n">
        <x:v>151</x:v>
      </x:c>
      <x:c r="E436" s="30" t="n">
        <x:v>83.4</x:v>
      </x:c>
      <x:c r="F436" s="13" t="str">
        <x:v>I03 GP_Code!P2657/U2657</x:v>
      </x:c>
      <x:c r="G436" s="13" t="str">
        <x:v>是</x:v>
      </x:c>
      <x:c r="H436" s="12"/>
      <x:c r="I436" s="12"/>
      <x:c r="J436" s="12"/>
      <x:c r="K436" s="12"/>
      <x:c r="L436" s="12"/>
      <x:c r="M436" s="12"/>
      <x:c r="N436" s="12"/>
      <x:c r="O436" s="12"/>
    </x:row>
    <x:row r="437" ht="24" customHeight="1">
      <x:c r="A437" s="13" t="str">
        <x:v>I03</x:v>
      </x:c>
      <x:c r="B437" s="13" t="str">
        <x:v>QHL</x:v>
      </x:c>
      <x:c r="C437" s="13" t="str">
        <x:v>M85117</x:v>
      </x:c>
      <x:c r="D437" s="13" t="n">
        <x:v>80</x:v>
      </x:c>
      <x:c r="E437" s="30" t="n">
        <x:v>70</x:v>
      </x:c>
      <x:c r="F437" s="13" t="str">
        <x:v>I03 GP_Code!P2658/U2658</x:v>
      </x:c>
      <x:c r="G437" s="13" t="str">
        <x:v>是</x:v>
      </x:c>
      <x:c r="H437" s="12"/>
      <x:c r="I437" s="12"/>
      <x:c r="J437" s="12"/>
      <x:c r="K437" s="12"/>
      <x:c r="L437" s="12"/>
      <x:c r="M437" s="12"/>
      <x:c r="N437" s="12"/>
      <x:c r="O437" s="12"/>
    </x:row>
    <x:row r="438" ht="24" customHeight="1">
      <x:c r="A438" s="13" t="str">
        <x:v>I03</x:v>
      </x:c>
      <x:c r="B438" s="13" t="str">
        <x:v>QHL</x:v>
      </x:c>
      <x:c r="C438" s="13" t="str">
        <x:v>M85118</x:v>
      </x:c>
      <x:c r="D438" s="13" t="n">
        <x:v>35</x:v>
      </x:c>
      <x:c r="E438" s="30" t="n">
        <x:v>77.1</x:v>
      </x:c>
      <x:c r="F438" s="13" t="str">
        <x:v>I03 GP_Code!P2659/U2659</x:v>
      </x:c>
      <x:c r="G438" s="13" t="str">
        <x:v>是</x:v>
      </x:c>
      <x:c r="H438" s="12"/>
      <x:c r="I438" s="12"/>
      <x:c r="J438" s="12"/>
      <x:c r="K438" s="12"/>
      <x:c r="L438" s="12"/>
      <x:c r="M438" s="12"/>
      <x:c r="N438" s="12"/>
      <x:c r="O438" s="12"/>
    </x:row>
    <x:row r="439" ht="24" customHeight="1">
      <x:c r="A439" s="13" t="str">
        <x:v>I03</x:v>
      </x:c>
      <x:c r="B439" s="13" t="str">
        <x:v>QHL</x:v>
      </x:c>
      <x:c r="C439" s="13" t="str">
        <x:v>M85123</x:v>
      </x:c>
      <x:c r="D439" s="13" t="n">
        <x:v>139</x:v>
      </x:c>
      <x:c r="E439" s="30" t="n">
        <x:v>80.6</x:v>
      </x:c>
      <x:c r="F439" s="13" t="str">
        <x:v>I03 GP_Code!P2660/U2660</x:v>
      </x:c>
      <x:c r="G439" s="13" t="str">
        <x:v>是</x:v>
      </x:c>
      <x:c r="H439" s="12"/>
      <x:c r="I439" s="12"/>
      <x:c r="J439" s="12"/>
      <x:c r="K439" s="12"/>
      <x:c r="L439" s="12"/>
      <x:c r="M439" s="12"/>
      <x:c r="N439" s="12"/>
      <x:c r="O439" s="12"/>
    </x:row>
    <x:row r="440" ht="24" customHeight="1">
      <x:c r="A440" s="13" t="str">
        <x:v>I03</x:v>
      </x:c>
      <x:c r="B440" s="13" t="str">
        <x:v>QHL</x:v>
      </x:c>
      <x:c r="C440" s="13" t="str">
        <x:v>M85124</x:v>
      </x:c>
      <x:c r="D440" s="13" t="n">
        <x:v>127</x:v>
      </x:c>
      <x:c r="E440" s="30" t="n">
        <x:v>61.4</x:v>
      </x:c>
      <x:c r="F440" s="13" t="str">
        <x:v>I03 GP_Code!P2661/U2661</x:v>
      </x:c>
      <x:c r="G440" s="13" t="str">
        <x:v>是</x:v>
      </x:c>
      <x:c r="H440" s="12"/>
      <x:c r="I440" s="12"/>
      <x:c r="J440" s="12"/>
      <x:c r="K440" s="12"/>
      <x:c r="L440" s="12"/>
      <x:c r="M440" s="12"/>
      <x:c r="N440" s="12"/>
      <x:c r="O440" s="12"/>
    </x:row>
    <x:row r="441" ht="24" customHeight="1">
      <x:c r="A441" s="13" t="str">
        <x:v>I03</x:v>
      </x:c>
      <x:c r="B441" s="13" t="str">
        <x:v>QHL</x:v>
      </x:c>
      <x:c r="C441" s="13" t="str">
        <x:v>M85128</x:v>
      </x:c>
      <x:c r="D441" s="13" t="n">
        <x:v>71</x:v>
      </x:c>
      <x:c r="E441" s="30" t="n">
        <x:v>80.3</x:v>
      </x:c>
      <x:c r="F441" s="13" t="str">
        <x:v>I03 GP_Code!P2662/U2662</x:v>
      </x:c>
      <x:c r="G441" s="13" t="str">
        <x:v>是</x:v>
      </x:c>
      <x:c r="H441" s="12"/>
      <x:c r="I441" s="12"/>
      <x:c r="J441" s="12"/>
      <x:c r="K441" s="12"/>
      <x:c r="L441" s="12"/>
      <x:c r="M441" s="12"/>
      <x:c r="N441" s="12"/>
      <x:c r="O441" s="12"/>
    </x:row>
    <x:row r="442" ht="24" customHeight="1">
      <x:c r="A442" s="13" t="str">
        <x:v>I03</x:v>
      </x:c>
      <x:c r="B442" s="13" t="str">
        <x:v>QHL</x:v>
      </x:c>
      <x:c r="C442" s="13" t="str">
        <x:v>M85134</x:v>
      </x:c>
      <x:c r="D442" s="13" t="n">
        <x:v>35</x:v>
      </x:c>
      <x:c r="E442" s="30" t="n">
        <x:v>80</x:v>
      </x:c>
      <x:c r="F442" s="13" t="str">
        <x:v>I03 GP_Code!P2663/U2663</x:v>
      </x:c>
      <x:c r="G442" s="13" t="str">
        <x:v>是</x:v>
      </x:c>
      <x:c r="H442" s="12"/>
      <x:c r="I442" s="12"/>
      <x:c r="J442" s="12"/>
      <x:c r="K442" s="12"/>
      <x:c r="L442" s="12"/>
      <x:c r="M442" s="12"/>
      <x:c r="N442" s="12"/>
      <x:c r="O442" s="12"/>
    </x:row>
    <x:row r="443" ht="24" customHeight="1">
      <x:c r="A443" s="13" t="str">
        <x:v>I03</x:v>
      </x:c>
      <x:c r="B443" s="13" t="str">
        <x:v>QHL</x:v>
      </x:c>
      <x:c r="C443" s="13" t="str">
        <x:v>M85136</x:v>
      </x:c>
      <x:c r="D443" s="13" t="n">
        <x:v>188</x:v>
      </x:c>
      <x:c r="E443" s="30" t="n">
        <x:v>74.5</x:v>
      </x:c>
      <x:c r="F443" s="13" t="str">
        <x:v>I03 GP_Code!P2664/U2664</x:v>
      </x:c>
      <x:c r="G443" s="13" t="str">
        <x:v>是</x:v>
      </x:c>
      <x:c r="H443" s="12"/>
      <x:c r="I443" s="12"/>
      <x:c r="J443" s="12"/>
      <x:c r="K443" s="12"/>
      <x:c r="L443" s="12"/>
      <x:c r="M443" s="12"/>
      <x:c r="N443" s="12"/>
      <x:c r="O443" s="12"/>
    </x:row>
    <x:row r="444" ht="24" customHeight="1">
      <x:c r="A444" s="13" t="str">
        <x:v>I03</x:v>
      </x:c>
      <x:c r="B444" s="13" t="str">
        <x:v>QHL</x:v>
      </x:c>
      <x:c r="C444" s="13" t="str">
        <x:v>M85139</x:v>
      </x:c>
      <x:c r="D444" s="13" t="n">
        <x:v>81</x:v>
      </x:c>
      <x:c r="E444" s="30" t="n">
        <x:v>76.5</x:v>
      </x:c>
      <x:c r="F444" s="13" t="str">
        <x:v>I03 GP_Code!P2665/U2665</x:v>
      </x:c>
      <x:c r="G444" s="13" t="str">
        <x:v>是</x:v>
      </x:c>
      <x:c r="H444" s="12"/>
      <x:c r="I444" s="12"/>
      <x:c r="J444" s="12"/>
      <x:c r="K444" s="12"/>
      <x:c r="L444" s="12"/>
      <x:c r="M444" s="12"/>
      <x:c r="N444" s="12"/>
      <x:c r="O444" s="12"/>
    </x:row>
    <x:row r="445" ht="24" customHeight="1">
      <x:c r="A445" s="13" t="str">
        <x:v>I03</x:v>
      </x:c>
      <x:c r="B445" s="13" t="str">
        <x:v>QHL</x:v>
      </x:c>
      <x:c r="C445" s="13" t="str">
        <x:v>M85141</x:v>
      </x:c>
      <x:c r="D445" s="13" t="n">
        <x:v>41</x:v>
      </x:c>
      <x:c r="E445" s="30" t="n">
        <x:v>75.6</x:v>
      </x:c>
      <x:c r="F445" s="13" t="str">
        <x:v>I03 GP_Code!P2666/U2666</x:v>
      </x:c>
      <x:c r="G445" s="13" t="str">
        <x:v>是</x:v>
      </x:c>
      <x:c r="H445" s="12"/>
      <x:c r="I445" s="12"/>
      <x:c r="J445" s="12"/>
      <x:c r="K445" s="12"/>
      <x:c r="L445" s="12"/>
      <x:c r="M445" s="12"/>
      <x:c r="N445" s="12"/>
      <x:c r="O445" s="12"/>
    </x:row>
    <x:row r="446" ht="24" customHeight="1">
      <x:c r="A446" s="13" t="str">
        <x:v>I03</x:v>
      </x:c>
      <x:c r="B446" s="13" t="str">
        <x:v>QHL</x:v>
      </x:c>
      <x:c r="C446" s="13" t="str">
        <x:v>M85142</x:v>
      </x:c>
      <x:c r="D446" s="13" t="n">
        <x:v>14</x:v>
      </x:c>
      <x:c r="E446" s="30" t="n">
        <x:v>85.7</x:v>
      </x:c>
      <x:c r="F446" s="13" t="str">
        <x:v>I03 GP_Code!P2667/U2667</x:v>
      </x:c>
      <x:c r="G446" s="13" t="str">
        <x:v>是</x:v>
      </x:c>
      <x:c r="H446" s="12"/>
      <x:c r="I446" s="12"/>
      <x:c r="J446" s="12"/>
      <x:c r="K446" s="12"/>
      <x:c r="L446" s="12"/>
      <x:c r="M446" s="12"/>
      <x:c r="N446" s="12"/>
      <x:c r="O446" s="12"/>
    </x:row>
    <x:row r="447" ht="24" customHeight="1">
      <x:c r="A447" s="13" t="str">
        <x:v>I03</x:v>
      </x:c>
      <x:c r="B447" s="13" t="str">
        <x:v>QHL</x:v>
      </x:c>
      <x:c r="C447" s="13" t="str">
        <x:v>M85143</x:v>
      </x:c>
      <x:c r="D447" s="13" t="n">
        <x:v>83</x:v>
      </x:c>
      <x:c r="E447" s="30" t="n">
        <x:v>78.3</x:v>
      </x:c>
      <x:c r="F447" s="13" t="str">
        <x:v>I03 GP_Code!P2668/U2668</x:v>
      </x:c>
      <x:c r="G447" s="13" t="str">
        <x:v>是</x:v>
      </x:c>
      <x:c r="H447" s="12"/>
      <x:c r="I447" s="12"/>
      <x:c r="J447" s="12"/>
      <x:c r="K447" s="12"/>
      <x:c r="L447" s="12"/>
      <x:c r="M447" s="12"/>
      <x:c r="N447" s="12"/>
      <x:c r="O447" s="12"/>
    </x:row>
    <x:row r="448" ht="24" customHeight="1">
      <x:c r="A448" s="13" t="str">
        <x:v>I03</x:v>
      </x:c>
      <x:c r="B448" s="13" t="str">
        <x:v>QHL</x:v>
      </x:c>
      <x:c r="C448" s="13" t="str">
        <x:v>M85146</x:v>
      </x:c>
      <x:c r="D448" s="13" t="n">
        <x:v>79</x:v>
      </x:c>
      <x:c r="E448" s="30" t="n">
        <x:v>64.6</x:v>
      </x:c>
      <x:c r="F448" s="13" t="str">
        <x:v>I03 GP_Code!P2669/U2669</x:v>
      </x:c>
      <x:c r="G448" s="13" t="str">
        <x:v>是</x:v>
      </x:c>
      <x:c r="H448" s="12"/>
      <x:c r="I448" s="12"/>
      <x:c r="J448" s="12"/>
      <x:c r="K448" s="12"/>
      <x:c r="L448" s="12"/>
      <x:c r="M448" s="12"/>
      <x:c r="N448" s="12"/>
      <x:c r="O448" s="12"/>
    </x:row>
    <x:row r="449" ht="24" customHeight="1">
      <x:c r="A449" s="13" t="str">
        <x:v>I03</x:v>
      </x:c>
      <x:c r="B449" s="13" t="str">
        <x:v>QHL</x:v>
      </x:c>
      <x:c r="C449" s="13" t="str">
        <x:v>M85149</x:v>
      </x:c>
      <x:c r="D449" s="13" t="n">
        <x:v>66</x:v>
      </x:c>
      <x:c r="E449" s="30" t="n">
        <x:v>81.8</x:v>
      </x:c>
      <x:c r="F449" s="13" t="str">
        <x:v>I03 GP_Code!P2670/U2670</x:v>
      </x:c>
      <x:c r="G449" s="13" t="str">
        <x:v>是</x:v>
      </x:c>
      <x:c r="H449" s="12"/>
      <x:c r="I449" s="12"/>
      <x:c r="J449" s="12"/>
      <x:c r="K449" s="12"/>
      <x:c r="L449" s="12"/>
      <x:c r="M449" s="12"/>
      <x:c r="N449" s="12"/>
      <x:c r="O449" s="12"/>
    </x:row>
    <x:row r="450" ht="24" customHeight="1">
      <x:c r="A450" s="13" t="str">
        <x:v>I03</x:v>
      </x:c>
      <x:c r="B450" s="13" t="str">
        <x:v>QHL</x:v>
      </x:c>
      <x:c r="C450" s="13" t="str">
        <x:v>M85153</x:v>
      </x:c>
      <x:c r="D450" s="13" t="n">
        <x:v>45</x:v>
      </x:c>
      <x:c r="E450" s="30" t="n">
        <x:v>86.7</x:v>
      </x:c>
      <x:c r="F450" s="13" t="str">
        <x:v>I03 GP_Code!P2671/U2671</x:v>
      </x:c>
      <x:c r="G450" s="13" t="str">
        <x:v>是</x:v>
      </x:c>
      <x:c r="H450" s="12"/>
      <x:c r="I450" s="12"/>
      <x:c r="J450" s="12"/>
      <x:c r="K450" s="12"/>
      <x:c r="L450" s="12"/>
      <x:c r="M450" s="12"/>
      <x:c r="N450" s="12"/>
      <x:c r="O450" s="12"/>
    </x:row>
    <x:row r="451" ht="24" customHeight="1">
      <x:c r="A451" s="13" t="str">
        <x:v>I03</x:v>
      </x:c>
      <x:c r="B451" s="13" t="str">
        <x:v>QHL</x:v>
      </x:c>
      <x:c r="C451" s="13" t="str">
        <x:v>M85154</x:v>
      </x:c>
      <x:c r="D451" s="13" t="n">
        <x:v>74</x:v>
      </x:c>
      <x:c r="E451" s="30" t="n">
        <x:v>81.1</x:v>
      </x:c>
      <x:c r="F451" s="13" t="str">
        <x:v>I03 GP_Code!P2672/U2672</x:v>
      </x:c>
      <x:c r="G451" s="13" t="str">
        <x:v>是</x:v>
      </x:c>
      <x:c r="H451" s="12"/>
      <x:c r="I451" s="12"/>
      <x:c r="J451" s="12"/>
      <x:c r="K451" s="12"/>
      <x:c r="L451" s="12"/>
      <x:c r="M451" s="12"/>
      <x:c r="N451" s="12"/>
      <x:c r="O451" s="12"/>
    </x:row>
    <x:row r="452" ht="24" customHeight="1">
      <x:c r="A452" s="13" t="str">
        <x:v>I03</x:v>
      </x:c>
      <x:c r="B452" s="13" t="str">
        <x:v>QHL</x:v>
      </x:c>
      <x:c r="C452" s="13" t="str">
        <x:v>M85155</x:v>
      </x:c>
      <x:c r="D452" s="13" t="n">
        <x:v>75</x:v>
      </x:c>
      <x:c r="E452" s="30" t="n">
        <x:v>89.3</x:v>
      </x:c>
      <x:c r="F452" s="13" t="str">
        <x:v>I03 GP_Code!P2673/U2673</x:v>
      </x:c>
      <x:c r="G452" s="13" t="str">
        <x:v>是</x:v>
      </x:c>
      <x:c r="H452" s="12"/>
      <x:c r="I452" s="12"/>
      <x:c r="J452" s="12"/>
      <x:c r="K452" s="12"/>
      <x:c r="L452" s="12"/>
      <x:c r="M452" s="12"/>
      <x:c r="N452" s="12"/>
      <x:c r="O452" s="12"/>
    </x:row>
    <x:row r="453" ht="24" customHeight="1">
      <x:c r="A453" s="13" t="str">
        <x:v>I03</x:v>
      </x:c>
      <x:c r="B453" s="13" t="str">
        <x:v>QHL</x:v>
      </x:c>
      <x:c r="C453" s="13" t="str">
        <x:v>M85156</x:v>
      </x:c>
      <x:c r="D453" s="13" t="n">
        <x:v>109</x:v>
      </x:c>
      <x:c r="E453" s="30" t="n">
        <x:v>75.2</x:v>
      </x:c>
      <x:c r="F453" s="13" t="str">
        <x:v>I03 GP_Code!P2674/U2674</x:v>
      </x:c>
      <x:c r="G453" s="13" t="str">
        <x:v>是</x:v>
      </x:c>
      <x:c r="H453" s="12"/>
      <x:c r="I453" s="12"/>
      <x:c r="J453" s="12"/>
      <x:c r="K453" s="12"/>
      <x:c r="L453" s="12"/>
      <x:c r="M453" s="12"/>
      <x:c r="N453" s="12"/>
      <x:c r="O453" s="12"/>
    </x:row>
    <x:row r="454" ht="24" customHeight="1">
      <x:c r="A454" s="13" t="str">
        <x:v>I03</x:v>
      </x:c>
      <x:c r="B454" s="13" t="str">
        <x:v>QHL</x:v>
      </x:c>
      <x:c r="C454" s="13" t="str">
        <x:v>M85158</x:v>
      </x:c>
      <x:c r="D454" s="13" t="n">
        <x:v>27</x:v>
      </x:c>
      <x:c r="E454" s="30" t="n">
        <x:v>77.8</x:v>
      </x:c>
      <x:c r="F454" s="13" t="str">
        <x:v>I03 GP_Code!P2675/U2675</x:v>
      </x:c>
      <x:c r="G454" s="13" t="str">
        <x:v>是</x:v>
      </x:c>
      <x:c r="H454" s="12"/>
      <x:c r="I454" s="12"/>
      <x:c r="J454" s="12"/>
      <x:c r="K454" s="12"/>
      <x:c r="L454" s="12"/>
      <x:c r="M454" s="12"/>
      <x:c r="N454" s="12"/>
      <x:c r="O454" s="12"/>
    </x:row>
    <x:row r="455" ht="24" customHeight="1">
      <x:c r="A455" s="13" t="str">
        <x:v>I03</x:v>
      </x:c>
      <x:c r="B455" s="13" t="str">
        <x:v>QHL</x:v>
      </x:c>
      <x:c r="C455" s="13" t="str">
        <x:v>M85164</x:v>
      </x:c>
      <x:c r="D455" s="13" t="n">
        <x:v>187</x:v>
      </x:c>
      <x:c r="E455" s="30" t="n">
        <x:v>72.2</x:v>
      </x:c>
      <x:c r="F455" s="13" t="str">
        <x:v>I03 GP_Code!P2676/U2676</x:v>
      </x:c>
      <x:c r="G455" s="13" t="str">
        <x:v>是</x:v>
      </x:c>
      <x:c r="H455" s="12"/>
      <x:c r="I455" s="12"/>
      <x:c r="J455" s="12"/>
      <x:c r="K455" s="12"/>
      <x:c r="L455" s="12"/>
      <x:c r="M455" s="12"/>
      <x:c r="N455" s="12"/>
      <x:c r="O455" s="12"/>
    </x:row>
    <x:row r="456" ht="24" customHeight="1">
      <x:c r="A456" s="13" t="str">
        <x:v>I03</x:v>
      </x:c>
      <x:c r="B456" s="13" t="str">
        <x:v>QHL</x:v>
      </x:c>
      <x:c r="C456" s="13" t="str">
        <x:v>M85167</x:v>
      </x:c>
      <x:c r="D456" s="13" t="n">
        <x:v>43</x:v>
      </x:c>
      <x:c r="E456" s="30" t="n">
        <x:v>65.1</x:v>
      </x:c>
      <x:c r="F456" s="13" t="str">
        <x:v>I03 GP_Code!P2677/U2677</x:v>
      </x:c>
      <x:c r="G456" s="13" t="str">
        <x:v>是</x:v>
      </x:c>
      <x:c r="H456" s="12"/>
      <x:c r="I456" s="12"/>
      <x:c r="J456" s="12"/>
      <x:c r="K456" s="12"/>
      <x:c r="L456" s="12"/>
      <x:c r="M456" s="12"/>
      <x:c r="N456" s="12"/>
      <x:c r="O456" s="12"/>
    </x:row>
    <x:row r="457" ht="24" customHeight="1">
      <x:c r="A457" s="13" t="str">
        <x:v>I03</x:v>
      </x:c>
      <x:c r="B457" s="13" t="str">
        <x:v>QHL</x:v>
      </x:c>
      <x:c r="C457" s="13" t="str">
        <x:v>M85170</x:v>
      </x:c>
      <x:c r="D457" s="13" t="n">
        <x:v>71</x:v>
      </x:c>
      <x:c r="E457" s="30" t="n">
        <x:v>80.3</x:v>
      </x:c>
      <x:c r="F457" s="13" t="str">
        <x:v>I03 GP_Code!P2678/U2678</x:v>
      </x:c>
      <x:c r="G457" s="13" t="str">
        <x:v>是</x:v>
      </x:c>
      <x:c r="H457" s="12"/>
      <x:c r="I457" s="12"/>
      <x:c r="J457" s="12"/>
      <x:c r="K457" s="12"/>
      <x:c r="L457" s="12"/>
      <x:c r="M457" s="12"/>
      <x:c r="N457" s="12"/>
      <x:c r="O457" s="12"/>
    </x:row>
    <x:row r="458" ht="24" customHeight="1">
      <x:c r="A458" s="13" t="str">
        <x:v>I03</x:v>
      </x:c>
      <x:c r="B458" s="13" t="str">
        <x:v>QHL</x:v>
      </x:c>
      <x:c r="C458" s="13" t="str">
        <x:v>M85171</x:v>
      </x:c>
      <x:c r="D458" s="13" t="n">
        <x:v>31</x:v>
      </x:c>
      <x:c r="E458" s="30" t="n">
        <x:v>87.1</x:v>
      </x:c>
      <x:c r="F458" s="13" t="str">
        <x:v>I03 GP_Code!P2679/U2679</x:v>
      </x:c>
      <x:c r="G458" s="13" t="str">
        <x:v>是</x:v>
      </x:c>
      <x:c r="H458" s="12"/>
      <x:c r="I458" s="12"/>
      <x:c r="J458" s="12"/>
      <x:c r="K458" s="12"/>
      <x:c r="L458" s="12"/>
      <x:c r="M458" s="12"/>
      <x:c r="N458" s="12"/>
      <x:c r="O458" s="12"/>
    </x:row>
    <x:row r="459" ht="24" customHeight="1">
      <x:c r="A459" s="13" t="str">
        <x:v>I03</x:v>
      </x:c>
      <x:c r="B459" s="13" t="str">
        <x:v>QHL</x:v>
      </x:c>
      <x:c r="C459" s="13" t="str">
        <x:v>M85172</x:v>
      </x:c>
      <x:c r="D459" s="13" t="n">
        <x:v>199</x:v>
      </x:c>
      <x:c r="E459" s="30" t="n">
        <x:v>80.4</x:v>
      </x:c>
      <x:c r="F459" s="13" t="str">
        <x:v>I03 GP_Code!P2680/U2680</x:v>
      </x:c>
      <x:c r="G459" s="13" t="str">
        <x:v>是</x:v>
      </x:c>
      <x:c r="H459" s="12"/>
      <x:c r="I459" s="12"/>
      <x:c r="J459" s="12"/>
      <x:c r="K459" s="12"/>
      <x:c r="L459" s="12"/>
      <x:c r="M459" s="12"/>
      <x:c r="N459" s="12"/>
      <x:c r="O459" s="12"/>
    </x:row>
    <x:row r="460" ht="24" customHeight="1">
      <x:c r="A460" s="13" t="str">
        <x:v>I03</x:v>
      </x:c>
      <x:c r="B460" s="13" t="str">
        <x:v>QHL</x:v>
      </x:c>
      <x:c r="C460" s="13" t="str">
        <x:v>M85174</x:v>
      </x:c>
      <x:c r="D460" s="13" t="n">
        <x:v>80</x:v>
      </x:c>
      <x:c r="E460" s="30" t="n">
        <x:v>57.5</x:v>
      </x:c>
      <x:c r="F460" s="13" t="str">
        <x:v>I03 GP_Code!P2681/U2681</x:v>
      </x:c>
      <x:c r="G460" s="13" t="str">
        <x:v>是</x:v>
      </x:c>
      <x:c r="H460" s="12"/>
      <x:c r="I460" s="12"/>
      <x:c r="J460" s="12"/>
      <x:c r="K460" s="12"/>
      <x:c r="L460" s="12"/>
      <x:c r="M460" s="12"/>
      <x:c r="N460" s="12"/>
      <x:c r="O460" s="12"/>
    </x:row>
    <x:row r="461" ht="24" customHeight="1">
      <x:c r="A461" s="13" t="str">
        <x:v>I03</x:v>
      </x:c>
      <x:c r="B461" s="13" t="str">
        <x:v>QHL</x:v>
      </x:c>
      <x:c r="C461" s="13" t="str">
        <x:v>M85175</x:v>
      </x:c>
      <x:c r="D461" s="13" t="n">
        <x:v>98</x:v>
      </x:c>
      <x:c r="E461" s="30" t="n">
        <x:v>87.8</x:v>
      </x:c>
      <x:c r="F461" s="13" t="str">
        <x:v>I03 GP_Code!P2682/U2682</x:v>
      </x:c>
      <x:c r="G461" s="13" t="str">
        <x:v>是</x:v>
      </x:c>
      <x:c r="H461" s="12"/>
      <x:c r="I461" s="12"/>
      <x:c r="J461" s="12"/>
      <x:c r="K461" s="12"/>
      <x:c r="L461" s="12"/>
      <x:c r="M461" s="12"/>
      <x:c r="N461" s="12"/>
      <x:c r="O461" s="12"/>
    </x:row>
    <x:row r="462" ht="24" customHeight="1">
      <x:c r="A462" s="13" t="str">
        <x:v>I03</x:v>
      </x:c>
      <x:c r="B462" s="13" t="str">
        <x:v>QHL</x:v>
      </x:c>
      <x:c r="C462" s="13" t="str">
        <x:v>M85177</x:v>
      </x:c>
      <x:c r="D462" s="13" t="n">
        <x:v>86</x:v>
      </x:c>
      <x:c r="E462" s="30" t="n">
        <x:v>87.2</x:v>
      </x:c>
      <x:c r="F462" s="13" t="str">
        <x:v>I03 GP_Code!P2683/U2683</x:v>
      </x:c>
      <x:c r="G462" s="13" t="str">
        <x:v>是</x:v>
      </x:c>
      <x:c r="H462" s="12"/>
      <x:c r="I462" s="12"/>
      <x:c r="J462" s="12"/>
      <x:c r="K462" s="12"/>
      <x:c r="L462" s="12"/>
      <x:c r="M462" s="12"/>
      <x:c r="N462" s="12"/>
      <x:c r="O462" s="12"/>
    </x:row>
    <x:row r="463" ht="24" customHeight="1">
      <x:c r="A463" s="13" t="str">
        <x:v>I03</x:v>
      </x:c>
      <x:c r="B463" s="13" t="str">
        <x:v>QHL</x:v>
      </x:c>
      <x:c r="C463" s="13" t="str">
        <x:v>M85179</x:v>
      </x:c>
      <x:c r="D463" s="13" t="n">
        <x:v>52</x:v>
      </x:c>
      <x:c r="E463" s="30" t="n">
        <x:v>94.2</x:v>
      </x:c>
      <x:c r="F463" s="13" t="str">
        <x:v>I03 GP_Code!P2684/U2684</x:v>
      </x:c>
      <x:c r="G463" s="13" t="str">
        <x:v>是</x:v>
      </x:c>
      <x:c r="H463" s="12"/>
      <x:c r="I463" s="12"/>
      <x:c r="J463" s="12"/>
      <x:c r="K463" s="12"/>
      <x:c r="L463" s="12"/>
      <x:c r="M463" s="12"/>
      <x:c r="N463" s="12"/>
      <x:c r="O463" s="12"/>
    </x:row>
    <x:row r="464" ht="24" customHeight="1">
      <x:c r="A464" s="13" t="str">
        <x:v>I03</x:v>
      </x:c>
      <x:c r="B464" s="13" t="str">
        <x:v>QHL</x:v>
      </x:c>
      <x:c r="C464" s="13" t="str">
        <x:v>M85600</x:v>
      </x:c>
      <x:c r="D464" s="13" t="n">
        <x:v>211</x:v>
      </x:c>
      <x:c r="E464" s="30" t="n">
        <x:v>81.5</x:v>
      </x:c>
      <x:c r="F464" s="13" t="str">
        <x:v>I03 GP_Code!P2685/U2685</x:v>
      </x:c>
      <x:c r="G464" s="13" t="str">
        <x:v>是</x:v>
      </x:c>
      <x:c r="H464" s="12"/>
      <x:c r="I464" s="12"/>
      <x:c r="J464" s="12"/>
      <x:c r="K464" s="12"/>
      <x:c r="L464" s="12"/>
      <x:c r="M464" s="12"/>
      <x:c r="N464" s="12"/>
      <x:c r="O464" s="12"/>
    </x:row>
    <x:row r="465" ht="24" customHeight="1">
      <x:c r="A465" s="13" t="str">
        <x:v>I03</x:v>
      </x:c>
      <x:c r="B465" s="13" t="str">
        <x:v>QHL</x:v>
      </x:c>
      <x:c r="C465" s="13" t="str">
        <x:v>M85624</x:v>
      </x:c>
      <x:c r="D465" s="13" t="n">
        <x:v>70</x:v>
      </x:c>
      <x:c r="E465" s="30" t="n">
        <x:v>74.3</x:v>
      </x:c>
      <x:c r="F465" s="13" t="str">
        <x:v>I03 GP_Code!P2686/U2686</x:v>
      </x:c>
      <x:c r="G465" s="13" t="str">
        <x:v>是</x:v>
      </x:c>
      <x:c r="H465" s="12"/>
      <x:c r="I465" s="12"/>
      <x:c r="J465" s="12"/>
      <x:c r="K465" s="12"/>
      <x:c r="L465" s="12"/>
      <x:c r="M465" s="12"/>
      <x:c r="N465" s="12"/>
      <x:c r="O465" s="12"/>
    </x:row>
    <x:row r="466" ht="24" customHeight="1">
      <x:c r="A466" s="13" t="str">
        <x:v>I03</x:v>
      </x:c>
      <x:c r="B466" s="13" t="str">
        <x:v>QHL</x:v>
      </x:c>
      <x:c r="C466" s="13" t="str">
        <x:v>M85642</x:v>
      </x:c>
      <x:c r="D466" s="13" t="n">
        <x:v>66</x:v>
      </x:c>
      <x:c r="E466" s="30" t="n">
        <x:v>80.3</x:v>
      </x:c>
      <x:c r="F466" s="13" t="str">
        <x:v>I03 GP_Code!P2687/U2687</x:v>
      </x:c>
      <x:c r="G466" s="13" t="str">
        <x:v>是</x:v>
      </x:c>
      <x:c r="H466" s="12"/>
      <x:c r="I466" s="12"/>
      <x:c r="J466" s="12"/>
      <x:c r="K466" s="12"/>
      <x:c r="L466" s="12"/>
      <x:c r="M466" s="12"/>
      <x:c r="N466" s="12"/>
      <x:c r="O466" s="12"/>
    </x:row>
    <x:row r="467" ht="24" customHeight="1">
      <x:c r="A467" s="13" t="str">
        <x:v>I03</x:v>
      </x:c>
      <x:c r="B467" s="13" t="str">
        <x:v>QHL</x:v>
      </x:c>
      <x:c r="C467" s="13" t="str">
        <x:v>M85669</x:v>
      </x:c>
      <x:c r="D467" s="13" t="n">
        <x:v>91</x:v>
      </x:c>
      <x:c r="E467" s="30" t="n">
        <x:v>73.6</x:v>
      </x:c>
      <x:c r="F467" s="13" t="str">
        <x:v>I03 GP_Code!P2688/U2688</x:v>
      </x:c>
      <x:c r="G467" s="13" t="str">
        <x:v>是</x:v>
      </x:c>
      <x:c r="H467" s="12"/>
      <x:c r="I467" s="12"/>
      <x:c r="J467" s="12"/>
      <x:c r="K467" s="12"/>
      <x:c r="L467" s="12"/>
      <x:c r="M467" s="12"/>
      <x:c r="N467" s="12"/>
      <x:c r="O467" s="12"/>
    </x:row>
    <x:row r="468" ht="24" customHeight="1">
      <x:c r="A468" s="13" t="str">
        <x:v>I03</x:v>
      </x:c>
      <x:c r="B468" s="13" t="str">
        <x:v>QHL</x:v>
      </x:c>
      <x:c r="C468" s="13" t="str">
        <x:v>M85670</x:v>
      </x:c>
      <x:c r="D468" s="13" t="n">
        <x:v>44</x:v>
      </x:c>
      <x:c r="E468" s="30" t="n">
        <x:v>56.8</x:v>
      </x:c>
      <x:c r="F468" s="13" t="str">
        <x:v>I03 GP_Code!P2689/U2689</x:v>
      </x:c>
      <x:c r="G468" s="13" t="str">
        <x:v>是</x:v>
      </x:c>
      <x:c r="H468" s="12"/>
      <x:c r="I468" s="12"/>
      <x:c r="J468" s="12"/>
      <x:c r="K468" s="12"/>
      <x:c r="L468" s="12"/>
      <x:c r="M468" s="12"/>
      <x:c r="N468" s="12"/>
      <x:c r="O468" s="12"/>
    </x:row>
    <x:row r="469" ht="24" customHeight="1">
      <x:c r="A469" s="13" t="str">
        <x:v>I03</x:v>
      </x:c>
      <x:c r="B469" s="13" t="str">
        <x:v>QHL</x:v>
      </x:c>
      <x:c r="C469" s="13" t="str">
        <x:v>M85671</x:v>
      </x:c>
      <x:c r="D469" s="13" t="n">
        <x:v>24</x:v>
      </x:c>
      <x:c r="E469" s="30" t="n">
        <x:v>83.3</x:v>
      </x:c>
      <x:c r="F469" s="13" t="str">
        <x:v>I03 GP_Code!P2690/U2690</x:v>
      </x:c>
      <x:c r="G469" s="13" t="str">
        <x:v>否</x:v>
      </x:c>
      <x:c r="H469" s="12"/>
      <x:c r="I469" s="12"/>
      <x:c r="J469" s="12"/>
      <x:c r="K469" s="12"/>
      <x:c r="L469" s="12"/>
      <x:c r="M469" s="12"/>
      <x:c r="N469" s="12"/>
      <x:c r="O469" s="12"/>
    </x:row>
    <x:row r="470" ht="24" customHeight="1">
      <x:c r="A470" s="13" t="str">
        <x:v>I03</x:v>
      </x:c>
      <x:c r="B470" s="13" t="str">
        <x:v>QHL</x:v>
      </x:c>
      <x:c r="C470" s="13" t="str">
        <x:v>M85679</x:v>
      </x:c>
      <x:c r="D470" s="13" t="n">
        <x:v>73</x:v>
      </x:c>
      <x:c r="E470" s="30" t="n">
        <x:v>71.2</x:v>
      </x:c>
      <x:c r="F470" s="13" t="str">
        <x:v>I03 GP_Code!P2691/U2691</x:v>
      </x:c>
      <x:c r="G470" s="13" t="str">
        <x:v>是</x:v>
      </x:c>
      <x:c r="H470" s="12"/>
      <x:c r="I470" s="12"/>
      <x:c r="J470" s="12"/>
      <x:c r="K470" s="12"/>
      <x:c r="L470" s="12"/>
      <x:c r="M470" s="12"/>
      <x:c r="N470" s="12"/>
      <x:c r="O470" s="12"/>
    </x:row>
    <x:row r="471" ht="24" customHeight="1">
      <x:c r="A471" s="13" t="str">
        <x:v>I03</x:v>
      </x:c>
      <x:c r="B471" s="13" t="str">
        <x:v>QHL</x:v>
      </x:c>
      <x:c r="C471" s="13" t="str">
        <x:v>M85680</x:v>
      </x:c>
      <x:c r="D471" s="13" t="n">
        <x:v>43</x:v>
      </x:c>
      <x:c r="E471" s="30" t="n">
        <x:v>62.8</x:v>
      </x:c>
      <x:c r="F471" s="13" t="str">
        <x:v>I03 GP_Code!P2692/U2692</x:v>
      </x:c>
      <x:c r="G471" s="13" t="str">
        <x:v>是</x:v>
      </x:c>
      <x:c r="H471" s="12"/>
      <x:c r="I471" s="12"/>
      <x:c r="J471" s="12"/>
      <x:c r="K471" s="12"/>
      <x:c r="L471" s="12"/>
      <x:c r="M471" s="12"/>
      <x:c r="N471" s="12"/>
      <x:c r="O471" s="12"/>
    </x:row>
    <x:row r="472" ht="24" customHeight="1">
      <x:c r="A472" s="13" t="str">
        <x:v>I03</x:v>
      </x:c>
      <x:c r="B472" s="13" t="str">
        <x:v>QHL</x:v>
      </x:c>
      <x:c r="C472" s="13" t="str">
        <x:v>M85686</x:v>
      </x:c>
      <x:c r="D472" s="13" t="n">
        <x:v>22</x:v>
      </x:c>
      <x:c r="E472" s="30" t="n">
        <x:v>68.2</x:v>
      </x:c>
      <x:c r="F472" s="13" t="str">
        <x:v>I03 GP_Code!P2693/U2693</x:v>
      </x:c>
      <x:c r="G472" s="13" t="str">
        <x:v>是</x:v>
      </x:c>
      <x:c r="H472" s="12"/>
      <x:c r="I472" s="12"/>
      <x:c r="J472" s="12"/>
      <x:c r="K472" s="12"/>
      <x:c r="L472" s="12"/>
      <x:c r="M472" s="12"/>
      <x:c r="N472" s="12"/>
      <x:c r="O472" s="12"/>
    </x:row>
    <x:row r="473" ht="24" customHeight="1">
      <x:c r="A473" s="13" t="str">
        <x:v>I03</x:v>
      </x:c>
      <x:c r="B473" s="13" t="str">
        <x:v>QHL</x:v>
      </x:c>
      <x:c r="C473" s="13" t="str">
        <x:v>M85693</x:v>
      </x:c>
      <x:c r="D473" s="13" t="n">
        <x:v>28</x:v>
      </x:c>
      <x:c r="E473" s="30" t="n">
        <x:v>82.1</x:v>
      </x:c>
      <x:c r="F473" s="13" t="str">
        <x:v>I03 GP_Code!P2694/U2694</x:v>
      </x:c>
      <x:c r="G473" s="13" t="str">
        <x:v>是</x:v>
      </x:c>
      <x:c r="H473" s="12"/>
      <x:c r="I473" s="12"/>
      <x:c r="J473" s="12"/>
      <x:c r="K473" s="12"/>
      <x:c r="L473" s="12"/>
      <x:c r="M473" s="12"/>
      <x:c r="N473" s="12"/>
      <x:c r="O473" s="12"/>
    </x:row>
    <x:row r="474" ht="24" customHeight="1">
      <x:c r="A474" s="13" t="str">
        <x:v>I03</x:v>
      </x:c>
      <x:c r="B474" s="13" t="str">
        <x:v>QHL</x:v>
      </x:c>
      <x:c r="C474" s="13" t="str">
        <x:v>M85694</x:v>
      </x:c>
      <x:c r="D474" s="13" t="n">
        <x:v>58</x:v>
      </x:c>
      <x:c r="E474" s="30" t="n">
        <x:v>72.4</x:v>
      </x:c>
      <x:c r="F474" s="13" t="str">
        <x:v>I03 GP_Code!P2695/U2695</x:v>
      </x:c>
      <x:c r="G474" s="13" t="str">
        <x:v>是</x:v>
      </x:c>
      <x:c r="H474" s="12"/>
      <x:c r="I474" s="12"/>
      <x:c r="J474" s="12"/>
      <x:c r="K474" s="12"/>
      <x:c r="L474" s="12"/>
      <x:c r="M474" s="12"/>
      <x:c r="N474" s="12"/>
      <x:c r="O474" s="12"/>
    </x:row>
    <x:row r="475" ht="24" customHeight="1">
      <x:c r="A475" s="13" t="str">
        <x:v>I03</x:v>
      </x:c>
      <x:c r="B475" s="13" t="str">
        <x:v>QHL</x:v>
      </x:c>
      <x:c r="C475" s="13" t="str">
        <x:v>M85699</x:v>
      </x:c>
      <x:c r="D475" s="13" t="n">
        <x:v>73</x:v>
      </x:c>
      <x:c r="E475" s="30" t="n">
        <x:v>78.1</x:v>
      </x:c>
      <x:c r="F475" s="13" t="str">
        <x:v>I03 GP_Code!P2696/U2696</x:v>
      </x:c>
      <x:c r="G475" s="13" t="str">
        <x:v>是</x:v>
      </x:c>
      <x:c r="H475" s="12"/>
      <x:c r="I475" s="12"/>
      <x:c r="J475" s="12"/>
      <x:c r="K475" s="12"/>
      <x:c r="L475" s="12"/>
      <x:c r="M475" s="12"/>
      <x:c r="N475" s="12"/>
      <x:c r="O475" s="12"/>
    </x:row>
    <x:row r="476" ht="24" customHeight="1">
      <x:c r="A476" s="13" t="str">
        <x:v>I03</x:v>
      </x:c>
      <x:c r="B476" s="13" t="str">
        <x:v>QHL</x:v>
      </x:c>
      <x:c r="C476" s="13" t="str">
        <x:v>M85701</x:v>
      </x:c>
      <x:c r="D476" s="13" t="n">
        <x:v>58</x:v>
      </x:c>
      <x:c r="E476" s="30" t="n">
        <x:v>74.1</x:v>
      </x:c>
      <x:c r="F476" s="13" t="str">
        <x:v>I03 GP_Code!P2697/U2697</x:v>
      </x:c>
      <x:c r="G476" s="13" t="str">
        <x:v>是</x:v>
      </x:c>
      <x:c r="H476" s="12"/>
      <x:c r="I476" s="12"/>
      <x:c r="J476" s="12"/>
      <x:c r="K476" s="12"/>
      <x:c r="L476" s="12"/>
      <x:c r="M476" s="12"/>
      <x:c r="N476" s="12"/>
      <x:c r="O476" s="12"/>
    </x:row>
    <x:row r="477" ht="24" customHeight="1">
      <x:c r="A477" s="13" t="str">
        <x:v>I03</x:v>
      </x:c>
      <x:c r="B477" s="13" t="str">
        <x:v>QHL</x:v>
      </x:c>
      <x:c r="C477" s="13" t="str">
        <x:v>M85706</x:v>
      </x:c>
      <x:c r="D477" s="13" t="n">
        <x:v>186</x:v>
      </x:c>
      <x:c r="E477" s="30" t="n">
        <x:v>81.2</x:v>
      </x:c>
      <x:c r="F477" s="13" t="str">
        <x:v>I03 GP_Code!P2698/U2698</x:v>
      </x:c>
      <x:c r="G477" s="13" t="str">
        <x:v>是</x:v>
      </x:c>
      <x:c r="H477" s="12"/>
      <x:c r="I477" s="12"/>
      <x:c r="J477" s="12"/>
      <x:c r="K477" s="12"/>
      <x:c r="L477" s="12"/>
      <x:c r="M477" s="12"/>
      <x:c r="N477" s="12"/>
      <x:c r="O477" s="12"/>
    </x:row>
    <x:row r="478" ht="24" customHeight="1">
      <x:c r="A478" s="13" t="str">
        <x:v>I03</x:v>
      </x:c>
      <x:c r="B478" s="13" t="str">
        <x:v>QHL</x:v>
      </x:c>
      <x:c r="C478" s="13" t="str">
        <x:v>M85711</x:v>
      </x:c>
      <x:c r="D478" s="13" t="n">
        <x:v>32</x:v>
      </x:c>
      <x:c r="E478" s="30" t="n">
        <x:v>62.5</x:v>
      </x:c>
      <x:c r="F478" s="13" t="str">
        <x:v>I03 GP_Code!P2699/U2699</x:v>
      </x:c>
      <x:c r="G478" s="13" t="str">
        <x:v>是</x:v>
      </x:c>
      <x:c r="H478" s="12"/>
      <x:c r="I478" s="12"/>
      <x:c r="J478" s="12"/>
      <x:c r="K478" s="12"/>
      <x:c r="L478" s="12"/>
      <x:c r="M478" s="12"/>
      <x:c r="N478" s="12"/>
      <x:c r="O478" s="12"/>
    </x:row>
    <x:row r="479" ht="24" customHeight="1">
      <x:c r="A479" s="13" t="str">
        <x:v>I03</x:v>
      </x:c>
      <x:c r="B479" s="13" t="str">
        <x:v>QHL</x:v>
      </x:c>
      <x:c r="C479" s="13" t="str">
        <x:v>M85713</x:v>
      </x:c>
      <x:c r="D479" s="13" t="n">
        <x:v>102</x:v>
      </x:c>
      <x:c r="E479" s="30" t="n">
        <x:v>81.4</x:v>
      </x:c>
      <x:c r="F479" s="13" t="str">
        <x:v>I03 GP_Code!P2700/U2700</x:v>
      </x:c>
      <x:c r="G479" s="13" t="str">
        <x:v>是</x:v>
      </x:c>
      <x:c r="H479" s="12"/>
      <x:c r="I479" s="12"/>
      <x:c r="J479" s="12"/>
      <x:c r="K479" s="12"/>
      <x:c r="L479" s="12"/>
      <x:c r="M479" s="12"/>
      <x:c r="N479" s="12"/>
      <x:c r="O479" s="12"/>
    </x:row>
    <x:row r="480" ht="24" customHeight="1">
      <x:c r="A480" s="13" t="str">
        <x:v>I03</x:v>
      </x:c>
      <x:c r="B480" s="13" t="str">
        <x:v>QHL</x:v>
      </x:c>
      <x:c r="C480" s="13" t="str">
        <x:v>M85716</x:v>
      </x:c>
      <x:c r="D480" s="13" t="n">
        <x:v>68</x:v>
      </x:c>
      <x:c r="E480" s="30" t="n">
        <x:v>76.5</x:v>
      </x:c>
      <x:c r="F480" s="13" t="str">
        <x:v>I03 GP_Code!P2701/U2701</x:v>
      </x:c>
      <x:c r="G480" s="13" t="str">
        <x:v>是</x:v>
      </x:c>
      <x:c r="H480" s="12"/>
      <x:c r="I480" s="12"/>
      <x:c r="J480" s="12"/>
      <x:c r="K480" s="12"/>
      <x:c r="L480" s="12"/>
      <x:c r="M480" s="12"/>
      <x:c r="N480" s="12"/>
      <x:c r="O480" s="12"/>
    </x:row>
    <x:row r="481" ht="24" customHeight="1">
      <x:c r="A481" s="13" t="str">
        <x:v>I03</x:v>
      </x:c>
      <x:c r="B481" s="13" t="str">
        <x:v>QHL</x:v>
      </x:c>
      <x:c r="C481" s="13" t="str">
        <x:v>M85717</x:v>
      </x:c>
      <x:c r="D481" s="13" t="n">
        <x:v>64</x:v>
      </x:c>
      <x:c r="E481" s="30" t="n">
        <x:v>59.4</x:v>
      </x:c>
      <x:c r="F481" s="13" t="str">
        <x:v>I03 GP_Code!P2702/U2702</x:v>
      </x:c>
      <x:c r="G481" s="13" t="str">
        <x:v>是</x:v>
      </x:c>
      <x:c r="H481" s="12"/>
      <x:c r="I481" s="12"/>
      <x:c r="J481" s="12"/>
      <x:c r="K481" s="12"/>
      <x:c r="L481" s="12"/>
      <x:c r="M481" s="12"/>
      <x:c r="N481" s="12"/>
      <x:c r="O481" s="12"/>
    </x:row>
    <x:row r="482" ht="24" customHeight="1">
      <x:c r="A482" s="13" t="str">
        <x:v>I03</x:v>
      </x:c>
      <x:c r="B482" s="13" t="str">
        <x:v>QHL</x:v>
      </x:c>
      <x:c r="C482" s="13" t="str">
        <x:v>M85722</x:v>
      </x:c>
      <x:c r="D482" s="13" t="n">
        <x:v>57</x:v>
      </x:c>
      <x:c r="E482" s="30" t="n">
        <x:v>54.4</x:v>
      </x:c>
      <x:c r="F482" s="13" t="str">
        <x:v>I03 GP_Code!P2703/U2703</x:v>
      </x:c>
      <x:c r="G482" s="13" t="str">
        <x:v>是</x:v>
      </x:c>
      <x:c r="H482" s="12"/>
      <x:c r="I482" s="12"/>
      <x:c r="J482" s="12"/>
      <x:c r="K482" s="12"/>
      <x:c r="L482" s="12"/>
      <x:c r="M482" s="12"/>
      <x:c r="N482" s="12"/>
      <x:c r="O482" s="12"/>
    </x:row>
    <x:row r="483" ht="24" customHeight="1">
      <x:c r="A483" s="13" t="str">
        <x:v>I03</x:v>
      </x:c>
      <x:c r="B483" s="13" t="str">
        <x:v>QHL</x:v>
      </x:c>
      <x:c r="C483" s="13" t="str">
        <x:v>M85730</x:v>
      </x:c>
      <x:c r="D483" s="13" t="n">
        <x:v>47</x:v>
      </x:c>
      <x:c r="E483" s="30" t="n">
        <x:v>66</x:v>
      </x:c>
      <x:c r="F483" s="13" t="str">
        <x:v>I03 GP_Code!P2704/U2704</x:v>
      </x:c>
      <x:c r="G483" s="13" t="str">
        <x:v>是</x:v>
      </x:c>
      <x:c r="H483" s="12"/>
      <x:c r="I483" s="12"/>
      <x:c r="J483" s="12"/>
      <x:c r="K483" s="12"/>
      <x:c r="L483" s="12"/>
      <x:c r="M483" s="12"/>
      <x:c r="N483" s="12"/>
      <x:c r="O483" s="12"/>
    </x:row>
    <x:row r="484" ht="24" customHeight="1">
      <x:c r="A484" s="13" t="str">
        <x:v>I03</x:v>
      </x:c>
      <x:c r="B484" s="13" t="str">
        <x:v>QHL</x:v>
      </x:c>
      <x:c r="C484" s="13" t="str">
        <x:v>M85732</x:v>
      </x:c>
      <x:c r="D484" s="13" t="n">
        <x:v>28</x:v>
      </x:c>
      <x:c r="E484" s="30" t="n">
        <x:v>53.6</x:v>
      </x:c>
      <x:c r="F484" s="13" t="str">
        <x:v>I03 GP_Code!P2705/U2705</x:v>
      </x:c>
      <x:c r="G484" s="13" t="str">
        <x:v>是</x:v>
      </x:c>
      <x:c r="H484" s="12"/>
      <x:c r="I484" s="12"/>
      <x:c r="J484" s="12"/>
      <x:c r="K484" s="12"/>
      <x:c r="L484" s="12"/>
      <x:c r="M484" s="12"/>
      <x:c r="N484" s="12"/>
      <x:c r="O484" s="12"/>
    </x:row>
    <x:row r="485" ht="24" customHeight="1">
      <x:c r="A485" s="13" t="str">
        <x:v>I03</x:v>
      </x:c>
      <x:c r="B485" s="13" t="str">
        <x:v>QHL</x:v>
      </x:c>
      <x:c r="C485" s="13" t="str">
        <x:v>M85733</x:v>
      </x:c>
      <x:c r="D485" s="13" t="n">
        <x:v>88</x:v>
      </x:c>
      <x:c r="E485" s="30" t="n">
        <x:v>60.2</x:v>
      </x:c>
      <x:c r="F485" s="13" t="str">
        <x:v>I03 GP_Code!P2706/U2706</x:v>
      </x:c>
      <x:c r="G485" s="13" t="str">
        <x:v>是</x:v>
      </x:c>
      <x:c r="H485" s="12"/>
      <x:c r="I485" s="12"/>
      <x:c r="J485" s="12"/>
      <x:c r="K485" s="12"/>
      <x:c r="L485" s="12"/>
      <x:c r="M485" s="12"/>
      <x:c r="N485" s="12"/>
      <x:c r="O485" s="12"/>
    </x:row>
    <x:row r="486" ht="24" customHeight="1">
      <x:c r="A486" s="13" t="str">
        <x:v>I03</x:v>
      </x:c>
      <x:c r="B486" s="13" t="str">
        <x:v>QHL</x:v>
      </x:c>
      <x:c r="C486" s="13" t="str">
        <x:v>M85735</x:v>
      </x:c>
      <x:c r="D486" s="13" t="n">
        <x:v>92</x:v>
      </x:c>
      <x:c r="E486" s="30" t="n">
        <x:v>79.3</x:v>
      </x:c>
      <x:c r="F486" s="13" t="str">
        <x:v>I03 GP_Code!P2707/U2707</x:v>
      </x:c>
      <x:c r="G486" s="13" t="str">
        <x:v>是</x:v>
      </x:c>
      <x:c r="H486" s="12"/>
      <x:c r="I486" s="12"/>
      <x:c r="J486" s="12"/>
      <x:c r="K486" s="12"/>
      <x:c r="L486" s="12"/>
      <x:c r="M486" s="12"/>
      <x:c r="N486" s="12"/>
      <x:c r="O486" s="12"/>
    </x:row>
    <x:row r="487" ht="24" customHeight="1">
      <x:c r="A487" s="13" t="str">
        <x:v>I03</x:v>
      </x:c>
      <x:c r="B487" s="13" t="str">
        <x:v>QHL</x:v>
      </x:c>
      <x:c r="C487" s="13" t="str">
        <x:v>M85736</x:v>
      </x:c>
      <x:c r="D487" s="13" t="n">
        <x:v>73</x:v>
      </x:c>
      <x:c r="E487" s="30" t="n">
        <x:v>75.3</x:v>
      </x:c>
      <x:c r="F487" s="13" t="str">
        <x:v>I03 GP_Code!P2708/U2708</x:v>
      </x:c>
      <x:c r="G487" s="13" t="str">
        <x:v>是</x:v>
      </x:c>
      <x:c r="H487" s="12"/>
      <x:c r="I487" s="12"/>
      <x:c r="J487" s="12"/>
      <x:c r="K487" s="12"/>
      <x:c r="L487" s="12"/>
      <x:c r="M487" s="12"/>
      <x:c r="N487" s="12"/>
      <x:c r="O487" s="12"/>
    </x:row>
    <x:row r="488" ht="24" customHeight="1">
      <x:c r="A488" s="13" t="str">
        <x:v>I03</x:v>
      </x:c>
      <x:c r="B488" s="13" t="str">
        <x:v>QHL</x:v>
      </x:c>
      <x:c r="C488" s="13" t="str">
        <x:v>M85739</x:v>
      </x:c>
      <x:c r="D488" s="13" t="n">
        <x:v>66</x:v>
      </x:c>
      <x:c r="E488" s="30" t="n">
        <x:v>54.5</x:v>
      </x:c>
      <x:c r="F488" s="13" t="str">
        <x:v>I03 GP_Code!P2709/U2709</x:v>
      </x:c>
      <x:c r="G488" s="13" t="str">
        <x:v>是</x:v>
      </x:c>
      <x:c r="H488" s="12"/>
      <x:c r="I488" s="12"/>
      <x:c r="J488" s="12"/>
      <x:c r="K488" s="12"/>
      <x:c r="L488" s="12"/>
      <x:c r="M488" s="12"/>
      <x:c r="N488" s="12"/>
      <x:c r="O488" s="12"/>
    </x:row>
    <x:row r="489" ht="24" customHeight="1">
      <x:c r="A489" s="13" t="str">
        <x:v>I03</x:v>
      </x:c>
      <x:c r="B489" s="13" t="str">
        <x:v>QHL</x:v>
      </x:c>
      <x:c r="C489" s="13" t="str">
        <x:v>M85746</x:v>
      </x:c>
      <x:c r="D489" s="13" t="n">
        <x:v>108</x:v>
      </x:c>
      <x:c r="E489" s="30" t="n">
        <x:v>70.4</x:v>
      </x:c>
      <x:c r="F489" s="13" t="str">
        <x:v>I03 GP_Code!P2710/U2710</x:v>
      </x:c>
      <x:c r="G489" s="13" t="str">
        <x:v>是</x:v>
      </x:c>
      <x:c r="H489" s="12"/>
      <x:c r="I489" s="12"/>
      <x:c r="J489" s="12"/>
      <x:c r="K489" s="12"/>
      <x:c r="L489" s="12"/>
      <x:c r="M489" s="12"/>
      <x:c r="N489" s="12"/>
      <x:c r="O489" s="12"/>
    </x:row>
    <x:row r="490" ht="24" customHeight="1">
      <x:c r="A490" s="13" t="str">
        <x:v>I03</x:v>
      </x:c>
      <x:c r="B490" s="13" t="str">
        <x:v>QHL</x:v>
      </x:c>
      <x:c r="C490" s="13" t="str">
        <x:v>M85749</x:v>
      </x:c>
      <x:c r="D490" s="13" t="n">
        <x:v>42</x:v>
      </x:c>
      <x:c r="E490" s="30" t="n">
        <x:v>76.2</x:v>
      </x:c>
      <x:c r="F490" s="13" t="str">
        <x:v>I03 GP_Code!P2711/U2711</x:v>
      </x:c>
      <x:c r="G490" s="13" t="str">
        <x:v>是</x:v>
      </x:c>
      <x:c r="H490" s="12"/>
      <x:c r="I490" s="12"/>
      <x:c r="J490" s="12"/>
      <x:c r="K490" s="12"/>
      <x:c r="L490" s="12"/>
      <x:c r="M490" s="12"/>
      <x:c r="N490" s="12"/>
      <x:c r="O490" s="12"/>
    </x:row>
    <x:row r="491" ht="24" customHeight="1">
      <x:c r="A491" s="13" t="str">
        <x:v>I03</x:v>
      </x:c>
      <x:c r="B491" s="13" t="str">
        <x:v>QHL</x:v>
      </x:c>
      <x:c r="C491" s="13" t="str">
        <x:v>M85756</x:v>
      </x:c>
      <x:c r="D491" s="13" t="n">
        <x:v>25</x:v>
      </x:c>
      <x:c r="E491" s="30" t="n">
        <x:v>72</x:v>
      </x:c>
      <x:c r="F491" s="13" t="str">
        <x:v>I03 GP_Code!P2712/U2712</x:v>
      </x:c>
      <x:c r="G491" s="13" t="str">
        <x:v>是</x:v>
      </x:c>
      <x:c r="H491" s="12"/>
      <x:c r="I491" s="12"/>
      <x:c r="J491" s="12"/>
      <x:c r="K491" s="12"/>
      <x:c r="L491" s="12"/>
      <x:c r="M491" s="12"/>
      <x:c r="N491" s="12"/>
      <x:c r="O491" s="12"/>
    </x:row>
    <x:row r="492" ht="24" customHeight="1">
      <x:c r="A492" s="13" t="str">
        <x:v>I03</x:v>
      </x:c>
      <x:c r="B492" s="13" t="str">
        <x:v>QHL</x:v>
      </x:c>
      <x:c r="C492" s="13" t="str">
        <x:v>M85759</x:v>
      </x:c>
      <x:c r="D492" s="13" t="n">
        <x:v>119</x:v>
      </x:c>
      <x:c r="E492" s="30" t="n">
        <x:v>62.2</x:v>
      </x:c>
      <x:c r="F492" s="13" t="str">
        <x:v>I03 GP_Code!P2713/U2713</x:v>
      </x:c>
      <x:c r="G492" s="13" t="str">
        <x:v>是</x:v>
      </x:c>
      <x:c r="H492" s="12"/>
      <x:c r="I492" s="12"/>
      <x:c r="J492" s="12"/>
      <x:c r="K492" s="12"/>
      <x:c r="L492" s="12"/>
      <x:c r="M492" s="12"/>
      <x:c r="N492" s="12"/>
      <x:c r="O492" s="12"/>
    </x:row>
    <x:row r="493" ht="24" customHeight="1">
      <x:c r="A493" s="13" t="str">
        <x:v>I03</x:v>
      </x:c>
      <x:c r="B493" s="13" t="str">
        <x:v>QHL</x:v>
      </x:c>
      <x:c r="C493" s="13" t="str">
        <x:v>M85766</x:v>
      </x:c>
      <x:c r="D493" s="13" t="n">
        <x:v>44</x:v>
      </x:c>
      <x:c r="E493" s="30" t="n">
        <x:v>79.5</x:v>
      </x:c>
      <x:c r="F493" s="13" t="str">
        <x:v>I03 GP_Code!P2714/U2714</x:v>
      </x:c>
      <x:c r="G493" s="13" t="str">
        <x:v>是</x:v>
      </x:c>
      <x:c r="H493" s="12"/>
      <x:c r="I493" s="12"/>
      <x:c r="J493" s="12"/>
      <x:c r="K493" s="12"/>
      <x:c r="L493" s="12"/>
      <x:c r="M493" s="12"/>
      <x:c r="N493" s="12"/>
      <x:c r="O493" s="12"/>
    </x:row>
    <x:row r="494" ht="24" customHeight="1">
      <x:c r="A494" s="13" t="str">
        <x:v>I03</x:v>
      </x:c>
      <x:c r="B494" s="13" t="str">
        <x:v>QHL</x:v>
      </x:c>
      <x:c r="C494" s="13" t="str">
        <x:v>M85770</x:v>
      </x:c>
      <x:c r="D494" s="13" t="n">
        <x:v>15</x:v>
      </x:c>
      <x:c r="E494" s="30" t="n">
        <x:v>93.3</x:v>
      </x:c>
      <x:c r="F494" s="13" t="str">
        <x:v>I03 GP_Code!P2715/U2715</x:v>
      </x:c>
      <x:c r="G494" s="13" t="str">
        <x:v>是</x:v>
      </x:c>
      <x:c r="H494" s="12"/>
      <x:c r="I494" s="12"/>
      <x:c r="J494" s="12"/>
      <x:c r="K494" s="12"/>
      <x:c r="L494" s="12"/>
      <x:c r="M494" s="12"/>
      <x:c r="N494" s="12"/>
      <x:c r="O494" s="12"/>
    </x:row>
    <x:row r="495" ht="24" customHeight="1">
      <x:c r="A495" s="13" t="str">
        <x:v>I03</x:v>
      </x:c>
      <x:c r="B495" s="13" t="str">
        <x:v>QHL</x:v>
      </x:c>
      <x:c r="C495" s="13" t="str">
        <x:v>M85774</x:v>
      </x:c>
      <x:c r="D495" s="13" t="n">
        <x:v>122</x:v>
      </x:c>
      <x:c r="E495" s="30" t="n">
        <x:v>72.1</x:v>
      </x:c>
      <x:c r="F495" s="13" t="str">
        <x:v>I03 GP_Code!P2716/U2716</x:v>
      </x:c>
      <x:c r="G495" s="13" t="str">
        <x:v>是</x:v>
      </x:c>
      <x:c r="H495" s="12"/>
      <x:c r="I495" s="12"/>
      <x:c r="J495" s="12"/>
      <x:c r="K495" s="12"/>
      <x:c r="L495" s="12"/>
      <x:c r="M495" s="12"/>
      <x:c r="N495" s="12"/>
      <x:c r="O495" s="12"/>
    </x:row>
    <x:row r="496" ht="24" customHeight="1">
      <x:c r="A496" s="13" t="str">
        <x:v>I03</x:v>
      </x:c>
      <x:c r="B496" s="13" t="str">
        <x:v>QHL</x:v>
      </x:c>
      <x:c r="C496" s="13" t="str">
        <x:v>M85779</x:v>
      </x:c>
      <x:c r="D496" s="13" t="n">
        <x:v>41</x:v>
      </x:c>
      <x:c r="E496" s="30" t="n">
        <x:v>87.8</x:v>
      </x:c>
      <x:c r="F496" s="13" t="str">
        <x:v>I03 GP_Code!P2717/U2717</x:v>
      </x:c>
      <x:c r="G496" s="13" t="str">
        <x:v>是</x:v>
      </x:c>
      <x:c r="H496" s="12"/>
      <x:c r="I496" s="12"/>
      <x:c r="J496" s="12"/>
      <x:c r="K496" s="12"/>
      <x:c r="L496" s="12"/>
      <x:c r="M496" s="12"/>
      <x:c r="N496" s="12"/>
      <x:c r="O496" s="12"/>
    </x:row>
    <x:row r="497" ht="24" customHeight="1">
      <x:c r="A497" s="13" t="str">
        <x:v>I03</x:v>
      </x:c>
      <x:c r="B497" s="13" t="str">
        <x:v>QHL</x:v>
      </x:c>
      <x:c r="C497" s="13" t="str">
        <x:v>M85781</x:v>
      </x:c>
      <x:c r="D497" s="13" t="n">
        <x:v>55</x:v>
      </x:c>
      <x:c r="E497" s="30" t="n">
        <x:v>85.5</x:v>
      </x:c>
      <x:c r="F497" s="13" t="str">
        <x:v>I03 GP_Code!P2718/U2718</x:v>
      </x:c>
      <x:c r="G497" s="13" t="str">
        <x:v>是</x:v>
      </x:c>
      <x:c r="H497" s="12"/>
      <x:c r="I497" s="12"/>
      <x:c r="J497" s="12"/>
      <x:c r="K497" s="12"/>
      <x:c r="L497" s="12"/>
      <x:c r="M497" s="12"/>
      <x:c r="N497" s="12"/>
      <x:c r="O497" s="12"/>
    </x:row>
    <x:row r="498" ht="24" customHeight="1">
      <x:c r="A498" s="13" t="str">
        <x:v>I03</x:v>
      </x:c>
      <x:c r="B498" s="13" t="str">
        <x:v>QHL</x:v>
      </x:c>
      <x:c r="C498" s="13" t="str">
        <x:v>M85782</x:v>
      </x:c>
      <x:c r="D498" s="13" t="n">
        <x:v>9</x:v>
      </x:c>
      <x:c r="E498" s="30" t="n">
        <x:v>88.9</x:v>
      </x:c>
      <x:c r="F498" s="13" t="str">
        <x:v>I03 GP_Code!P2719/U2719</x:v>
      </x:c>
      <x:c r="G498" s="13" t="str">
        <x:v>否</x:v>
      </x:c>
      <x:c r="H498" s="12"/>
      <x:c r="I498" s="12"/>
      <x:c r="J498" s="12"/>
      <x:c r="K498" s="12"/>
      <x:c r="L498" s="12"/>
      <x:c r="M498" s="12"/>
      <x:c r="N498" s="12"/>
      <x:c r="O498" s="12"/>
    </x:row>
    <x:row r="499" ht="24" customHeight="1">
      <x:c r="A499" s="13" t="str">
        <x:v>I03</x:v>
      </x:c>
      <x:c r="B499" s="13" t="str">
        <x:v>QHL</x:v>
      </x:c>
      <x:c r="C499" s="13" t="str">
        <x:v>M85783</x:v>
      </x:c>
      <x:c r="D499" s="13" t="n">
        <x:v>117</x:v>
      </x:c>
      <x:c r="E499" s="30" t="n">
        <x:v>90.6</x:v>
      </x:c>
      <x:c r="F499" s="13" t="str">
        <x:v>I03 GP_Code!P2720/U2720</x:v>
      </x:c>
      <x:c r="G499" s="13" t="str">
        <x:v>是</x:v>
      </x:c>
      <x:c r="H499" s="12"/>
      <x:c r="I499" s="12"/>
      <x:c r="J499" s="12"/>
      <x:c r="K499" s="12"/>
      <x:c r="L499" s="12"/>
      <x:c r="M499" s="12"/>
      <x:c r="N499" s="12"/>
      <x:c r="O499" s="12"/>
    </x:row>
    <x:row r="500" ht="24" customHeight="1">
      <x:c r="A500" s="13" t="str">
        <x:v>I03</x:v>
      </x:c>
      <x:c r="B500" s="13" t="str">
        <x:v>QHL</x:v>
      </x:c>
      <x:c r="C500" s="13" t="str">
        <x:v>M85792</x:v>
      </x:c>
      <x:c r="D500" s="13" t="n">
        <x:v>38</x:v>
      </x:c>
      <x:c r="E500" s="30" t="n">
        <x:v>76.3</x:v>
      </x:c>
      <x:c r="F500" s="13" t="str">
        <x:v>I03 GP_Code!P2721/U2721</x:v>
      </x:c>
      <x:c r="G500" s="13" t="str">
        <x:v>是</x:v>
      </x:c>
      <x:c r="H500" s="12"/>
      <x:c r="I500" s="12"/>
      <x:c r="J500" s="12"/>
      <x:c r="K500" s="12"/>
      <x:c r="L500" s="12"/>
      <x:c r="M500" s="12"/>
      <x:c r="N500" s="12"/>
      <x:c r="O500" s="12"/>
    </x:row>
    <x:row r="501" ht="24" customHeight="1">
      <x:c r="A501" s="13" t="str">
        <x:v>I03</x:v>
      </x:c>
      <x:c r="B501" s="13" t="str">
        <x:v>QHL</x:v>
      </x:c>
      <x:c r="C501" s="13" t="str">
        <x:v>M85794</x:v>
      </x:c>
      <x:c r="D501" s="13" t="n">
        <x:v>63</x:v>
      </x:c>
      <x:c r="E501" s="30" t="n">
        <x:v>66.7</x:v>
      </x:c>
      <x:c r="F501" s="13" t="str">
        <x:v>I03 GP_Code!P2722/U2722</x:v>
      </x:c>
      <x:c r="G501" s="13" t="str">
        <x:v>是</x:v>
      </x:c>
      <x:c r="H501" s="12"/>
      <x:c r="I501" s="12"/>
      <x:c r="J501" s="12"/>
      <x:c r="K501" s="12"/>
      <x:c r="L501" s="12"/>
      <x:c r="M501" s="12"/>
      <x:c r="N501" s="12"/>
      <x:c r="O501" s="12"/>
    </x:row>
    <x:row r="502" ht="24" customHeight="1">
      <x:c r="A502" s="13" t="str">
        <x:v>I03</x:v>
      </x:c>
      <x:c r="B502" s="13" t="str">
        <x:v>QHL</x:v>
      </x:c>
      <x:c r="C502" s="13" t="str">
        <x:v>M85803</x:v>
      </x:c>
      <x:c r="D502" s="13" t="n">
        <x:v>184</x:v>
      </x:c>
      <x:c r="E502" s="30" t="n">
        <x:v>76.6</x:v>
      </x:c>
      <x:c r="F502" s="13" t="str">
        <x:v>I03 GP_Code!P2723/U2723</x:v>
      </x:c>
      <x:c r="G502" s="13" t="str">
        <x:v>是</x:v>
      </x:c>
      <x:c r="H502" s="12"/>
      <x:c r="I502" s="12"/>
      <x:c r="J502" s="12"/>
      <x:c r="K502" s="12"/>
      <x:c r="L502" s="12"/>
      <x:c r="M502" s="12"/>
      <x:c r="N502" s="12"/>
      <x:c r="O502" s="12"/>
    </x:row>
    <x:row r="503" ht="24" customHeight="1">
      <x:c r="A503" s="13" t="str">
        <x:v>I03</x:v>
      </x:c>
      <x:c r="B503" s="13" t="str">
        <x:v>QHL</x:v>
      </x:c>
      <x:c r="C503" s="13" t="str">
        <x:v>M88020</x:v>
      </x:c>
      <x:c r="D503" s="13" t="n">
        <x:v>131</x:v>
      </x:c>
      <x:c r="E503" s="30" t="n">
        <x:v>78.6</x:v>
      </x:c>
      <x:c r="F503" s="13" t="str">
        <x:v>I03 GP_Code!P2724/U2724</x:v>
      </x:c>
      <x:c r="G503" s="13" t="str">
        <x:v>是</x:v>
      </x:c>
      <x:c r="H503" s="12"/>
      <x:c r="I503" s="12"/>
      <x:c r="J503" s="12"/>
      <x:c r="K503" s="12"/>
      <x:c r="L503" s="12"/>
      <x:c r="M503" s="12"/>
      <x:c r="N503" s="12"/>
      <x:c r="O503" s="12"/>
    </x:row>
    <x:row r="504" ht="24" customHeight="1">
      <x:c r="A504" s="13" t="str">
        <x:v>I03</x:v>
      </x:c>
      <x:c r="B504" s="13" t="str">
        <x:v>QHL</x:v>
      </x:c>
      <x:c r="C504" s="13" t="str">
        <x:v>M89001</x:v>
      </x:c>
      <x:c r="D504" s="13" t="n">
        <x:v>39</x:v>
      </x:c>
      <x:c r="E504" s="30" t="n">
        <x:v>87.2</x:v>
      </x:c>
      <x:c r="F504" s="13" t="str">
        <x:v>I03 GP_Code!P2725/U2725</x:v>
      </x:c>
      <x:c r="G504" s="13" t="str">
        <x:v>是</x:v>
      </x:c>
      <x:c r="H504" s="12"/>
      <x:c r="I504" s="12"/>
      <x:c r="J504" s="12"/>
      <x:c r="K504" s="12"/>
      <x:c r="L504" s="12"/>
      <x:c r="M504" s="12"/>
      <x:c r="N504" s="12"/>
      <x:c r="O504" s="12"/>
    </x:row>
    <x:row r="505" ht="24" customHeight="1">
      <x:c r="A505" s="13" t="str">
        <x:v>I03</x:v>
      </x:c>
      <x:c r="B505" s="13" t="str">
        <x:v>QHL</x:v>
      </x:c>
      <x:c r="C505" s="13" t="str">
        <x:v>M89002</x:v>
      </x:c>
      <x:c r="D505" s="13" t="n">
        <x:v>77</x:v>
      </x:c>
      <x:c r="E505" s="30" t="n">
        <x:v>76.6</x:v>
      </x:c>
      <x:c r="F505" s="13" t="str">
        <x:v>I03 GP_Code!P2726/U2726</x:v>
      </x:c>
      <x:c r="G505" s="13" t="str">
        <x:v>是</x:v>
      </x:c>
      <x:c r="H505" s="12"/>
      <x:c r="I505" s="12"/>
      <x:c r="J505" s="12"/>
      <x:c r="K505" s="12"/>
      <x:c r="L505" s="12"/>
      <x:c r="M505" s="12"/>
      <x:c r="N505" s="12"/>
      <x:c r="O505" s="12"/>
    </x:row>
    <x:row r="506" ht="24" customHeight="1">
      <x:c r="A506" s="13" t="str">
        <x:v>I03</x:v>
      </x:c>
      <x:c r="B506" s="13" t="str">
        <x:v>QHL</x:v>
      </x:c>
      <x:c r="C506" s="13" t="str">
        <x:v>M89003</x:v>
      </x:c>
      <x:c r="D506" s="13" t="n">
        <x:v>440</x:v>
      </x:c>
      <x:c r="E506" s="30" t="n">
        <x:v>91.4</x:v>
      </x:c>
      <x:c r="F506" s="13" t="str">
        <x:v>I03 GP_Code!P2727/U2727</x:v>
      </x:c>
      <x:c r="G506" s="13" t="str">
        <x:v>是</x:v>
      </x:c>
      <x:c r="H506" s="12"/>
      <x:c r="I506" s="12"/>
      <x:c r="J506" s="12"/>
      <x:c r="K506" s="12"/>
      <x:c r="L506" s="12"/>
      <x:c r="M506" s="12"/>
      <x:c r="N506" s="12"/>
      <x:c r="O506" s="12"/>
    </x:row>
    <x:row r="507" ht="24" customHeight="1">
      <x:c r="A507" s="13" t="str">
        <x:v>I03</x:v>
      </x:c>
      <x:c r="B507" s="13" t="str">
        <x:v>QHL</x:v>
      </x:c>
      <x:c r="C507" s="13" t="str">
        <x:v>M89005</x:v>
      </x:c>
      <x:c r="D507" s="13" t="n">
        <x:v>87</x:v>
      </x:c>
      <x:c r="E507" s="30" t="n">
        <x:v>93.1</x:v>
      </x:c>
      <x:c r="F507" s="13" t="str">
        <x:v>I03 GP_Code!P2728/U2728</x:v>
      </x:c>
      <x:c r="G507" s="13" t="str">
        <x:v>是</x:v>
      </x:c>
      <x:c r="H507" s="12"/>
      <x:c r="I507" s="12"/>
      <x:c r="J507" s="12"/>
      <x:c r="K507" s="12"/>
      <x:c r="L507" s="12"/>
      <x:c r="M507" s="12"/>
      <x:c r="N507" s="12"/>
      <x:c r="O507" s="12"/>
    </x:row>
    <x:row r="508" ht="24" customHeight="1">
      <x:c r="A508" s="13" t="str">
        <x:v>I03</x:v>
      </x:c>
      <x:c r="B508" s="13" t="str">
        <x:v>QHL</x:v>
      </x:c>
      <x:c r="C508" s="13" t="str">
        <x:v>M89007</x:v>
      </x:c>
      <x:c r="D508" s="13" t="n">
        <x:v>72</x:v>
      </x:c>
      <x:c r="E508" s="30" t="n">
        <x:v>81.9</x:v>
      </x:c>
      <x:c r="F508" s="13" t="str">
        <x:v>I03 GP_Code!P2729/U2729</x:v>
      </x:c>
      <x:c r="G508" s="13" t="str">
        <x:v>是</x:v>
      </x:c>
      <x:c r="H508" s="12"/>
      <x:c r="I508" s="12"/>
      <x:c r="J508" s="12"/>
      <x:c r="K508" s="12"/>
      <x:c r="L508" s="12"/>
      <x:c r="M508" s="12"/>
      <x:c r="N508" s="12"/>
      <x:c r="O508" s="12"/>
    </x:row>
    <x:row r="509" ht="24" customHeight="1">
      <x:c r="A509" s="13" t="str">
        <x:v>I03</x:v>
      </x:c>
      <x:c r="B509" s="13" t="str">
        <x:v>QHL</x:v>
      </x:c>
      <x:c r="C509" s="13" t="str">
        <x:v>M89008</x:v>
      </x:c>
      <x:c r="D509" s="13" t="n">
        <x:v>181</x:v>
      </x:c>
      <x:c r="E509" s="30" t="n">
        <x:v>85.1</x:v>
      </x:c>
      <x:c r="F509" s="13" t="str">
        <x:v>I03 GP_Code!P2730/U2730</x:v>
      </x:c>
      <x:c r="G509" s="13" t="str">
        <x:v>是</x:v>
      </x:c>
      <x:c r="H509" s="12"/>
      <x:c r="I509" s="12"/>
      <x:c r="J509" s="12"/>
      <x:c r="K509" s="12"/>
      <x:c r="L509" s="12"/>
      <x:c r="M509" s="12"/>
      <x:c r="N509" s="12"/>
      <x:c r="O509" s="12"/>
    </x:row>
    <x:row r="510" ht="24" customHeight="1">
      <x:c r="A510" s="13" t="str">
        <x:v>I03</x:v>
      </x:c>
      <x:c r="B510" s="13" t="str">
        <x:v>QHL</x:v>
      </x:c>
      <x:c r="C510" s="13" t="str">
        <x:v>M89009</x:v>
      </x:c>
      <x:c r="D510" s="13" t="n">
        <x:v>149</x:v>
      </x:c>
      <x:c r="E510" s="30" t="n">
        <x:v>79.9</x:v>
      </x:c>
      <x:c r="F510" s="13" t="str">
        <x:v>I03 GP_Code!P2731/U2731</x:v>
      </x:c>
      <x:c r="G510" s="13" t="str">
        <x:v>是</x:v>
      </x:c>
      <x:c r="H510" s="12"/>
      <x:c r="I510" s="12"/>
      <x:c r="J510" s="12"/>
      <x:c r="K510" s="12"/>
      <x:c r="L510" s="12"/>
      <x:c r="M510" s="12"/>
      <x:c r="N510" s="12"/>
      <x:c r="O510" s="12"/>
    </x:row>
    <x:row r="511" ht="24" customHeight="1">
      <x:c r="A511" s="13" t="str">
        <x:v>I03</x:v>
      </x:c>
      <x:c r="B511" s="13" t="str">
        <x:v>QHL</x:v>
      </x:c>
      <x:c r="C511" s="13" t="str">
        <x:v>M89010</x:v>
      </x:c>
      <x:c r="D511" s="13" t="n">
        <x:v>112</x:v>
      </x:c>
      <x:c r="E511" s="30" t="n">
        <x:v>97.3</x:v>
      </x:c>
      <x:c r="F511" s="13" t="str">
        <x:v>I03 GP_Code!P2732/U2732</x:v>
      </x:c>
      <x:c r="G511" s="13" t="str">
        <x:v>是</x:v>
      </x:c>
      <x:c r="H511" s="12"/>
      <x:c r="I511" s="12"/>
      <x:c r="J511" s="12"/>
      <x:c r="K511" s="12"/>
      <x:c r="L511" s="12"/>
      <x:c r="M511" s="12"/>
      <x:c r="N511" s="12"/>
      <x:c r="O511" s="12"/>
    </x:row>
    <x:row r="512" ht="24" customHeight="1">
      <x:c r="A512" s="13" t="str">
        <x:v>I03</x:v>
      </x:c>
      <x:c r="B512" s="13" t="str">
        <x:v>QHL</x:v>
      </x:c>
      <x:c r="C512" s="13" t="str">
        <x:v>M89012</x:v>
      </x:c>
      <x:c r="D512" s="13" t="n">
        <x:v>163</x:v>
      </x:c>
      <x:c r="E512" s="30" t="n">
        <x:v>78.5</x:v>
      </x:c>
      <x:c r="F512" s="13" t="str">
        <x:v>I03 GP_Code!P2733/U2733</x:v>
      </x:c>
      <x:c r="G512" s="13" t="str">
        <x:v>是</x:v>
      </x:c>
      <x:c r="H512" s="12"/>
      <x:c r="I512" s="12"/>
      <x:c r="J512" s="12"/>
      <x:c r="K512" s="12"/>
      <x:c r="L512" s="12"/>
      <x:c r="M512" s="12"/>
      <x:c r="N512" s="12"/>
      <x:c r="O512" s="12"/>
    </x:row>
    <x:row r="513" ht="24" customHeight="1">
      <x:c r="A513" s="13" t="str">
        <x:v>I03</x:v>
      </x:c>
      <x:c r="B513" s="13" t="str">
        <x:v>QHL</x:v>
      </x:c>
      <x:c r="C513" s="13" t="str">
        <x:v>M89013</x:v>
      </x:c>
      <x:c r="D513" s="13" t="n">
        <x:v>84</x:v>
      </x:c>
      <x:c r="E513" s="30" t="n">
        <x:v>75</x:v>
      </x:c>
      <x:c r="F513" s="13" t="str">
        <x:v>I03 GP_Code!P2734/U2734</x:v>
      </x:c>
      <x:c r="G513" s="13" t="str">
        <x:v>是</x:v>
      </x:c>
      <x:c r="H513" s="12"/>
      <x:c r="I513" s="12"/>
      <x:c r="J513" s="12"/>
      <x:c r="K513" s="12"/>
      <x:c r="L513" s="12"/>
      <x:c r="M513" s="12"/>
      <x:c r="N513" s="12"/>
      <x:c r="O513" s="12"/>
    </x:row>
    <x:row r="514" ht="24" customHeight="1">
      <x:c r="A514" s="13" t="str">
        <x:v>I03</x:v>
      </x:c>
      <x:c r="B514" s="13" t="str">
        <x:v>QHL</x:v>
      </x:c>
      <x:c r="C514" s="13" t="str">
        <x:v>M89015</x:v>
      </x:c>
      <x:c r="D514" s="13" t="n">
        <x:v>127</x:v>
      </x:c>
      <x:c r="E514" s="30" t="n">
        <x:v>84.3</x:v>
      </x:c>
      <x:c r="F514" s="13" t="str">
        <x:v>I03 GP_Code!P2735/U2735</x:v>
      </x:c>
      <x:c r="G514" s="13" t="str">
        <x:v>是</x:v>
      </x:c>
      <x:c r="H514" s="12"/>
      <x:c r="I514" s="12"/>
      <x:c r="J514" s="12"/>
      <x:c r="K514" s="12"/>
      <x:c r="L514" s="12"/>
      <x:c r="M514" s="12"/>
      <x:c r="N514" s="12"/>
      <x:c r="O514" s="12"/>
    </x:row>
    <x:row r="515" ht="24" customHeight="1">
      <x:c r="A515" s="13" t="str">
        <x:v>I03</x:v>
      </x:c>
      <x:c r="B515" s="13" t="str">
        <x:v>QHL</x:v>
      </x:c>
      <x:c r="C515" s="13" t="str">
        <x:v>M89016</x:v>
      </x:c>
      <x:c r="D515" s="13" t="n">
        <x:v>128</x:v>
      </x:c>
      <x:c r="E515" s="30" t="n">
        <x:v>89.1</x:v>
      </x:c>
      <x:c r="F515" s="13" t="str">
        <x:v>I03 GP_Code!P2736/U2736</x:v>
      </x:c>
      <x:c r="G515" s="13" t="str">
        <x:v>是</x:v>
      </x:c>
      <x:c r="H515" s="12"/>
      <x:c r="I515" s="12"/>
      <x:c r="J515" s="12"/>
      <x:c r="K515" s="12"/>
      <x:c r="L515" s="12"/>
      <x:c r="M515" s="12"/>
      <x:c r="N515" s="12"/>
      <x:c r="O515" s="12"/>
    </x:row>
    <x:row r="516" ht="24" customHeight="1">
      <x:c r="A516" s="13" t="str">
        <x:v>I03</x:v>
      </x:c>
      <x:c r="B516" s="13" t="str">
        <x:v>QHL</x:v>
      </x:c>
      <x:c r="C516" s="13" t="str">
        <x:v>M89017</x:v>
      </x:c>
      <x:c r="D516" s="13" t="n">
        <x:v>644</x:v>
      </x:c>
      <x:c r="E516" s="30" t="n">
        <x:v>84.3</x:v>
      </x:c>
      <x:c r="F516" s="13" t="str">
        <x:v>I03 GP_Code!P2737/U2737</x:v>
      </x:c>
      <x:c r="G516" s="13" t="str">
        <x:v>是</x:v>
      </x:c>
      <x:c r="H516" s="12"/>
      <x:c r="I516" s="12"/>
      <x:c r="J516" s="12"/>
      <x:c r="K516" s="12"/>
      <x:c r="L516" s="12"/>
      <x:c r="M516" s="12"/>
      <x:c r="N516" s="12"/>
      <x:c r="O516" s="12"/>
    </x:row>
    <x:row r="517" ht="24" customHeight="1">
      <x:c r="A517" s="13" t="str">
        <x:v>I03</x:v>
      </x:c>
      <x:c r="B517" s="13" t="str">
        <x:v>QHL</x:v>
      </x:c>
      <x:c r="C517" s="13" t="str">
        <x:v>M89019</x:v>
      </x:c>
      <x:c r="D517" s="13" t="n">
        <x:v>147</x:v>
      </x:c>
      <x:c r="E517" s="30" t="n">
        <x:v>87.8</x:v>
      </x:c>
      <x:c r="F517" s="13" t="str">
        <x:v>I03 GP_Code!P2738/U2738</x:v>
      </x:c>
      <x:c r="G517" s="13" t="str">
        <x:v>是</x:v>
      </x:c>
      <x:c r="H517" s="12"/>
      <x:c r="I517" s="12"/>
      <x:c r="J517" s="12"/>
      <x:c r="K517" s="12"/>
      <x:c r="L517" s="12"/>
      <x:c r="M517" s="12"/>
      <x:c r="N517" s="12"/>
      <x:c r="O517" s="12"/>
    </x:row>
    <x:row r="518" ht="24" customHeight="1">
      <x:c r="A518" s="13" t="str">
        <x:v>I03</x:v>
      </x:c>
      <x:c r="B518" s="13" t="str">
        <x:v>QHL</x:v>
      </x:c>
      <x:c r="C518" s="13" t="str">
        <x:v>M89021</x:v>
      </x:c>
      <x:c r="D518" s="13" t="n">
        <x:v>44</x:v>
      </x:c>
      <x:c r="E518" s="30" t="n">
        <x:v>95.5</x:v>
      </x:c>
      <x:c r="F518" s="13" t="str">
        <x:v>I03 GP_Code!P2739/U2739</x:v>
      </x:c>
      <x:c r="G518" s="13" t="str">
        <x:v>是</x:v>
      </x:c>
      <x:c r="H518" s="12"/>
      <x:c r="I518" s="12"/>
      <x:c r="J518" s="12"/>
      <x:c r="K518" s="12"/>
      <x:c r="L518" s="12"/>
      <x:c r="M518" s="12"/>
      <x:c r="N518" s="12"/>
      <x:c r="O518" s="12"/>
    </x:row>
    <x:row r="519" ht="24" customHeight="1">
      <x:c r="A519" s="13" t="str">
        <x:v>I03</x:v>
      </x:c>
      <x:c r="B519" s="13" t="str">
        <x:v>QHL</x:v>
      </x:c>
      <x:c r="C519" s="13" t="str">
        <x:v>M89024</x:v>
      </x:c>
      <x:c r="D519" s="13" t="n">
        <x:v>53</x:v>
      </x:c>
      <x:c r="E519" s="30" t="n">
        <x:v>88.7</x:v>
      </x:c>
      <x:c r="F519" s="13" t="str">
        <x:v>I03 GP_Code!P2740/U2740</x:v>
      </x:c>
      <x:c r="G519" s="13" t="str">
        <x:v>是</x:v>
      </x:c>
      <x:c r="H519" s="12"/>
      <x:c r="I519" s="12"/>
      <x:c r="J519" s="12"/>
      <x:c r="K519" s="12"/>
      <x:c r="L519" s="12"/>
      <x:c r="M519" s="12"/>
      <x:c r="N519" s="12"/>
      <x:c r="O519" s="12"/>
    </x:row>
    <x:row r="520" ht="24" customHeight="1">
      <x:c r="A520" s="13" t="str">
        <x:v>I03</x:v>
      </x:c>
      <x:c r="B520" s="13" t="str">
        <x:v>QHL</x:v>
      </x:c>
      <x:c r="C520" s="13" t="str">
        <x:v>M89026</x:v>
      </x:c>
      <x:c r="D520" s="13" t="n">
        <x:v>144</x:v>
      </x:c>
      <x:c r="E520" s="30" t="n">
        <x:v>93.8</x:v>
      </x:c>
      <x:c r="F520" s="13" t="str">
        <x:v>I03 GP_Code!P2741/U2741</x:v>
      </x:c>
      <x:c r="G520" s="13" t="str">
        <x:v>是</x:v>
      </x:c>
      <x:c r="H520" s="12"/>
      <x:c r="I520" s="12"/>
      <x:c r="J520" s="12"/>
      <x:c r="K520" s="12"/>
      <x:c r="L520" s="12"/>
      <x:c r="M520" s="12"/>
      <x:c r="N520" s="12"/>
      <x:c r="O520" s="12"/>
    </x:row>
    <x:row r="521" ht="24" customHeight="1">
      <x:c r="A521" s="13" t="str">
        <x:v>I03</x:v>
      </x:c>
      <x:c r="B521" s="13" t="str">
        <x:v>QHL</x:v>
      </x:c>
      <x:c r="C521" s="13" t="str">
        <x:v>M89027</x:v>
      </x:c>
      <x:c r="D521" s="13" t="n">
        <x:v>108</x:v>
      </x:c>
      <x:c r="E521" s="30" t="n">
        <x:v>80.6</x:v>
      </x:c>
      <x:c r="F521" s="13" t="str">
        <x:v>I03 GP_Code!P2742/U2742</x:v>
      </x:c>
      <x:c r="G521" s="13" t="str">
        <x:v>是</x:v>
      </x:c>
      <x:c r="H521" s="12"/>
      <x:c r="I521" s="12"/>
      <x:c r="J521" s="12"/>
      <x:c r="K521" s="12"/>
      <x:c r="L521" s="12"/>
      <x:c r="M521" s="12"/>
      <x:c r="N521" s="12"/>
      <x:c r="O521" s="12"/>
    </x:row>
    <x:row r="522" ht="24" customHeight="1">
      <x:c r="A522" s="13" t="str">
        <x:v>I03</x:v>
      </x:c>
      <x:c r="B522" s="13" t="str">
        <x:v>QHL</x:v>
      </x:c>
      <x:c r="C522" s="13" t="str">
        <x:v>M89030</x:v>
      </x:c>
      <x:c r="D522" s="13" t="n">
        <x:v>65</x:v>
      </x:c>
      <x:c r="E522" s="30" t="n">
        <x:v>86.2</x:v>
      </x:c>
      <x:c r="F522" s="13" t="str">
        <x:v>I03 GP_Code!P2743/U2743</x:v>
      </x:c>
      <x:c r="G522" s="13" t="str">
        <x:v>是</x:v>
      </x:c>
      <x:c r="H522" s="12"/>
      <x:c r="I522" s="12"/>
      <x:c r="J522" s="12"/>
      <x:c r="K522" s="12"/>
      <x:c r="L522" s="12"/>
      <x:c r="M522" s="12"/>
      <x:c r="N522" s="12"/>
      <x:c r="O522" s="12"/>
    </x:row>
    <x:row r="523" ht="24" customHeight="1">
      <x:c r="A523" s="13" t="str">
        <x:v>I03</x:v>
      </x:c>
      <x:c r="B523" s="13" t="str">
        <x:v>QHL</x:v>
      </x:c>
      <x:c r="C523" s="13" t="str">
        <x:v>M89608</x:v>
      </x:c>
      <x:c r="D523" s="13" t="n">
        <x:v>33</x:v>
      </x:c>
      <x:c r="E523" s="30" t="n">
        <x:v>93.9</x:v>
      </x:c>
      <x:c r="F523" s="13" t="str">
        <x:v>I03 GP_Code!P2744/U2744</x:v>
      </x:c>
      <x:c r="G523" s="13" t="str">
        <x:v>是</x:v>
      </x:c>
      <x:c r="H523" s="12"/>
      <x:c r="I523" s="12"/>
      <x:c r="J523" s="12"/>
      <x:c r="K523" s="12"/>
      <x:c r="L523" s="12"/>
      <x:c r="M523" s="12"/>
      <x:c r="N523" s="12"/>
      <x:c r="O523" s="12"/>
    </x:row>
    <x:row r="524" ht="24" customHeight="1">
      <x:c r="A524" s="13" t="str">
        <x:v>I03</x:v>
      </x:c>
      <x:c r="B524" s="13" t="str">
        <x:v>QHL</x:v>
      </x:c>
      <x:c r="C524" s="13" t="str">
        <x:v>M91642</x:v>
      </x:c>
      <x:c r="D524" s="13" t="n">
        <x:v>15</x:v>
      </x:c>
      <x:c r="E524" s="30" t="n">
        <x:v>80</x:v>
      </x:c>
      <x:c r="F524" s="13" t="str">
        <x:v>I03 GP_Code!P2745/U2745</x:v>
      </x:c>
      <x:c r="G524" s="13" t="str">
        <x:v>是</x:v>
      </x:c>
      <x:c r="H524" s="12"/>
      <x:c r="I524" s="12"/>
      <x:c r="J524" s="12"/>
      <x:c r="K524" s="12"/>
      <x:c r="L524" s="12"/>
      <x:c r="M524" s="12"/>
      <x:c r="N524" s="12"/>
      <x:c r="O524" s="12"/>
    </x:row>
    <x:row r="525" ht="24" customHeight="1">
      <x:c r="A525" s="13" t="str">
        <x:v>I03</x:v>
      </x:c>
      <x:c r="B525" s="13" t="str">
        <x:v>QHL</x:v>
      </x:c>
      <x:c r="C525" s="13" t="str">
        <x:v>V81999</x:v>
      </x:c>
      <x:c r="D525" s="13" t="n">
        <x:v>905</x:v>
      </x:c>
      <x:c r="E525" s="30" t="n">
        <x:v>9.4</x:v>
      </x:c>
      <x:c r="F525" s="13" t="str">
        <x:v>I03 GP_Code!P2746/U2746</x:v>
      </x:c>
      <x:c r="G525" s="13" t="str">
        <x:v>否</x:v>
      </x:c>
      <x:c r="H525" s="12"/>
      <x:c r="I525" s="12"/>
      <x:c r="J525" s="12"/>
      <x:c r="K525" s="12"/>
      <x:c r="L525" s="12"/>
      <x:c r="M525" s="12"/>
      <x:c r="N525" s="12"/>
      <x:c r="O525" s="12"/>
    </x:row>
    <x:row r="526" ht="24" customHeight="1">
      <x:c r="A526" s="13" t="str">
        <x:v>I03</x:v>
      </x:c>
      <x:c r="B526" s="13" t="str">
        <x:v>QHL</x:v>
      </x:c>
      <x:c r="C526" s="13" t="str">
        <x:v>Y00159</x:v>
      </x:c>
      <x:c r="D526" s="13" t="n">
        <x:v>414</x:v>
      </x:c>
      <x:c r="E526" s="30" t="n">
        <x:v>87.9</x:v>
      </x:c>
      <x:c r="F526" s="13" t="str">
        <x:v>I03 GP_Code!P2747/U2747</x:v>
      </x:c>
      <x:c r="G526" s="13" t="str">
        <x:v>是</x:v>
      </x:c>
      <x:c r="H526" s="12"/>
      <x:c r="I526" s="12"/>
      <x:c r="J526" s="12"/>
      <x:c r="K526" s="12"/>
      <x:c r="L526" s="12"/>
      <x:c r="M526" s="12"/>
      <x:c r="N526" s="12"/>
      <x:c r="O526" s="12"/>
    </x:row>
    <x:row r="527" ht="24" customHeight="1">
      <x:c r="A527" s="13" t="str">
        <x:v>I03</x:v>
      </x:c>
      <x:c r="B527" s="13" t="str">
        <x:v>QHL</x:v>
      </x:c>
      <x:c r="C527" s="13" t="str">
        <x:v>Y01068</x:v>
      </x:c>
      <x:c r="D527" s="13" t="n">
        <x:v>71</x:v>
      </x:c>
      <x:c r="E527" s="30" t="n">
        <x:v>77.5</x:v>
      </x:c>
      <x:c r="F527" s="13" t="str">
        <x:v>I03 GP_Code!P2748/U2748</x:v>
      </x:c>
      <x:c r="G527" s="13" t="str">
        <x:v>是</x:v>
      </x:c>
      <x:c r="H527" s="12"/>
      <x:c r="I527" s="12"/>
      <x:c r="J527" s="12"/>
      <x:c r="K527" s="12"/>
      <x:c r="L527" s="12"/>
      <x:c r="M527" s="12"/>
      <x:c r="N527" s="12"/>
      <x:c r="O527" s="12"/>
    </x:row>
    <x:row r="528" ht="24" customHeight="1">
      <x:c r="A528" s="13" t="str">
        <x:v>I03</x:v>
      </x:c>
      <x:c r="B528" s="13" t="str">
        <x:v>QHL</x:v>
      </x:c>
      <x:c r="C528" s="13" t="str">
        <x:v>Y02567</x:v>
      </x:c>
      <x:c r="D528" s="13" t="n">
        <x:v>118</x:v>
      </x:c>
      <x:c r="E528" s="30" t="n">
        <x:v>73.7</x:v>
      </x:c>
      <x:c r="F528" s="13" t="str">
        <x:v>I03 GP_Code!P2749/U2749</x:v>
      </x:c>
      <x:c r="G528" s="13" t="str">
        <x:v>是</x:v>
      </x:c>
      <x:c r="H528" s="12"/>
      <x:c r="I528" s="12"/>
      <x:c r="J528" s="12"/>
      <x:c r="K528" s="12"/>
      <x:c r="L528" s="12"/>
      <x:c r="M528" s="12"/>
      <x:c r="N528" s="12"/>
      <x:c r="O528" s="12"/>
    </x:row>
    <x:row r="529" ht="24" customHeight="1">
      <x:c r="A529" s="13" t="str">
        <x:v>I03</x:v>
      </x:c>
      <x:c r="B529" s="13" t="str">
        <x:v>QHL</x:v>
      </x:c>
      <x:c r="C529" s="13" t="str">
        <x:v>Y02571</x:v>
      </x:c>
      <x:c r="D529" s="13" t="n">
        <x:v>107</x:v>
      </x:c>
      <x:c r="E529" s="30" t="n">
        <x:v>81.3</x:v>
      </x:c>
      <x:c r="F529" s="13" t="str">
        <x:v>I03 GP_Code!P2750/U2750</x:v>
      </x:c>
      <x:c r="G529" s="13" t="str">
        <x:v>是</x:v>
      </x:c>
      <x:c r="H529" s="12"/>
      <x:c r="I529" s="12"/>
      <x:c r="J529" s="12"/>
      <x:c r="K529" s="12"/>
      <x:c r="L529" s="12"/>
      <x:c r="M529" s="12"/>
      <x:c r="N529" s="12"/>
      <x:c r="O529" s="12"/>
    </x:row>
    <x:row r="530" ht="24" customHeight="1">
      <x:c r="A530" s="13" t="str">
        <x:v>I03</x:v>
      </x:c>
      <x:c r="B530" s="13" t="str">
        <x:v>QHL</x:v>
      </x:c>
      <x:c r="C530" s="13" t="str">
        <x:v>Y02794</x:v>
      </x:c>
      <x:c r="D530" s="13" t="n">
        <x:v>247</x:v>
      </x:c>
      <x:c r="E530" s="30" t="n">
        <x:v>58.3</x:v>
      </x:c>
      <x:c r="F530" s="13" t="str">
        <x:v>I03 GP_Code!P2751/U2751</x:v>
      </x:c>
      <x:c r="G530" s="13" t="str">
        <x:v>是</x:v>
      </x:c>
      <x:c r="H530" s="12"/>
      <x:c r="I530" s="12"/>
      <x:c r="J530" s="12"/>
      <x:c r="K530" s="12"/>
      <x:c r="L530" s="12"/>
      <x:c r="M530" s="12"/>
      <x:c r="N530" s="12"/>
      <x:c r="O530" s="12"/>
    </x:row>
    <x:row r="531" ht="24" customHeight="1">
      <x:c r="A531" s="13" t="str">
        <x:v>I03</x:v>
      </x:c>
      <x:c r="B531" s="13" t="str">
        <x:v>QHL</x:v>
      </x:c>
      <x:c r="C531" s="13" t="str">
        <x:v>Y02893</x:v>
      </x:c>
      <x:c r="D531" s="13" t="n">
        <x:v>323</x:v>
      </x:c>
      <x:c r="E531" s="30" t="n">
        <x:v>76.8</x:v>
      </x:c>
      <x:c r="F531" s="13" t="str">
        <x:v>I03 GP_Code!P2752/U2752</x:v>
      </x:c>
      <x:c r="G531" s="13" t="str">
        <x:v>是</x:v>
      </x:c>
      <x:c r="H531" s="12"/>
      <x:c r="I531" s="12"/>
      <x:c r="J531" s="12"/>
      <x:c r="K531" s="12"/>
      <x:c r="L531" s="12"/>
      <x:c r="M531" s="12"/>
      <x:c r="N531" s="12"/>
      <x:c r="O531" s="12"/>
    </x:row>
    <x:row r="532" ht="24" customHeight="1">
      <x:c r="A532" s="13" t="str">
        <x:v>I03</x:v>
      </x:c>
      <x:c r="B532" s="13" t="str">
        <x:v>QHL</x:v>
      </x:c>
      <x:c r="C532" s="13" t="str">
        <x:v>Y03597</x:v>
      </x:c>
      <x:c r="D532" s="13" t="n">
        <x:v>131</x:v>
      </x:c>
      <x:c r="E532" s="30" t="n">
        <x:v>66.4</x:v>
      </x:c>
      <x:c r="F532" s="13" t="str">
        <x:v>I03 GP_Code!P2753/U2753</x:v>
      </x:c>
      <x:c r="G532" s="13" t="str">
        <x:v>是</x:v>
      </x:c>
      <x:c r="H532" s="12"/>
      <x:c r="I532" s="12"/>
      <x:c r="J532" s="12"/>
      <x:c r="K532" s="12"/>
      <x:c r="L532" s="12"/>
      <x:c r="M532" s="12"/>
      <x:c r="N532" s="12"/>
      <x:c r="O532" s="12"/>
    </x:row>
    <x:row r="533" ht="24" customHeight="1">
      <x:c r="A533" s="13" t="str">
        <x:v>I03</x:v>
      </x:c>
      <x:c r="B533" s="13" t="str">
        <x:v>QHL</x:v>
      </x:c>
      <x:c r="C533" s="13" t="str">
        <x:v>Y05826</x:v>
      </x:c>
      <x:c r="D533" s="13" t="n">
        <x:v>110</x:v>
      </x:c>
      <x:c r="E533" s="30" t="n">
        <x:v>77.3</x:v>
      </x:c>
      <x:c r="F533" s="13" t="str">
        <x:v>I03 GP_Code!P2754/U2754</x:v>
      </x:c>
      <x:c r="G533" s="13" t="str">
        <x:v>是</x:v>
      </x:c>
      <x:c r="H533" s="12"/>
      <x:c r="I533" s="12"/>
      <x:c r="J533" s="12"/>
      <x:c r="K533" s="12"/>
      <x:c r="L533" s="12"/>
      <x:c r="M533" s="12"/>
      <x:c r="N533" s="12"/>
      <x:c r="O533" s="12"/>
    </x:row>
    <x:row r="534" ht="24" customHeight="1">
      <x:c r="A534" s="13" t="str">
        <x:v>I03</x:v>
      </x:c>
      <x:c r="B534" s="13" t="str">
        <x:v>QUA</x:v>
      </x:c>
      <x:c r="C534" s="13" t="str">
        <x:v>M85002</x:v>
      </x:c>
      <x:c r="D534" s="13" t="n">
        <x:v>204</x:v>
      </x:c>
      <x:c r="E534" s="30" t="n">
        <x:v>77.5</x:v>
      </x:c>
      <x:c r="F534" s="13" t="str">
        <x:v>I03 GP_Code!P5517/U5517</x:v>
      </x:c>
      <x:c r="G534" s="13" t="str">
        <x:v>否</x:v>
      </x:c>
      <x:c r="H534" s="12"/>
      <x:c r="I534" s="12"/>
      <x:c r="J534" s="12"/>
      <x:c r="K534" s="12"/>
      <x:c r="L534" s="12"/>
      <x:c r="M534" s="12"/>
      <x:c r="N534" s="12"/>
      <x:c r="O534" s="12"/>
    </x:row>
    <x:row r="535" ht="24" customHeight="1">
      <x:c r="A535" s="13" t="str">
        <x:v>I03</x:v>
      </x:c>
      <x:c r="B535" s="13" t="str">
        <x:v>QUA</x:v>
      </x:c>
      <x:c r="C535" s="13" t="str">
        <x:v>M85009</x:v>
      </x:c>
      <x:c r="D535" s="13" t="n">
        <x:v>74</x:v>
      </x:c>
      <x:c r="E535" s="30" t="n">
        <x:v>79.7</x:v>
      </x:c>
      <x:c r="F535" s="13" t="str">
        <x:v>I03 GP_Code!P5518/U5518</x:v>
      </x:c>
      <x:c r="G535" s="13" t="str">
        <x:v>否</x:v>
      </x:c>
      <x:c r="H535" s="12"/>
      <x:c r="I535" s="12"/>
      <x:c r="J535" s="12"/>
      <x:c r="K535" s="12"/>
      <x:c r="L535" s="12"/>
      <x:c r="M535" s="12"/>
      <x:c r="N535" s="12"/>
      <x:c r="O535" s="12"/>
    </x:row>
    <x:row r="536" ht="24" customHeight="1">
      <x:c r="A536" s="13" t="str">
        <x:v>I03</x:v>
      </x:c>
      <x:c r="B536" s="13" t="str">
        <x:v>QUA</x:v>
      </x:c>
      <x:c r="C536" s="13" t="str">
        <x:v>M85019</x:v>
      </x:c>
      <x:c r="D536" s="13" t="n">
        <x:v>232</x:v>
      </x:c>
      <x:c r="E536" s="30" t="n">
        <x:v>75.9</x:v>
      </x:c>
      <x:c r="F536" s="13" t="str">
        <x:v>I03 GP_Code!P5519/U5519</x:v>
      </x:c>
      <x:c r="G536" s="13" t="str">
        <x:v>否</x:v>
      </x:c>
      <x:c r="H536" s="12"/>
      <x:c r="I536" s="12"/>
      <x:c r="J536" s="12"/>
      <x:c r="K536" s="12"/>
      <x:c r="L536" s="12"/>
      <x:c r="M536" s="12"/>
      <x:c r="N536" s="12"/>
      <x:c r="O536" s="12"/>
    </x:row>
    <x:row r="537" ht="24" customHeight="1">
      <x:c r="A537" s="13" t="str">
        <x:v>I03</x:v>
      </x:c>
      <x:c r="B537" s="13" t="str">
        <x:v>QUA</x:v>
      </x:c>
      <x:c r="C537" s="13" t="str">
        <x:v>M85020</x:v>
      </x:c>
      <x:c r="D537" s="13" t="n">
        <x:v>333</x:v>
      </x:c>
      <x:c r="E537" s="30" t="n">
        <x:v>67.6</x:v>
      </x:c>
      <x:c r="F537" s="13" t="str">
        <x:v>I03 GP_Code!P5520/U5520</x:v>
      </x:c>
      <x:c r="G537" s="13" t="str">
        <x:v>否</x:v>
      </x:c>
      <x:c r="H537" s="12"/>
      <x:c r="I537" s="12"/>
      <x:c r="J537" s="12"/>
      <x:c r="K537" s="12"/>
      <x:c r="L537" s="12"/>
      <x:c r="M537" s="12"/>
      <x:c r="N537" s="12"/>
      <x:c r="O537" s="12"/>
    </x:row>
    <x:row r="538" ht="24" customHeight="1">
      <x:c r="A538" s="13" t="str">
        <x:v>I03</x:v>
      </x:c>
      <x:c r="B538" s="13" t="str">
        <x:v>QUA</x:v>
      </x:c>
      <x:c r="C538" s="13" t="str">
        <x:v>M85069</x:v>
      </x:c>
      <x:c r="D538" s="13" t="n">
        <x:v>254</x:v>
      </x:c>
      <x:c r="E538" s="30" t="n">
        <x:v>74</x:v>
      </x:c>
      <x:c r="F538" s="13" t="str">
        <x:v>I03 GP_Code!P5521/U5521</x:v>
      </x:c>
      <x:c r="G538" s="13" t="str">
        <x:v>否</x:v>
      </x:c>
      <x:c r="H538" s="12"/>
      <x:c r="I538" s="12"/>
      <x:c r="J538" s="12"/>
      <x:c r="K538" s="12"/>
      <x:c r="L538" s="12"/>
      <x:c r="M538" s="12"/>
      <x:c r="N538" s="12"/>
      <x:c r="O538" s="12"/>
    </x:row>
    <x:row r="539" ht="24" customHeight="1">
      <x:c r="A539" s="13" t="str">
        <x:v>I03</x:v>
      </x:c>
      <x:c r="B539" s="13" t="str">
        <x:v>QUA</x:v>
      </x:c>
      <x:c r="C539" s="13" t="str">
        <x:v>M85082</x:v>
      </x:c>
      <x:c r="D539" s="13" t="n">
        <x:v>62</x:v>
      </x:c>
      <x:c r="E539" s="30" t="n">
        <x:v>90.3</x:v>
      </x:c>
      <x:c r="F539" s="13" t="str">
        <x:v>I03 GP_Code!P5522/U5522</x:v>
      </x:c>
      <x:c r="G539" s="13" t="str">
        <x:v>否</x:v>
      </x:c>
      <x:c r="H539" s="12"/>
      <x:c r="I539" s="12"/>
      <x:c r="J539" s="12"/>
      <x:c r="K539" s="12"/>
      <x:c r="L539" s="12"/>
      <x:c r="M539" s="12"/>
      <x:c r="N539" s="12"/>
      <x:c r="O539" s="12"/>
    </x:row>
    <x:row r="540" ht="24" customHeight="1">
      <x:c r="A540" s="13" t="str">
        <x:v>I03</x:v>
      </x:c>
      <x:c r="B540" s="13" t="str">
        <x:v>QUA</x:v>
      </x:c>
      <x:c r="C540" s="13" t="str">
        <x:v>M85098</x:v>
      </x:c>
      <x:c r="D540" s="13" t="n">
        <x:v>54</x:v>
      </x:c>
      <x:c r="E540" s="30" t="n">
        <x:v>79.6</x:v>
      </x:c>
      <x:c r="F540" s="13" t="str">
        <x:v>I03 GP_Code!P5523/U5523</x:v>
      </x:c>
      <x:c r="G540" s="13" t="str">
        <x:v>否</x:v>
      </x:c>
      <x:c r="H540" s="12"/>
      <x:c r="I540" s="12"/>
      <x:c r="J540" s="12"/>
      <x:c r="K540" s="12"/>
      <x:c r="L540" s="12"/>
      <x:c r="M540" s="12"/>
      <x:c r="N540" s="12"/>
      <x:c r="O540" s="12"/>
    </x:row>
    <x:row r="541" ht="24" customHeight="1">
      <x:c r="A541" s="13" t="str">
        <x:v>I03</x:v>
      </x:c>
      <x:c r="B541" s="13" t="str">
        <x:v>QUA</x:v>
      </x:c>
      <x:c r="C541" s="13" t="str">
        <x:v>M85145</x:v>
      </x:c>
      <x:c r="D541" s="13" t="n">
        <x:v>88</x:v>
      </x:c>
      <x:c r="E541" s="30" t="n">
        <x:v>76.1</x:v>
      </x:c>
      <x:c r="F541" s="13" t="str">
        <x:v>I03 GP_Code!P5524/U5524</x:v>
      </x:c>
      <x:c r="G541" s="13" t="str">
        <x:v>否</x:v>
      </x:c>
      <x:c r="H541" s="12"/>
      <x:c r="I541" s="12"/>
      <x:c r="J541" s="12"/>
      <x:c r="K541" s="12"/>
      <x:c r="L541" s="12"/>
      <x:c r="M541" s="12"/>
      <x:c r="N541" s="12"/>
      <x:c r="O541" s="12"/>
    </x:row>
    <x:row r="542" ht="24" customHeight="1">
      <x:c r="A542" s="13" t="str">
        <x:v>I03</x:v>
      </x:c>
      <x:c r="B542" s="13" t="str">
        <x:v>QUA</x:v>
      </x:c>
      <x:c r="C542" s="13" t="str">
        <x:v>M85176</x:v>
      </x:c>
      <x:c r="D542" s="13" t="n">
        <x:v>59</x:v>
      </x:c>
      <x:c r="E542" s="30" t="n">
        <x:v>72.9</x:v>
      </x:c>
      <x:c r="F542" s="13" t="str">
        <x:v>I03 GP_Code!P5525/U5525</x:v>
      </x:c>
      <x:c r="G542" s="13" t="str">
        <x:v>否</x:v>
      </x:c>
      <x:c r="H542" s="12"/>
      <x:c r="I542" s="12"/>
      <x:c r="J542" s="12"/>
      <x:c r="K542" s="12"/>
      <x:c r="L542" s="12"/>
      <x:c r="M542" s="12"/>
      <x:c r="N542" s="12"/>
      <x:c r="O542" s="12"/>
    </x:row>
    <x:row r="543" ht="24" customHeight="1">
      <x:c r="A543" s="13" t="str">
        <x:v>I03</x:v>
      </x:c>
      <x:c r="B543" s="13" t="str">
        <x:v>QUA</x:v>
      </x:c>
      <x:c r="C543" s="13" t="str">
        <x:v>M85178</x:v>
      </x:c>
      <x:c r="D543" s="13" t="n">
        <x:v>103</x:v>
      </x:c>
      <x:c r="E543" s="30" t="n">
        <x:v>60.2</x:v>
      </x:c>
      <x:c r="F543" s="13" t="str">
        <x:v>I03 GP_Code!P5526/U5526</x:v>
      </x:c>
      <x:c r="G543" s="13" t="str">
        <x:v>否</x:v>
      </x:c>
      <x:c r="H543" s="12"/>
      <x:c r="I543" s="12"/>
      <x:c r="J543" s="12"/>
      <x:c r="K543" s="12"/>
      <x:c r="L543" s="12"/>
      <x:c r="M543" s="12"/>
      <x:c r="N543" s="12"/>
      <x:c r="O543" s="12"/>
    </x:row>
    <x:row r="544" ht="24" customHeight="1">
      <x:c r="A544" s="13" t="str">
        <x:v>I03</x:v>
      </x:c>
      <x:c r="B544" s="13" t="str">
        <x:v>QUA</x:v>
      </x:c>
      <x:c r="C544" s="13" t="str">
        <x:v>M85634</x:v>
      </x:c>
      <x:c r="D544" s="13" t="n">
        <x:v>138</x:v>
      </x:c>
      <x:c r="E544" s="30" t="n">
        <x:v>74.6</x:v>
      </x:c>
      <x:c r="F544" s="13" t="str">
        <x:v>I03 GP_Code!P5527/U5527</x:v>
      </x:c>
      <x:c r="G544" s="13" t="str">
        <x:v>否</x:v>
      </x:c>
      <x:c r="H544" s="12"/>
      <x:c r="I544" s="12"/>
      <x:c r="J544" s="12"/>
      <x:c r="K544" s="12"/>
      <x:c r="L544" s="12"/>
      <x:c r="M544" s="12"/>
      <x:c r="N544" s="12"/>
      <x:c r="O544" s="12"/>
    </x:row>
    <x:row r="545" ht="24" customHeight="1">
      <x:c r="A545" s="13" t="str">
        <x:v>I03</x:v>
      </x:c>
      <x:c r="B545" s="13" t="str">
        <x:v>QUA</x:v>
      </x:c>
      <x:c r="C545" s="13" t="str">
        <x:v>M85676</x:v>
      </x:c>
      <x:c r="D545" s="13" t="n">
        <x:v>73</x:v>
      </x:c>
      <x:c r="E545" s="30" t="n">
        <x:v>74</x:v>
      </x:c>
      <x:c r="F545" s="13" t="str">
        <x:v>I03 GP_Code!P5528/U5528</x:v>
      </x:c>
      <x:c r="G545" s="13" t="str">
        <x:v>否</x:v>
      </x:c>
      <x:c r="H545" s="12"/>
      <x:c r="I545" s="12"/>
      <x:c r="J545" s="12"/>
      <x:c r="K545" s="12"/>
      <x:c r="L545" s="12"/>
      <x:c r="M545" s="12"/>
      <x:c r="N545" s="12"/>
      <x:c r="O545" s="12"/>
    </x:row>
    <x:row r="546" ht="24" customHeight="1">
      <x:c r="A546" s="13" t="str">
        <x:v>I03</x:v>
      </x:c>
      <x:c r="B546" s="13" t="str">
        <x:v>QUA</x:v>
      </x:c>
      <x:c r="C546" s="13" t="str">
        <x:v>M85684</x:v>
      </x:c>
      <x:c r="D546" s="13" t="n">
        <x:v>31</x:v>
      </x:c>
      <x:c r="E546" s="30" t="n">
        <x:v>80.6</x:v>
      </x:c>
      <x:c r="F546" s="13" t="str">
        <x:v>I03 GP_Code!P5529/U5529</x:v>
      </x:c>
      <x:c r="G546" s="13" t="str">
        <x:v>否</x:v>
      </x:c>
      <x:c r="H546" s="12"/>
      <x:c r="I546" s="12"/>
      <x:c r="J546" s="12"/>
      <x:c r="K546" s="12"/>
      <x:c r="L546" s="12"/>
      <x:c r="M546" s="12"/>
      <x:c r="N546" s="12"/>
      <x:c r="O546" s="12"/>
    </x:row>
    <x:row r="547" ht="24" customHeight="1">
      <x:c r="A547" s="13" t="str">
        <x:v>I03</x:v>
      </x:c>
      <x:c r="B547" s="13" t="str">
        <x:v>QUA</x:v>
      </x:c>
      <x:c r="C547" s="13" t="str">
        <x:v>M85697</x:v>
      </x:c>
      <x:c r="D547" s="13" t="n">
        <x:v>61</x:v>
      </x:c>
      <x:c r="E547" s="30" t="n">
        <x:v>63.9</x:v>
      </x:c>
      <x:c r="F547" s="13" t="str">
        <x:v>I03 GP_Code!P5530/U5530</x:v>
      </x:c>
      <x:c r="G547" s="13" t="str">
        <x:v>否</x:v>
      </x:c>
      <x:c r="H547" s="12"/>
      <x:c r="I547" s="12"/>
      <x:c r="J547" s="12"/>
      <x:c r="K547" s="12"/>
      <x:c r="L547" s="12"/>
      <x:c r="M547" s="12"/>
      <x:c r="N547" s="12"/>
      <x:c r="O547" s="12"/>
    </x:row>
    <x:row r="548" ht="24" customHeight="1">
      <x:c r="A548" s="13" t="str">
        <x:v>I03</x:v>
      </x:c>
      <x:c r="B548" s="13" t="str">
        <x:v>QUA</x:v>
      </x:c>
      <x:c r="C548" s="13" t="str">
        <x:v>M85715</x:v>
      </x:c>
      <x:c r="D548" s="13" t="n">
        <x:v>174</x:v>
      </x:c>
      <x:c r="E548" s="30" t="n">
        <x:v>82.8</x:v>
      </x:c>
      <x:c r="F548" s="13" t="str">
        <x:v>I03 GP_Code!P5531/U5531</x:v>
      </x:c>
      <x:c r="G548" s="13" t="str">
        <x:v>否</x:v>
      </x:c>
      <x:c r="H548" s="12"/>
      <x:c r="I548" s="12"/>
      <x:c r="J548" s="12"/>
      <x:c r="K548" s="12"/>
      <x:c r="L548" s="12"/>
      <x:c r="M548" s="12"/>
      <x:c r="N548" s="12"/>
      <x:c r="O548" s="12"/>
    </x:row>
    <x:row r="549" ht="24" customHeight="1">
      <x:c r="A549" s="13" t="str">
        <x:v>I03</x:v>
      </x:c>
      <x:c r="B549" s="13" t="str">
        <x:v>QUA</x:v>
      </x:c>
      <x:c r="C549" s="13" t="str">
        <x:v>M85721</x:v>
      </x:c>
      <x:c r="D549" s="13" t="n">
        <x:v>92</x:v>
      </x:c>
      <x:c r="E549" s="30" t="n">
        <x:v>63</x:v>
      </x:c>
      <x:c r="F549" s="13" t="str">
        <x:v>I03 GP_Code!P5532/U5532</x:v>
      </x:c>
      <x:c r="G549" s="13" t="str">
        <x:v>否</x:v>
      </x:c>
      <x:c r="H549" s="12"/>
      <x:c r="I549" s="12"/>
      <x:c r="J549" s="12"/>
      <x:c r="K549" s="12"/>
      <x:c r="L549" s="12"/>
      <x:c r="M549" s="12"/>
      <x:c r="N549" s="12"/>
      <x:c r="O549" s="12"/>
    </x:row>
    <x:row r="550" ht="24" customHeight="1">
      <x:c r="A550" s="13" t="str">
        <x:v>I03</x:v>
      </x:c>
      <x:c r="B550" s="13" t="str">
        <x:v>QUA</x:v>
      </x:c>
      <x:c r="C550" s="13" t="str">
        <x:v>M85757</x:v>
      </x:c>
      <x:c r="D550" s="13" t="n">
        <x:v>55</x:v>
      </x:c>
      <x:c r="E550" s="30" t="n">
        <x:v>67.3</x:v>
      </x:c>
      <x:c r="F550" s="13" t="str">
        <x:v>I03 GP_Code!P5533/U5533</x:v>
      </x:c>
      <x:c r="G550" s="13" t="str">
        <x:v>否</x:v>
      </x:c>
      <x:c r="H550" s="12"/>
      <x:c r="I550" s="12"/>
      <x:c r="J550" s="12"/>
      <x:c r="K550" s="12"/>
      <x:c r="L550" s="12"/>
      <x:c r="M550" s="12"/>
      <x:c r="N550" s="12"/>
      <x:c r="O550" s="12"/>
    </x:row>
    <x:row r="551" ht="24" customHeight="1">
      <x:c r="A551" s="13" t="str">
        <x:v>I03</x:v>
      </x:c>
      <x:c r="B551" s="13" t="str">
        <x:v>QUA</x:v>
      </x:c>
      <x:c r="C551" s="13" t="str">
        <x:v>M85778</x:v>
      </x:c>
      <x:c r="D551" s="13" t="n">
        <x:v>52</x:v>
      </x:c>
      <x:c r="E551" s="30" t="n">
        <x:v>78.8</x:v>
      </x:c>
      <x:c r="F551" s="13" t="str">
        <x:v>I03 GP_Code!P5534/U5534</x:v>
      </x:c>
      <x:c r="G551" s="13" t="str">
        <x:v>否</x:v>
      </x:c>
      <x:c r="H551" s="12"/>
      <x:c r="I551" s="12"/>
      <x:c r="J551" s="12"/>
      <x:c r="K551" s="12"/>
      <x:c r="L551" s="12"/>
      <x:c r="M551" s="12"/>
      <x:c r="N551" s="12"/>
      <x:c r="O551" s="12"/>
    </x:row>
    <x:row r="552" ht="24" customHeight="1">
      <x:c r="A552" s="13" t="str">
        <x:v>I03</x:v>
      </x:c>
      <x:c r="B552" s="13" t="str">
        <x:v>QUA</x:v>
      </x:c>
      <x:c r="C552" s="13" t="str">
        <x:v>M85797</x:v>
      </x:c>
      <x:c r="D552" s="13" t="n">
        <x:v>82</x:v>
      </x:c>
      <x:c r="E552" s="30" t="n">
        <x:v>57.3</x:v>
      </x:c>
      <x:c r="F552" s="13" t="str">
        <x:v>I03 GP_Code!P5535/U5535</x:v>
      </x:c>
      <x:c r="G552" s="13" t="str">
        <x:v>否</x:v>
      </x:c>
      <x:c r="H552" s="12"/>
      <x:c r="I552" s="12"/>
      <x:c r="J552" s="12"/>
      <x:c r="K552" s="12"/>
      <x:c r="L552" s="12"/>
      <x:c r="M552" s="12"/>
      <x:c r="N552" s="12"/>
      <x:c r="O552" s="12"/>
    </x:row>
    <x:row r="553" ht="24" customHeight="1">
      <x:c r="A553" s="13" t="str">
        <x:v>I03</x:v>
      </x:c>
      <x:c r="B553" s="13" t="str">
        <x:v>QUA</x:v>
      </x:c>
      <x:c r="C553" s="13" t="str">
        <x:v>M87001</x:v>
      </x:c>
      <x:c r="D553" s="13" t="n">
        <x:v>49</x:v>
      </x:c>
      <x:c r="E553" s="30" t="n">
        <x:v>100</x:v>
      </x:c>
      <x:c r="F553" s="13" t="str">
        <x:v>I03 GP_Code!P5536/U5536</x:v>
      </x:c>
      <x:c r="G553" s="13" t="str">
        <x:v>是</x:v>
      </x:c>
      <x:c r="H553" s="12"/>
      <x:c r="I553" s="12"/>
      <x:c r="J553" s="12"/>
      <x:c r="K553" s="12"/>
      <x:c r="L553" s="12"/>
      <x:c r="M553" s="12"/>
      <x:c r="N553" s="12"/>
      <x:c r="O553" s="12"/>
    </x:row>
    <x:row r="554" ht="24" customHeight="1">
      <x:c r="A554" s="13" t="str">
        <x:v>I03</x:v>
      </x:c>
      <x:c r="B554" s="13" t="str">
        <x:v>QUA</x:v>
      </x:c>
      <x:c r="C554" s="13" t="str">
        <x:v>M87003</x:v>
      </x:c>
      <x:c r="D554" s="13" t="n">
        <x:v>160</x:v>
      </x:c>
      <x:c r="E554" s="30" t="n">
        <x:v>93.8</x:v>
      </x:c>
      <x:c r="F554" s="13" t="str">
        <x:v>I03 GP_Code!P5537/U5537</x:v>
      </x:c>
      <x:c r="G554" s="13" t="str">
        <x:v>是</x:v>
      </x:c>
      <x:c r="H554" s="12"/>
      <x:c r="I554" s="12"/>
      <x:c r="J554" s="12"/>
      <x:c r="K554" s="12"/>
      <x:c r="L554" s="12"/>
      <x:c r="M554" s="12"/>
      <x:c r="N554" s="12"/>
      <x:c r="O554" s="12"/>
    </x:row>
    <x:row r="555" ht="24" customHeight="1">
      <x:c r="A555" s="13" t="str">
        <x:v>I03</x:v>
      </x:c>
      <x:c r="B555" s="13" t="str">
        <x:v>QUA</x:v>
      </x:c>
      <x:c r="C555" s="13" t="str">
        <x:v>M87005</x:v>
      </x:c>
      <x:c r="D555" s="13" t="n">
        <x:v>158</x:v>
      </x:c>
      <x:c r="E555" s="30" t="n">
        <x:v>96.2</x:v>
      </x:c>
      <x:c r="F555" s="13" t="str">
        <x:v>I03 GP_Code!P5538/U5538</x:v>
      </x:c>
      <x:c r="G555" s="13" t="str">
        <x:v>是</x:v>
      </x:c>
      <x:c r="H555" s="12"/>
      <x:c r="I555" s="12"/>
      <x:c r="J555" s="12"/>
      <x:c r="K555" s="12"/>
      <x:c r="L555" s="12"/>
      <x:c r="M555" s="12"/>
      <x:c r="N555" s="12"/>
      <x:c r="O555" s="12"/>
    </x:row>
    <x:row r="556" ht="24" customHeight="1">
      <x:c r="A556" s="13" t="str">
        <x:v>I03</x:v>
      </x:c>
      <x:c r="B556" s="13" t="str">
        <x:v>QUA</x:v>
      </x:c>
      <x:c r="C556" s="13" t="str">
        <x:v>M87006</x:v>
      </x:c>
      <x:c r="D556" s="13" t="n">
        <x:v>87</x:v>
      </x:c>
      <x:c r="E556" s="30" t="n">
        <x:v>94.3</x:v>
      </x:c>
      <x:c r="F556" s="13" t="str">
        <x:v>I03 GP_Code!P5539/U5539</x:v>
      </x:c>
      <x:c r="G556" s="13" t="str">
        <x:v>是</x:v>
      </x:c>
      <x:c r="H556" s="12"/>
      <x:c r="I556" s="12"/>
      <x:c r="J556" s="12"/>
      <x:c r="K556" s="12"/>
      <x:c r="L556" s="12"/>
      <x:c r="M556" s="12"/>
      <x:c r="N556" s="12"/>
      <x:c r="O556" s="12"/>
    </x:row>
    <x:row r="557" ht="24" customHeight="1">
      <x:c r="A557" s="13" t="str">
        <x:v>I03</x:v>
      </x:c>
      <x:c r="B557" s="13" t="str">
        <x:v>QUA</x:v>
      </x:c>
      <x:c r="C557" s="13" t="str">
        <x:v>M87007</x:v>
      </x:c>
      <x:c r="D557" s="13" t="n">
        <x:v>131</x:v>
      </x:c>
      <x:c r="E557" s="30" t="n">
        <x:v>92.4</x:v>
      </x:c>
      <x:c r="F557" s="13" t="str">
        <x:v>I03 GP_Code!P5540/U5540</x:v>
      </x:c>
      <x:c r="G557" s="13" t="str">
        <x:v>是</x:v>
      </x:c>
      <x:c r="H557" s="12"/>
      <x:c r="I557" s="12"/>
      <x:c r="J557" s="12"/>
      <x:c r="K557" s="12"/>
      <x:c r="L557" s="12"/>
      <x:c r="M557" s="12"/>
      <x:c r="N557" s="12"/>
      <x:c r="O557" s="12"/>
    </x:row>
    <x:row r="558" ht="24" customHeight="1">
      <x:c r="A558" s="13" t="str">
        <x:v>I03</x:v>
      </x:c>
      <x:c r="B558" s="13" t="str">
        <x:v>QUA</x:v>
      </x:c>
      <x:c r="C558" s="13" t="str">
        <x:v>M87008</x:v>
      </x:c>
      <x:c r="D558" s="13" t="n">
        <x:v>85</x:v>
      </x:c>
      <x:c r="E558" s="30" t="n">
        <x:v>90.6</x:v>
      </x:c>
      <x:c r="F558" s="13" t="str">
        <x:v>I03 GP_Code!P5541/U5541</x:v>
      </x:c>
      <x:c r="G558" s="13" t="str">
        <x:v>是</x:v>
      </x:c>
      <x:c r="H558" s="12"/>
      <x:c r="I558" s="12"/>
      <x:c r="J558" s="12"/>
      <x:c r="K558" s="12"/>
      <x:c r="L558" s="12"/>
      <x:c r="M558" s="12"/>
      <x:c r="N558" s="12"/>
      <x:c r="O558" s="12"/>
    </x:row>
    <x:row r="559" ht="24" customHeight="1">
      <x:c r="A559" s="13" t="str">
        <x:v>I03</x:v>
      </x:c>
      <x:c r="B559" s="13" t="str">
        <x:v>QUA</x:v>
      </x:c>
      <x:c r="C559" s="13" t="str">
        <x:v>M87009</x:v>
      </x:c>
      <x:c r="D559" s="13" t="n">
        <x:v>205</x:v>
      </x:c>
      <x:c r="E559" s="30" t="n">
        <x:v>92.7</x:v>
      </x:c>
      <x:c r="F559" s="13" t="str">
        <x:v>I03 GP_Code!P5542/U5542</x:v>
      </x:c>
      <x:c r="G559" s="13" t="str">
        <x:v>是</x:v>
      </x:c>
      <x:c r="H559" s="12"/>
      <x:c r="I559" s="12"/>
      <x:c r="J559" s="12"/>
      <x:c r="K559" s="12"/>
      <x:c r="L559" s="12"/>
      <x:c r="M559" s="12"/>
      <x:c r="N559" s="12"/>
      <x:c r="O559" s="12"/>
    </x:row>
    <x:row r="560" ht="24" customHeight="1">
      <x:c r="A560" s="13" t="str">
        <x:v>I03</x:v>
      </x:c>
      <x:c r="B560" s="13" t="str">
        <x:v>QUA</x:v>
      </x:c>
      <x:c r="C560" s="13" t="str">
        <x:v>M87010</x:v>
      </x:c>
      <x:c r="D560" s="13" t="n">
        <x:v>122</x:v>
      </x:c>
      <x:c r="E560" s="30" t="n">
        <x:v>85.2</x:v>
      </x:c>
      <x:c r="F560" s="13" t="str">
        <x:v>I03 GP_Code!P5543/U5543</x:v>
      </x:c>
      <x:c r="G560" s="13" t="str">
        <x:v>是</x:v>
      </x:c>
      <x:c r="H560" s="12"/>
      <x:c r="I560" s="12"/>
      <x:c r="J560" s="12"/>
      <x:c r="K560" s="12"/>
      <x:c r="L560" s="12"/>
      <x:c r="M560" s="12"/>
      <x:c r="N560" s="12"/>
      <x:c r="O560" s="12"/>
    </x:row>
    <x:row r="561" ht="24" customHeight="1">
      <x:c r="A561" s="13" t="str">
        <x:v>I03</x:v>
      </x:c>
      <x:c r="B561" s="13" t="str">
        <x:v>QUA</x:v>
      </x:c>
      <x:c r="C561" s="13" t="str">
        <x:v>M87011</x:v>
      </x:c>
      <x:c r="D561" s="13" t="n">
        <x:v>277</x:v>
      </x:c>
      <x:c r="E561" s="30" t="n">
        <x:v>96</x:v>
      </x:c>
      <x:c r="F561" s="13" t="str">
        <x:v>I03 GP_Code!P5544/U5544</x:v>
      </x:c>
      <x:c r="G561" s="13" t="str">
        <x:v>是</x:v>
      </x:c>
      <x:c r="H561" s="12"/>
      <x:c r="I561" s="12"/>
      <x:c r="J561" s="12"/>
      <x:c r="K561" s="12"/>
      <x:c r="L561" s="12"/>
      <x:c r="M561" s="12"/>
      <x:c r="N561" s="12"/>
      <x:c r="O561" s="12"/>
    </x:row>
    <x:row r="562" ht="24" customHeight="1">
      <x:c r="A562" s="13" t="str">
        <x:v>I03</x:v>
      </x:c>
      <x:c r="B562" s="13" t="str">
        <x:v>QUA</x:v>
      </x:c>
      <x:c r="C562" s="13" t="str">
        <x:v>M87012</x:v>
      </x:c>
      <x:c r="D562" s="13" t="n">
        <x:v>99</x:v>
      </x:c>
      <x:c r="E562" s="30" t="n">
        <x:v>86.9</x:v>
      </x:c>
      <x:c r="F562" s="13" t="str">
        <x:v>I03 GP_Code!P5545/U5545</x:v>
      </x:c>
      <x:c r="G562" s="13" t="str">
        <x:v>是</x:v>
      </x:c>
      <x:c r="H562" s="12"/>
      <x:c r="I562" s="12"/>
      <x:c r="J562" s="12"/>
      <x:c r="K562" s="12"/>
      <x:c r="L562" s="12"/>
      <x:c r="M562" s="12"/>
      <x:c r="N562" s="12"/>
      <x:c r="O562" s="12"/>
    </x:row>
    <x:row r="563" ht="24" customHeight="1">
      <x:c r="A563" s="13" t="str">
        <x:v>I03</x:v>
      </x:c>
      <x:c r="B563" s="13" t="str">
        <x:v>QUA</x:v>
      </x:c>
      <x:c r="C563" s="13" t="str">
        <x:v>M87013</x:v>
      </x:c>
      <x:c r="D563" s="13" t="n">
        <x:v>126</x:v>
      </x:c>
      <x:c r="E563" s="30" t="n">
        <x:v>85.7</x:v>
      </x:c>
      <x:c r="F563" s="13" t="str">
        <x:v>I03 GP_Code!P5546/U5546</x:v>
      </x:c>
      <x:c r="G563" s="13" t="str">
        <x:v>是</x:v>
      </x:c>
      <x:c r="H563" s="12"/>
      <x:c r="I563" s="12"/>
      <x:c r="J563" s="12"/>
      <x:c r="K563" s="12"/>
      <x:c r="L563" s="12"/>
      <x:c r="M563" s="12"/>
      <x:c r="N563" s="12"/>
      <x:c r="O563" s="12"/>
    </x:row>
    <x:row r="564" ht="24" customHeight="1">
      <x:c r="A564" s="13" t="str">
        <x:v>I03</x:v>
      </x:c>
      <x:c r="B564" s="13" t="str">
        <x:v>QUA</x:v>
      </x:c>
      <x:c r="C564" s="13" t="str">
        <x:v>M87014</x:v>
      </x:c>
      <x:c r="D564" s="13" t="n">
        <x:v>90</x:v>
      </x:c>
      <x:c r="E564" s="30" t="n">
        <x:v>93.3</x:v>
      </x:c>
      <x:c r="F564" s="13" t="str">
        <x:v>I03 GP_Code!P5547/U5547</x:v>
      </x:c>
      <x:c r="G564" s="13" t="str">
        <x:v>是</x:v>
      </x:c>
      <x:c r="H564" s="12"/>
      <x:c r="I564" s="12"/>
      <x:c r="J564" s="12"/>
      <x:c r="K564" s="12"/>
      <x:c r="L564" s="12"/>
      <x:c r="M564" s="12"/>
      <x:c r="N564" s="12"/>
      <x:c r="O564" s="12"/>
    </x:row>
    <x:row r="565" ht="24" customHeight="1">
      <x:c r="A565" s="13" t="str">
        <x:v>I03</x:v>
      </x:c>
      <x:c r="B565" s="13" t="str">
        <x:v>QUA</x:v>
      </x:c>
      <x:c r="C565" s="13" t="str">
        <x:v>M87015</x:v>
      </x:c>
      <x:c r="D565" s="13" t="n">
        <x:v>86</x:v>
      </x:c>
      <x:c r="E565" s="30" t="n">
        <x:v>87.2</x:v>
      </x:c>
      <x:c r="F565" s="13" t="str">
        <x:v>I03 GP_Code!P5548/U5548</x:v>
      </x:c>
      <x:c r="G565" s="13" t="str">
        <x:v>是</x:v>
      </x:c>
      <x:c r="H565" s="12"/>
      <x:c r="I565" s="12"/>
      <x:c r="J565" s="12"/>
      <x:c r="K565" s="12"/>
      <x:c r="L565" s="12"/>
      <x:c r="M565" s="12"/>
      <x:c r="N565" s="12"/>
      <x:c r="O565" s="12"/>
    </x:row>
    <x:row r="566" ht="24" customHeight="1">
      <x:c r="A566" s="13" t="str">
        <x:v>I03</x:v>
      </x:c>
      <x:c r="B566" s="13" t="str">
        <x:v>QUA</x:v>
      </x:c>
      <x:c r="C566" s="13" t="str">
        <x:v>M87016</x:v>
      </x:c>
      <x:c r="D566" s="13" t="n">
        <x:v>72</x:v>
      </x:c>
      <x:c r="E566" s="30" t="n">
        <x:v>95.8</x:v>
      </x:c>
      <x:c r="F566" s="13" t="str">
        <x:v>I03 GP_Code!P5549/U5549</x:v>
      </x:c>
      <x:c r="G566" s="13" t="str">
        <x:v>是</x:v>
      </x:c>
      <x:c r="H566" s="12"/>
      <x:c r="I566" s="12"/>
      <x:c r="J566" s="12"/>
      <x:c r="K566" s="12"/>
      <x:c r="L566" s="12"/>
      <x:c r="M566" s="12"/>
      <x:c r="N566" s="12"/>
      <x:c r="O566" s="12"/>
    </x:row>
    <x:row r="567" ht="24" customHeight="1">
      <x:c r="A567" s="13" t="str">
        <x:v>I03</x:v>
      </x:c>
      <x:c r="B567" s="13" t="str">
        <x:v>QUA</x:v>
      </x:c>
      <x:c r="C567" s="13" t="str">
        <x:v>M87017</x:v>
      </x:c>
      <x:c r="D567" s="13" t="n">
        <x:v>95</x:v>
      </x:c>
      <x:c r="E567" s="30" t="n">
        <x:v>75.8</x:v>
      </x:c>
      <x:c r="F567" s="13" t="str">
        <x:v>I03 GP_Code!P5550/U5550</x:v>
      </x:c>
      <x:c r="G567" s="13" t="str">
        <x:v>是</x:v>
      </x:c>
      <x:c r="H567" s="12"/>
      <x:c r="I567" s="12"/>
      <x:c r="J567" s="12"/>
      <x:c r="K567" s="12"/>
      <x:c r="L567" s="12"/>
      <x:c r="M567" s="12"/>
      <x:c r="N567" s="12"/>
      <x:c r="O567" s="12"/>
    </x:row>
    <x:row r="568" ht="24" customHeight="1">
      <x:c r="A568" s="13" t="str">
        <x:v>I03</x:v>
      </x:c>
      <x:c r="B568" s="13" t="str">
        <x:v>QUA</x:v>
      </x:c>
      <x:c r="C568" s="13" t="str">
        <x:v>M87018</x:v>
      </x:c>
      <x:c r="D568" s="13" t="n">
        <x:v>65</x:v>
      </x:c>
      <x:c r="E568" s="30" t="n">
        <x:v>93.8</x:v>
      </x:c>
      <x:c r="F568" s="13" t="str">
        <x:v>I03 GP_Code!P5551/U5551</x:v>
      </x:c>
      <x:c r="G568" s="13" t="str">
        <x:v>是</x:v>
      </x:c>
      <x:c r="H568" s="12"/>
      <x:c r="I568" s="12"/>
      <x:c r="J568" s="12"/>
      <x:c r="K568" s="12"/>
      <x:c r="L568" s="12"/>
      <x:c r="M568" s="12"/>
      <x:c r="N568" s="12"/>
      <x:c r="O568" s="12"/>
    </x:row>
    <x:row r="569" ht="24" customHeight="1">
      <x:c r="A569" s="13" t="str">
        <x:v>I03</x:v>
      </x:c>
      <x:c r="B569" s="13" t="str">
        <x:v>QUA</x:v>
      </x:c>
      <x:c r="C569" s="13" t="str">
        <x:v>M87019</x:v>
      </x:c>
      <x:c r="D569" s="13" t="n">
        <x:v>55</x:v>
      </x:c>
      <x:c r="E569" s="30" t="n">
        <x:v>76.4</x:v>
      </x:c>
      <x:c r="F569" s="13" t="str">
        <x:v>I03 GP_Code!P5552/U5552</x:v>
      </x:c>
      <x:c r="G569" s="13" t="str">
        <x:v>是</x:v>
      </x:c>
      <x:c r="H569" s="12"/>
      <x:c r="I569" s="12"/>
      <x:c r="J569" s="12"/>
      <x:c r="K569" s="12"/>
      <x:c r="L569" s="12"/>
      <x:c r="M569" s="12"/>
      <x:c r="N569" s="12"/>
      <x:c r="O569" s="12"/>
    </x:row>
    <x:row r="570" ht="24" customHeight="1">
      <x:c r="A570" s="13" t="str">
        <x:v>I03</x:v>
      </x:c>
      <x:c r="B570" s="13" t="str">
        <x:v>QUA</x:v>
      </x:c>
      <x:c r="C570" s="13" t="str">
        <x:v>M87020</x:v>
      </x:c>
      <x:c r="D570" s="13" t="n">
        <x:v>118</x:v>
      </x:c>
      <x:c r="E570" s="30" t="n">
        <x:v>94.1</x:v>
      </x:c>
      <x:c r="F570" s="13" t="str">
        <x:v>I03 GP_Code!P5553/U5553</x:v>
      </x:c>
      <x:c r="G570" s="13" t="str">
        <x:v>是</x:v>
      </x:c>
      <x:c r="H570" s="12"/>
      <x:c r="I570" s="12"/>
      <x:c r="J570" s="12"/>
      <x:c r="K570" s="12"/>
      <x:c r="L570" s="12"/>
      <x:c r="M570" s="12"/>
      <x:c r="N570" s="12"/>
      <x:c r="O570" s="12"/>
    </x:row>
    <x:row r="571" ht="24" customHeight="1">
      <x:c r="A571" s="13" t="str">
        <x:v>I03</x:v>
      </x:c>
      <x:c r="B571" s="13" t="str">
        <x:v>QUA</x:v>
      </x:c>
      <x:c r="C571" s="13" t="str">
        <x:v>M87021</x:v>
      </x:c>
      <x:c r="D571" s="13" t="n">
        <x:v>93</x:v>
      </x:c>
      <x:c r="E571" s="30" t="n">
        <x:v>87.1</x:v>
      </x:c>
      <x:c r="F571" s="13" t="str">
        <x:v>I03 GP_Code!P5554/U5554</x:v>
      </x:c>
      <x:c r="G571" s="13" t="str">
        <x:v>是</x:v>
      </x:c>
      <x:c r="H571" s="12"/>
      <x:c r="I571" s="12"/>
      <x:c r="J571" s="12"/>
      <x:c r="K571" s="12"/>
      <x:c r="L571" s="12"/>
      <x:c r="M571" s="12"/>
      <x:c r="N571" s="12"/>
      <x:c r="O571" s="12"/>
    </x:row>
    <x:row r="572" ht="24" customHeight="1">
      <x:c r="A572" s="13" t="str">
        <x:v>I03</x:v>
      </x:c>
      <x:c r="B572" s="13" t="str">
        <x:v>QUA</x:v>
      </x:c>
      <x:c r="C572" s="13" t="str">
        <x:v>M87023</x:v>
      </x:c>
      <x:c r="D572" s="13" t="n">
        <x:v>94</x:v>
      </x:c>
      <x:c r="E572" s="30" t="n">
        <x:v>90.4</x:v>
      </x:c>
      <x:c r="F572" s="13" t="str">
        <x:v>I03 GP_Code!P5555/U5555</x:v>
      </x:c>
      <x:c r="G572" s="13" t="str">
        <x:v>是</x:v>
      </x:c>
      <x:c r="H572" s="12"/>
      <x:c r="I572" s="12"/>
      <x:c r="J572" s="12"/>
      <x:c r="K572" s="12"/>
      <x:c r="L572" s="12"/>
      <x:c r="M572" s="12"/>
      <x:c r="N572" s="12"/>
      <x:c r="O572" s="12"/>
    </x:row>
    <x:row r="573" ht="24" customHeight="1">
      <x:c r="A573" s="13" t="str">
        <x:v>I03</x:v>
      </x:c>
      <x:c r="B573" s="13" t="str">
        <x:v>QUA</x:v>
      </x:c>
      <x:c r="C573" s="13" t="str">
        <x:v>M87024</x:v>
      </x:c>
      <x:c r="D573" s="13" t="n">
        <x:v>241</x:v>
      </x:c>
      <x:c r="E573" s="30" t="n">
        <x:v>89.6</x:v>
      </x:c>
      <x:c r="F573" s="13" t="str">
        <x:v>I03 GP_Code!P5556/U5556</x:v>
      </x:c>
      <x:c r="G573" s="13" t="str">
        <x:v>是</x:v>
      </x:c>
      <x:c r="H573" s="12"/>
      <x:c r="I573" s="12"/>
      <x:c r="J573" s="12"/>
      <x:c r="K573" s="12"/>
      <x:c r="L573" s="12"/>
      <x:c r="M573" s="12"/>
      <x:c r="N573" s="12"/>
      <x:c r="O573" s="12"/>
    </x:row>
    <x:row r="574" ht="24" customHeight="1">
      <x:c r="A574" s="13" t="str">
        <x:v>I03</x:v>
      </x:c>
      <x:c r="B574" s="13" t="str">
        <x:v>QUA</x:v>
      </x:c>
      <x:c r="C574" s="13" t="str">
        <x:v>M87025</x:v>
      </x:c>
      <x:c r="D574" s="13" t="n">
        <x:v>55</x:v>
      </x:c>
      <x:c r="E574" s="30" t="n">
        <x:v>81.8</x:v>
      </x:c>
      <x:c r="F574" s="13" t="str">
        <x:v>I03 GP_Code!P5557/U5557</x:v>
      </x:c>
      <x:c r="G574" s="13" t="str">
        <x:v>是</x:v>
      </x:c>
      <x:c r="H574" s="12"/>
      <x:c r="I574" s="12"/>
      <x:c r="J574" s="12"/>
      <x:c r="K574" s="12"/>
      <x:c r="L574" s="12"/>
      <x:c r="M574" s="12"/>
      <x:c r="N574" s="12"/>
      <x:c r="O574" s="12"/>
    </x:row>
    <x:row r="575" ht="24" customHeight="1">
      <x:c r="A575" s="13" t="str">
        <x:v>I03</x:v>
      </x:c>
      <x:c r="B575" s="13" t="str">
        <x:v>QUA</x:v>
      </x:c>
      <x:c r="C575" s="13" t="str">
        <x:v>M87026</x:v>
      </x:c>
      <x:c r="D575" s="13" t="n">
        <x:v>70</x:v>
      </x:c>
      <x:c r="E575" s="30" t="n">
        <x:v>65.7</x:v>
      </x:c>
      <x:c r="F575" s="13" t="str">
        <x:v>I03 GP_Code!P5558/U5558</x:v>
      </x:c>
      <x:c r="G575" s="13" t="str">
        <x:v>是</x:v>
      </x:c>
      <x:c r="H575" s="12"/>
      <x:c r="I575" s="12"/>
      <x:c r="J575" s="12"/>
      <x:c r="K575" s="12"/>
      <x:c r="L575" s="12"/>
      <x:c r="M575" s="12"/>
      <x:c r="N575" s="12"/>
      <x:c r="O575" s="12"/>
    </x:row>
    <x:row r="576" ht="24" customHeight="1">
      <x:c r="A576" s="13" t="str">
        <x:v>I03</x:v>
      </x:c>
      <x:c r="B576" s="13" t="str">
        <x:v>QUA</x:v>
      </x:c>
      <x:c r="C576" s="13" t="str">
        <x:v>M87027</x:v>
      </x:c>
      <x:c r="D576" s="13" t="n">
        <x:v>45</x:v>
      </x:c>
      <x:c r="E576" s="30" t="n">
        <x:v>91.1</x:v>
      </x:c>
      <x:c r="F576" s="13" t="str">
        <x:v>I03 GP_Code!P5559/U5559</x:v>
      </x:c>
      <x:c r="G576" s="13" t="str">
        <x:v>是</x:v>
      </x:c>
      <x:c r="H576" s="12"/>
      <x:c r="I576" s="12"/>
      <x:c r="J576" s="12"/>
      <x:c r="K576" s="12"/>
      <x:c r="L576" s="12"/>
      <x:c r="M576" s="12"/>
      <x:c r="N576" s="12"/>
      <x:c r="O576" s="12"/>
    </x:row>
    <x:row r="577" ht="24" customHeight="1">
      <x:c r="A577" s="13" t="str">
        <x:v>I03</x:v>
      </x:c>
      <x:c r="B577" s="13" t="str">
        <x:v>QUA</x:v>
      </x:c>
      <x:c r="C577" s="13" t="str">
        <x:v>M87028</x:v>
      </x:c>
      <x:c r="D577" s="13" t="n">
        <x:v>113</x:v>
      </x:c>
      <x:c r="E577" s="30" t="n">
        <x:v>84.1</x:v>
      </x:c>
      <x:c r="F577" s="13" t="str">
        <x:v>I03 GP_Code!P5560/U5560</x:v>
      </x:c>
      <x:c r="G577" s="13" t="str">
        <x:v>是</x:v>
      </x:c>
      <x:c r="H577" s="12"/>
      <x:c r="I577" s="12"/>
      <x:c r="J577" s="12"/>
      <x:c r="K577" s="12"/>
      <x:c r="L577" s="12"/>
      <x:c r="M577" s="12"/>
      <x:c r="N577" s="12"/>
      <x:c r="O577" s="12"/>
    </x:row>
    <x:row r="578" ht="24" customHeight="1">
      <x:c r="A578" s="13" t="str">
        <x:v>I03</x:v>
      </x:c>
      <x:c r="B578" s="13" t="str">
        <x:v>QUA</x:v>
      </x:c>
      <x:c r="C578" s="13" t="str">
        <x:v>M87030</x:v>
      </x:c>
      <x:c r="D578" s="13" t="n">
        <x:v>25</x:v>
      </x:c>
      <x:c r="E578" s="30" t="n">
        <x:v>100</x:v>
      </x:c>
      <x:c r="F578" s="13" t="str">
        <x:v>I03 GP_Code!P5561/U5561</x:v>
      </x:c>
      <x:c r="G578" s="13" t="str">
        <x:v>是</x:v>
      </x:c>
      <x:c r="H578" s="12"/>
      <x:c r="I578" s="12"/>
      <x:c r="J578" s="12"/>
      <x:c r="K578" s="12"/>
      <x:c r="L578" s="12"/>
      <x:c r="M578" s="12"/>
      <x:c r="N578" s="12"/>
      <x:c r="O578" s="12"/>
    </x:row>
    <x:row r="579" ht="24" customHeight="1">
      <x:c r="A579" s="13" t="str">
        <x:v>I03</x:v>
      </x:c>
      <x:c r="B579" s="13" t="str">
        <x:v>QUA</x:v>
      </x:c>
      <x:c r="C579" s="13" t="str">
        <x:v>M87034</x:v>
      </x:c>
      <x:c r="D579" s="13" t="n">
        <x:v>80</x:v>
      </x:c>
      <x:c r="E579" s="30" t="n">
        <x:v>88.8</x:v>
      </x:c>
      <x:c r="F579" s="13" t="str">
        <x:v>I03 GP_Code!P5562/U5562</x:v>
      </x:c>
      <x:c r="G579" s="13" t="str">
        <x:v>是</x:v>
      </x:c>
      <x:c r="H579" s="12"/>
      <x:c r="I579" s="12"/>
      <x:c r="J579" s="12"/>
      <x:c r="K579" s="12"/>
      <x:c r="L579" s="12"/>
      <x:c r="M579" s="12"/>
      <x:c r="N579" s="12"/>
      <x:c r="O579" s="12"/>
    </x:row>
    <x:row r="580" ht="24" customHeight="1">
      <x:c r="A580" s="13" t="str">
        <x:v>I03</x:v>
      </x:c>
      <x:c r="B580" s="13" t="str">
        <x:v>QUA</x:v>
      </x:c>
      <x:c r="C580" s="13" t="str">
        <x:v>M87036</x:v>
      </x:c>
      <x:c r="D580" s="13" t="n">
        <x:v>54</x:v>
      </x:c>
      <x:c r="E580" s="30" t="n">
        <x:v>87</x:v>
      </x:c>
      <x:c r="F580" s="13" t="str">
        <x:v>I03 GP_Code!P5563/U5563</x:v>
      </x:c>
      <x:c r="G580" s="13" t="str">
        <x:v>是</x:v>
      </x:c>
      <x:c r="H580" s="12"/>
      <x:c r="I580" s="12"/>
      <x:c r="J580" s="12"/>
      <x:c r="K580" s="12"/>
      <x:c r="L580" s="12"/>
      <x:c r="M580" s="12"/>
      <x:c r="N580" s="12"/>
      <x:c r="O580" s="12"/>
    </x:row>
    <x:row r="581" ht="24" customHeight="1">
      <x:c r="A581" s="13" t="str">
        <x:v>I03</x:v>
      </x:c>
      <x:c r="B581" s="13" t="str">
        <x:v>QUA</x:v>
      </x:c>
      <x:c r="C581" s="13" t="str">
        <x:v>M87037</x:v>
      </x:c>
      <x:c r="D581" s="13" t="n">
        <x:v>67</x:v>
      </x:c>
      <x:c r="E581" s="30" t="n">
        <x:v>97</x:v>
      </x:c>
      <x:c r="F581" s="13" t="str">
        <x:v>I03 GP_Code!P5564/U5564</x:v>
      </x:c>
      <x:c r="G581" s="13" t="str">
        <x:v>是</x:v>
      </x:c>
      <x:c r="H581" s="12"/>
      <x:c r="I581" s="12"/>
      <x:c r="J581" s="12"/>
      <x:c r="K581" s="12"/>
      <x:c r="L581" s="12"/>
      <x:c r="M581" s="12"/>
      <x:c r="N581" s="12"/>
      <x:c r="O581" s="12"/>
    </x:row>
    <x:row r="582" ht="24" customHeight="1">
      <x:c r="A582" s="13" t="str">
        <x:v>I03</x:v>
      </x:c>
      <x:c r="B582" s="13" t="str">
        <x:v>QUA</x:v>
      </x:c>
      <x:c r="C582" s="13" t="str">
        <x:v>M87041</x:v>
      </x:c>
      <x:c r="D582" s="13" t="n">
        <x:v>82</x:v>
      </x:c>
      <x:c r="E582" s="30" t="n">
        <x:v>96.3</x:v>
      </x:c>
      <x:c r="F582" s="13" t="str">
        <x:v>I03 GP_Code!P5565/U5565</x:v>
      </x:c>
      <x:c r="G582" s="13" t="str">
        <x:v>是</x:v>
      </x:c>
      <x:c r="H582" s="12"/>
      <x:c r="I582" s="12"/>
      <x:c r="J582" s="12"/>
      <x:c r="K582" s="12"/>
      <x:c r="L582" s="12"/>
      <x:c r="M582" s="12"/>
      <x:c r="N582" s="12"/>
      <x:c r="O582" s="12"/>
    </x:row>
    <x:row r="583" ht="24" customHeight="1">
      <x:c r="A583" s="13" t="str">
        <x:v>I03</x:v>
      </x:c>
      <x:c r="B583" s="13" t="str">
        <x:v>QUA</x:v>
      </x:c>
      <x:c r="C583" s="13" t="str">
        <x:v>M87601</x:v>
      </x:c>
      <x:c r="D583" s="13" t="n">
        <x:v>93</x:v>
      </x:c>
      <x:c r="E583" s="30" t="n">
        <x:v>84.9</x:v>
      </x:c>
      <x:c r="F583" s="13" t="str">
        <x:v>I03 GP_Code!P5566/U5566</x:v>
      </x:c>
      <x:c r="G583" s="13" t="str">
        <x:v>是</x:v>
      </x:c>
      <x:c r="H583" s="12"/>
      <x:c r="I583" s="12"/>
      <x:c r="J583" s="12"/>
      <x:c r="K583" s="12"/>
      <x:c r="L583" s="12"/>
      <x:c r="M583" s="12"/>
      <x:c r="N583" s="12"/>
      <x:c r="O583" s="12"/>
    </x:row>
    <x:row r="584" ht="24" customHeight="1">
      <x:c r="A584" s="13" t="str">
        <x:v>I03</x:v>
      </x:c>
      <x:c r="B584" s="13" t="str">
        <x:v>QUA</x:v>
      </x:c>
      <x:c r="C584" s="13" t="str">
        <x:v>M87602</x:v>
      </x:c>
      <x:c r="D584" s="13" t="n">
        <x:v>105</x:v>
      </x:c>
      <x:c r="E584" s="30" t="n">
        <x:v>97.1</x:v>
      </x:c>
      <x:c r="F584" s="13" t="str">
        <x:v>I03 GP_Code!P5567/U5567</x:v>
      </x:c>
      <x:c r="G584" s="13" t="str">
        <x:v>是</x:v>
      </x:c>
      <x:c r="H584" s="12"/>
      <x:c r="I584" s="12"/>
      <x:c r="J584" s="12"/>
      <x:c r="K584" s="12"/>
      <x:c r="L584" s="12"/>
      <x:c r="M584" s="12"/>
      <x:c r="N584" s="12"/>
      <x:c r="O584" s="12"/>
    </x:row>
    <x:row r="585" ht="24" customHeight="1">
      <x:c r="A585" s="13" t="str">
        <x:v>I03</x:v>
      </x:c>
      <x:c r="B585" s="13" t="str">
        <x:v>QUA</x:v>
      </x:c>
      <x:c r="C585" s="13" t="str">
        <x:v>M87605</x:v>
      </x:c>
      <x:c r="D585" s="13" t="n">
        <x:v>77</x:v>
      </x:c>
      <x:c r="E585" s="30" t="n">
        <x:v>72.7</x:v>
      </x:c>
      <x:c r="F585" s="13" t="str">
        <x:v>I03 GP_Code!P5568/U5568</x:v>
      </x:c>
      <x:c r="G585" s="13" t="str">
        <x:v>是</x:v>
      </x:c>
      <x:c r="H585" s="12"/>
      <x:c r="I585" s="12"/>
      <x:c r="J585" s="12"/>
      <x:c r="K585" s="12"/>
      <x:c r="L585" s="12"/>
      <x:c r="M585" s="12"/>
      <x:c r="N585" s="12"/>
      <x:c r="O585" s="12"/>
    </x:row>
    <x:row r="586" ht="24" customHeight="1">
      <x:c r="A586" s="13" t="str">
        <x:v>I03</x:v>
      </x:c>
      <x:c r="B586" s="13" t="str">
        <x:v>QUA</x:v>
      </x:c>
      <x:c r="C586" s="13" t="str">
        <x:v>M87612</x:v>
      </x:c>
      <x:c r="D586" s="13" t="n">
        <x:v>24</x:v>
      </x:c>
      <x:c r="E586" s="30" t="n">
        <x:v>91.7</x:v>
      </x:c>
      <x:c r="F586" s="13" t="str">
        <x:v>I03 GP_Code!P5569/U5569</x:v>
      </x:c>
      <x:c r="G586" s="13" t="str">
        <x:v>是</x:v>
      </x:c>
      <x:c r="H586" s="12"/>
      <x:c r="I586" s="12"/>
      <x:c r="J586" s="12"/>
      <x:c r="K586" s="12"/>
      <x:c r="L586" s="12"/>
      <x:c r="M586" s="12"/>
      <x:c r="N586" s="12"/>
      <x:c r="O586" s="12"/>
    </x:row>
    <x:row r="587" ht="24" customHeight="1">
      <x:c r="A587" s="13" t="str">
        <x:v>I03</x:v>
      </x:c>
      <x:c r="B587" s="13" t="str">
        <x:v>QUA</x:v>
      </x:c>
      <x:c r="C587" s="13" t="str">
        <x:v>M87617</x:v>
      </x:c>
      <x:c r="D587" s="13" t="n">
        <x:v>90</x:v>
      </x:c>
      <x:c r="E587" s="30" t="n">
        <x:v>84.4</x:v>
      </x:c>
      <x:c r="F587" s="13" t="str">
        <x:v>I03 GP_Code!P5570/U5570</x:v>
      </x:c>
      <x:c r="G587" s="13" t="str">
        <x:v>是</x:v>
      </x:c>
      <x:c r="H587" s="12"/>
      <x:c r="I587" s="12"/>
      <x:c r="J587" s="12"/>
      <x:c r="K587" s="12"/>
      <x:c r="L587" s="12"/>
      <x:c r="M587" s="12"/>
      <x:c r="N587" s="12"/>
      <x:c r="O587" s="12"/>
    </x:row>
    <x:row r="588" ht="24" customHeight="1">
      <x:c r="A588" s="13" t="str">
        <x:v>I03</x:v>
      </x:c>
      <x:c r="B588" s="13" t="str">
        <x:v>QUA</x:v>
      </x:c>
      <x:c r="C588" s="13" t="str">
        <x:v>M87618</x:v>
      </x:c>
      <x:c r="D588" s="13" t="n">
        <x:v>22</x:v>
      </x:c>
      <x:c r="E588" s="30" t="n">
        <x:v>100</x:v>
      </x:c>
      <x:c r="F588" s="13" t="str">
        <x:v>I03 GP_Code!P5571/U5571</x:v>
      </x:c>
      <x:c r="G588" s="13" t="str">
        <x:v>是</x:v>
      </x:c>
      <x:c r="H588" s="12"/>
      <x:c r="I588" s="12"/>
      <x:c r="J588" s="12"/>
      <x:c r="K588" s="12"/>
      <x:c r="L588" s="12"/>
      <x:c r="M588" s="12"/>
      <x:c r="N588" s="12"/>
      <x:c r="O588" s="12"/>
    </x:row>
    <x:row r="589" ht="24" customHeight="1">
      <x:c r="A589" s="13" t="str">
        <x:v>I03</x:v>
      </x:c>
      <x:c r="B589" s="13" t="str">
        <x:v>QUA</x:v>
      </x:c>
      <x:c r="C589" s="13" t="str">
        <x:v>M87620</x:v>
      </x:c>
      <x:c r="D589" s="13" t="n">
        <x:v>96</x:v>
      </x:c>
      <x:c r="E589" s="30" t="n">
        <x:v>91.7</x:v>
      </x:c>
      <x:c r="F589" s="13" t="str">
        <x:v>I03 GP_Code!P5572/U5572</x:v>
      </x:c>
      <x:c r="G589" s="13" t="str">
        <x:v>是</x:v>
      </x:c>
      <x:c r="H589" s="12"/>
      <x:c r="I589" s="12"/>
      <x:c r="J589" s="12"/>
      <x:c r="K589" s="12"/>
      <x:c r="L589" s="12"/>
      <x:c r="M589" s="12"/>
      <x:c r="N589" s="12"/>
      <x:c r="O589" s="12"/>
    </x:row>
    <x:row r="590" ht="24" customHeight="1">
      <x:c r="A590" s="13" t="str">
        <x:v>I03</x:v>
      </x:c>
      <x:c r="B590" s="13" t="str">
        <x:v>QUA</x:v>
      </x:c>
      <x:c r="C590" s="13" t="str">
        <x:v>M87621</x:v>
      </x:c>
      <x:c r="D590" s="13" t="n">
        <x:v>42</x:v>
      </x:c>
      <x:c r="E590" s="30" t="n">
        <x:v>88.1</x:v>
      </x:c>
      <x:c r="F590" s="13" t="str">
        <x:v>I03 GP_Code!P5573/U5573</x:v>
      </x:c>
      <x:c r="G590" s="13" t="str">
        <x:v>是</x:v>
      </x:c>
      <x:c r="H590" s="12"/>
      <x:c r="I590" s="12"/>
      <x:c r="J590" s="12"/>
      <x:c r="K590" s="12"/>
      <x:c r="L590" s="12"/>
      <x:c r="M590" s="12"/>
      <x:c r="N590" s="12"/>
      <x:c r="O590" s="12"/>
    </x:row>
    <x:row r="591" ht="24" customHeight="1">
      <x:c r="A591" s="13" t="str">
        <x:v>I03</x:v>
      </x:c>
      <x:c r="B591" s="13" t="str">
        <x:v>QUA</x:v>
      </x:c>
      <x:c r="C591" s="13" t="str">
        <x:v>M87623</x:v>
      </x:c>
      <x:c r="D591" s="13" t="n">
        <x:v>43</x:v>
      </x:c>
      <x:c r="E591" s="30" t="n">
        <x:v>86</x:v>
      </x:c>
      <x:c r="F591" s="13" t="str">
        <x:v>I03 GP_Code!P5574/U5574</x:v>
      </x:c>
      <x:c r="G591" s="13" t="str">
        <x:v>是</x:v>
      </x:c>
      <x:c r="H591" s="12"/>
      <x:c r="I591" s="12"/>
      <x:c r="J591" s="12"/>
      <x:c r="K591" s="12"/>
      <x:c r="L591" s="12"/>
      <x:c r="M591" s="12"/>
      <x:c r="N591" s="12"/>
      <x:c r="O591" s="12"/>
    </x:row>
    <x:row r="592" ht="24" customHeight="1">
      <x:c r="A592" s="13" t="str">
        <x:v>I03</x:v>
      </x:c>
      <x:c r="B592" s="13" t="str">
        <x:v>QUA</x:v>
      </x:c>
      <x:c r="C592" s="13" t="str">
        <x:v>M87628</x:v>
      </x:c>
      <x:c r="D592" s="13" t="n">
        <x:v>38</x:v>
      </x:c>
      <x:c r="E592" s="30" t="n">
        <x:v>68.4</x:v>
      </x:c>
      <x:c r="F592" s="13" t="str">
        <x:v>I03 GP_Code!P5575/U5575</x:v>
      </x:c>
      <x:c r="G592" s="13" t="str">
        <x:v>是</x:v>
      </x:c>
      <x:c r="H592" s="12"/>
      <x:c r="I592" s="12"/>
      <x:c r="J592" s="12"/>
      <x:c r="K592" s="12"/>
      <x:c r="L592" s="12"/>
      <x:c r="M592" s="12"/>
      <x:c r="N592" s="12"/>
      <x:c r="O592" s="12"/>
    </x:row>
    <x:row r="593" ht="24" customHeight="1">
      <x:c r="A593" s="13" t="str">
        <x:v>I03</x:v>
      </x:c>
      <x:c r="B593" s="13" t="str">
        <x:v>QUA</x:v>
      </x:c>
      <x:c r="C593" s="13" t="str">
        <x:v>M87638</x:v>
      </x:c>
      <x:c r="D593" s="13" t="n">
        <x:v>36</x:v>
      </x:c>
      <x:c r="E593" s="30" t="n">
        <x:v>88.9</x:v>
      </x:c>
      <x:c r="F593" s="13" t="str">
        <x:v>I03 GP_Code!P5576/U5576</x:v>
      </x:c>
      <x:c r="G593" s="13" t="str">
        <x:v>是</x:v>
      </x:c>
      <x:c r="H593" s="12"/>
      <x:c r="I593" s="12"/>
      <x:c r="J593" s="12"/>
      <x:c r="K593" s="12"/>
      <x:c r="L593" s="12"/>
      <x:c r="M593" s="12"/>
      <x:c r="N593" s="12"/>
      <x:c r="O593" s="12"/>
    </x:row>
    <x:row r="594" ht="24" customHeight="1">
      <x:c r="A594" s="13" t="str">
        <x:v>I03</x:v>
      </x:c>
      <x:c r="B594" s="13" t="str">
        <x:v>QUA</x:v>
      </x:c>
      <x:c r="C594" s="13" t="str">
        <x:v>M88001</x:v>
      </x:c>
      <x:c r="D594" s="13" t="n">
        <x:v>153</x:v>
      </x:c>
      <x:c r="E594" s="30" t="n">
        <x:v>83.7</x:v>
      </x:c>
      <x:c r="F594" s="13" t="str">
        <x:v>I03 GP_Code!P5577/U5577</x:v>
      </x:c>
      <x:c r="G594" s="13" t="str">
        <x:v>是</x:v>
      </x:c>
      <x:c r="H594" s="12"/>
      <x:c r="I594" s="12"/>
      <x:c r="J594" s="12"/>
      <x:c r="K594" s="12"/>
      <x:c r="L594" s="12"/>
      <x:c r="M594" s="12"/>
      <x:c r="N594" s="12"/>
      <x:c r="O594" s="12"/>
    </x:row>
    <x:row r="595" ht="24" customHeight="1">
      <x:c r="A595" s="13" t="str">
        <x:v>I03</x:v>
      </x:c>
      <x:c r="B595" s="13" t="str">
        <x:v>QUA</x:v>
      </x:c>
      <x:c r="C595" s="13" t="str">
        <x:v>M88002</x:v>
      </x:c>
      <x:c r="D595" s="13" t="n">
        <x:v>113</x:v>
      </x:c>
      <x:c r="E595" s="30" t="n">
        <x:v>68.1</x:v>
      </x:c>
      <x:c r="F595" s="13" t="str">
        <x:v>I03 GP_Code!P5578/U5578</x:v>
      </x:c>
      <x:c r="G595" s="13" t="str">
        <x:v>是</x:v>
      </x:c>
      <x:c r="H595" s="12"/>
      <x:c r="I595" s="12"/>
      <x:c r="J595" s="12"/>
      <x:c r="K595" s="12"/>
      <x:c r="L595" s="12"/>
      <x:c r="M595" s="12"/>
      <x:c r="N595" s="12"/>
      <x:c r="O595" s="12"/>
    </x:row>
    <x:row r="596" ht="24" customHeight="1">
      <x:c r="A596" s="13" t="str">
        <x:v>I03</x:v>
      </x:c>
      <x:c r="B596" s="13" t="str">
        <x:v>QUA</x:v>
      </x:c>
      <x:c r="C596" s="13" t="str">
        <x:v>M88003</x:v>
      </x:c>
      <x:c r="D596" s="13" t="n">
        <x:v>126</x:v>
      </x:c>
      <x:c r="E596" s="30" t="n">
        <x:v>89.7</x:v>
      </x:c>
      <x:c r="F596" s="13" t="str">
        <x:v>I03 GP_Code!P5579/U5579</x:v>
      </x:c>
      <x:c r="G596" s="13" t="str">
        <x:v>是</x:v>
      </x:c>
      <x:c r="H596" s="12"/>
      <x:c r="I596" s="12"/>
      <x:c r="J596" s="12"/>
      <x:c r="K596" s="12"/>
      <x:c r="L596" s="12"/>
      <x:c r="M596" s="12"/>
      <x:c r="N596" s="12"/>
      <x:c r="O596" s="12"/>
    </x:row>
    <x:row r="597" ht="24" customHeight="1">
      <x:c r="A597" s="13" t="str">
        <x:v>I03</x:v>
      </x:c>
      <x:c r="B597" s="13" t="str">
        <x:v>QUA</x:v>
      </x:c>
      <x:c r="C597" s="13" t="str">
        <x:v>M88004</x:v>
      </x:c>
      <x:c r="D597" s="13" t="n">
        <x:v>570</x:v>
      </x:c>
      <x:c r="E597" s="30" t="n">
        <x:v>86.1</x:v>
      </x:c>
      <x:c r="F597" s="13" t="str">
        <x:v>I03 GP_Code!P5580/U5580</x:v>
      </x:c>
      <x:c r="G597" s="13" t="str">
        <x:v>是</x:v>
      </x:c>
      <x:c r="H597" s="12"/>
      <x:c r="I597" s="12"/>
      <x:c r="J597" s="12"/>
      <x:c r="K597" s="12"/>
      <x:c r="L597" s="12"/>
      <x:c r="M597" s="12"/>
      <x:c r="N597" s="12"/>
      <x:c r="O597" s="12"/>
    </x:row>
    <x:row r="598" ht="24" customHeight="1">
      <x:c r="A598" s="13" t="str">
        <x:v>I03</x:v>
      </x:c>
      <x:c r="B598" s="13" t="str">
        <x:v>QUA</x:v>
      </x:c>
      <x:c r="C598" s="13" t="str">
        <x:v>M88006</x:v>
      </x:c>
      <x:c r="D598" s="13" t="n">
        <x:v>156</x:v>
      </x:c>
      <x:c r="E598" s="30" t="n">
        <x:v>79.5</x:v>
      </x:c>
      <x:c r="F598" s="13" t="str">
        <x:v>I03 GP_Code!P5581/U5581</x:v>
      </x:c>
      <x:c r="G598" s="13" t="str">
        <x:v>是</x:v>
      </x:c>
      <x:c r="H598" s="12"/>
      <x:c r="I598" s="12"/>
      <x:c r="J598" s="12"/>
      <x:c r="K598" s="12"/>
      <x:c r="L598" s="12"/>
      <x:c r="M598" s="12"/>
      <x:c r="N598" s="12"/>
      <x:c r="O598" s="12"/>
    </x:row>
    <x:row r="599" ht="24" customHeight="1">
      <x:c r="A599" s="13" t="str">
        <x:v>I03</x:v>
      </x:c>
      <x:c r="B599" s="13" t="str">
        <x:v>QUA</x:v>
      </x:c>
      <x:c r="C599" s="13" t="str">
        <x:v>M88007</x:v>
      </x:c>
      <x:c r="D599" s="13" t="n">
        <x:v>101</x:v>
      </x:c>
      <x:c r="E599" s="30" t="n">
        <x:v>88.1</x:v>
      </x:c>
      <x:c r="F599" s="13" t="str">
        <x:v>I03 GP_Code!P5582/U5582</x:v>
      </x:c>
      <x:c r="G599" s="13" t="str">
        <x:v>是</x:v>
      </x:c>
      <x:c r="H599" s="12"/>
      <x:c r="I599" s="12"/>
      <x:c r="J599" s="12"/>
      <x:c r="K599" s="12"/>
      <x:c r="L599" s="12"/>
      <x:c r="M599" s="12"/>
      <x:c r="N599" s="12"/>
      <x:c r="O599" s="12"/>
    </x:row>
    <x:row r="600" ht="24" customHeight="1">
      <x:c r="A600" s="13" t="str">
        <x:v>I03</x:v>
      </x:c>
      <x:c r="B600" s="13" t="str">
        <x:v>QUA</x:v>
      </x:c>
      <x:c r="C600" s="13" t="str">
        <x:v>M88008</x:v>
      </x:c>
      <x:c r="D600" s="13" t="n">
        <x:v>63</x:v>
      </x:c>
      <x:c r="E600" s="30" t="n">
        <x:v>82.5</x:v>
      </x:c>
      <x:c r="F600" s="13" t="str">
        <x:v>I03 GP_Code!P5583/U5583</x:v>
      </x:c>
      <x:c r="G600" s="13" t="str">
        <x:v>是</x:v>
      </x:c>
      <x:c r="H600" s="12"/>
      <x:c r="I600" s="12"/>
      <x:c r="J600" s="12"/>
      <x:c r="K600" s="12"/>
      <x:c r="L600" s="12"/>
      <x:c r="M600" s="12"/>
      <x:c r="N600" s="12"/>
      <x:c r="O600" s="12"/>
    </x:row>
    <x:row r="601" ht="24" customHeight="1">
      <x:c r="A601" s="13" t="str">
        <x:v>I03</x:v>
      </x:c>
      <x:c r="B601" s="13" t="str">
        <x:v>QUA</x:v>
      </x:c>
      <x:c r="C601" s="13" t="str">
        <x:v>M88009</x:v>
      </x:c>
      <x:c r="D601" s="13" t="n">
        <x:v>136</x:v>
      </x:c>
      <x:c r="E601" s="30" t="n">
        <x:v>71.3</x:v>
      </x:c>
      <x:c r="F601" s="13" t="str">
        <x:v>I03 GP_Code!P5584/U5584</x:v>
      </x:c>
      <x:c r="G601" s="13" t="str">
        <x:v>是</x:v>
      </x:c>
      <x:c r="H601" s="12"/>
      <x:c r="I601" s="12"/>
      <x:c r="J601" s="12"/>
      <x:c r="K601" s="12"/>
      <x:c r="L601" s="12"/>
      <x:c r="M601" s="12"/>
      <x:c r="N601" s="12"/>
      <x:c r="O601" s="12"/>
    </x:row>
    <x:row r="602" ht="24" customHeight="1">
      <x:c r="A602" s="13" t="str">
        <x:v>I03</x:v>
      </x:c>
      <x:c r="B602" s="13" t="str">
        <x:v>QUA</x:v>
      </x:c>
      <x:c r="C602" s="13" t="str">
        <x:v>M88010</x:v>
      </x:c>
      <x:c r="D602" s="13" t="n">
        <x:v>138</x:v>
      </x:c>
      <x:c r="E602" s="30" t="n">
        <x:v>90.6</x:v>
      </x:c>
      <x:c r="F602" s="13" t="str">
        <x:v>I03 GP_Code!P5585/U5585</x:v>
      </x:c>
      <x:c r="G602" s="13" t="str">
        <x:v>是</x:v>
      </x:c>
      <x:c r="H602" s="12"/>
      <x:c r="I602" s="12"/>
      <x:c r="J602" s="12"/>
      <x:c r="K602" s="12"/>
      <x:c r="L602" s="12"/>
      <x:c r="M602" s="12"/>
      <x:c r="N602" s="12"/>
      <x:c r="O602" s="12"/>
    </x:row>
    <x:row r="603" ht="24" customHeight="1">
      <x:c r="A603" s="13" t="str">
        <x:v>I03</x:v>
      </x:c>
      <x:c r="B603" s="13" t="str">
        <x:v>QUA</x:v>
      </x:c>
      <x:c r="C603" s="13" t="str">
        <x:v>M88013</x:v>
      </x:c>
      <x:c r="D603" s="13" t="n">
        <x:v>189</x:v>
      </x:c>
      <x:c r="E603" s="30" t="n">
        <x:v>48.7</x:v>
      </x:c>
      <x:c r="F603" s="13" t="str">
        <x:v>I03 GP_Code!P5586/U5586</x:v>
      </x:c>
      <x:c r="G603" s="13" t="str">
        <x:v>是</x:v>
      </x:c>
      <x:c r="H603" s="12"/>
      <x:c r="I603" s="12"/>
      <x:c r="J603" s="12"/>
      <x:c r="K603" s="12"/>
      <x:c r="L603" s="12"/>
      <x:c r="M603" s="12"/>
      <x:c r="N603" s="12"/>
      <x:c r="O603" s="12"/>
    </x:row>
    <x:row r="604" ht="24" customHeight="1">
      <x:c r="A604" s="13" t="str">
        <x:v>I03</x:v>
      </x:c>
      <x:c r="B604" s="13" t="str">
        <x:v>QUA</x:v>
      </x:c>
      <x:c r="C604" s="13" t="str">
        <x:v>M88014</x:v>
      </x:c>
      <x:c r="D604" s="13" t="n">
        <x:v>69</x:v>
      </x:c>
      <x:c r="E604" s="30" t="n">
        <x:v>91.3</x:v>
      </x:c>
      <x:c r="F604" s="13" t="str">
        <x:v>I03 GP_Code!P5587/U5587</x:v>
      </x:c>
      <x:c r="G604" s="13" t="str">
        <x:v>是</x:v>
      </x:c>
      <x:c r="H604" s="12"/>
      <x:c r="I604" s="12"/>
      <x:c r="J604" s="12"/>
      <x:c r="K604" s="12"/>
      <x:c r="L604" s="12"/>
      <x:c r="M604" s="12"/>
      <x:c r="N604" s="12"/>
      <x:c r="O604" s="12"/>
    </x:row>
    <x:row r="605" ht="24" customHeight="1">
      <x:c r="A605" s="13" t="str">
        <x:v>I03</x:v>
      </x:c>
      <x:c r="B605" s="13" t="str">
        <x:v>QUA</x:v>
      </x:c>
      <x:c r="C605" s="13" t="str">
        <x:v>M88015</x:v>
      </x:c>
      <x:c r="D605" s="13" t="n">
        <x:v>143</x:v>
      </x:c>
      <x:c r="E605" s="30" t="n">
        <x:v>76.2</x:v>
      </x:c>
      <x:c r="F605" s="13" t="str">
        <x:v>I03 GP_Code!P5588/U5588</x:v>
      </x:c>
      <x:c r="G605" s="13" t="str">
        <x:v>是</x:v>
      </x:c>
      <x:c r="H605" s="12"/>
      <x:c r="I605" s="12"/>
      <x:c r="J605" s="12"/>
      <x:c r="K605" s="12"/>
      <x:c r="L605" s="12"/>
      <x:c r="M605" s="12"/>
      <x:c r="N605" s="12"/>
      <x:c r="O605" s="12"/>
    </x:row>
    <x:row r="606" ht="24" customHeight="1">
      <x:c r="A606" s="13" t="str">
        <x:v>I03</x:v>
      </x:c>
      <x:c r="B606" s="13" t="str">
        <x:v>QUA</x:v>
      </x:c>
      <x:c r="C606" s="13" t="str">
        <x:v>M88016</x:v>
      </x:c>
      <x:c r="D606" s="13" t="n">
        <x:v>35</x:v>
      </x:c>
      <x:c r="E606" s="30" t="n">
        <x:v>91.4</x:v>
      </x:c>
      <x:c r="F606" s="13" t="str">
        <x:v>I03 GP_Code!P5589/U5589</x:v>
      </x:c>
      <x:c r="G606" s="13" t="str">
        <x:v>是</x:v>
      </x:c>
      <x:c r="H606" s="12"/>
      <x:c r="I606" s="12"/>
      <x:c r="J606" s="12"/>
      <x:c r="K606" s="12"/>
      <x:c r="L606" s="12"/>
      <x:c r="M606" s="12"/>
      <x:c r="N606" s="12"/>
      <x:c r="O606" s="12"/>
    </x:row>
    <x:row r="607" ht="24" customHeight="1">
      <x:c r="A607" s="13" t="str">
        <x:v>I03</x:v>
      </x:c>
      <x:c r="B607" s="13" t="str">
        <x:v>QUA</x:v>
      </x:c>
      <x:c r="C607" s="13" t="str">
        <x:v>M88018</x:v>
      </x:c>
      <x:c r="D607" s="13" t="n">
        <x:v>278</x:v>
      </x:c>
      <x:c r="E607" s="30" t="n">
        <x:v>77.3</x:v>
      </x:c>
      <x:c r="F607" s="13" t="str">
        <x:v>I03 GP_Code!P5590/U5590</x:v>
      </x:c>
      <x:c r="G607" s="13" t="str">
        <x:v>是</x:v>
      </x:c>
      <x:c r="H607" s="12"/>
      <x:c r="I607" s="12"/>
      <x:c r="J607" s="12"/>
      <x:c r="K607" s="12"/>
      <x:c r="L607" s="12"/>
      <x:c r="M607" s="12"/>
      <x:c r="N607" s="12"/>
      <x:c r="O607" s="12"/>
    </x:row>
    <x:row r="608" ht="24" customHeight="1">
      <x:c r="A608" s="13" t="str">
        <x:v>I03</x:v>
      </x:c>
      <x:c r="B608" s="13" t="str">
        <x:v>QUA</x:v>
      </x:c>
      <x:c r="C608" s="13" t="str">
        <x:v>M88019</x:v>
      </x:c>
      <x:c r="D608" s="13" t="n">
        <x:v>32</x:v>
      </x:c>
      <x:c r="E608" s="30" t="n">
        <x:v>62.5</x:v>
      </x:c>
      <x:c r="F608" s="13" t="str">
        <x:v>I03 GP_Code!P5591/U5591</x:v>
      </x:c>
      <x:c r="G608" s="13" t="str">
        <x:v>是</x:v>
      </x:c>
      <x:c r="H608" s="12"/>
      <x:c r="I608" s="12"/>
      <x:c r="J608" s="12"/>
      <x:c r="K608" s="12"/>
      <x:c r="L608" s="12"/>
      <x:c r="M608" s="12"/>
      <x:c r="N608" s="12"/>
      <x:c r="O608" s="12"/>
    </x:row>
    <x:row r="609" ht="24" customHeight="1">
      <x:c r="A609" s="13" t="str">
        <x:v>I03</x:v>
      </x:c>
      <x:c r="B609" s="13" t="str">
        <x:v>QUA</x:v>
      </x:c>
      <x:c r="C609" s="13" t="str">
        <x:v>M88021</x:v>
      </x:c>
      <x:c r="D609" s="13" t="n">
        <x:v>124</x:v>
      </x:c>
      <x:c r="E609" s="30" t="n">
        <x:v>71</x:v>
      </x:c>
      <x:c r="F609" s="13" t="str">
        <x:v>I03 GP_Code!P5592/U5592</x:v>
      </x:c>
      <x:c r="G609" s="13" t="str">
        <x:v>是</x:v>
      </x:c>
      <x:c r="H609" s="12"/>
      <x:c r="I609" s="12"/>
      <x:c r="J609" s="12"/>
      <x:c r="K609" s="12"/>
      <x:c r="L609" s="12"/>
      <x:c r="M609" s="12"/>
      <x:c r="N609" s="12"/>
      <x:c r="O609" s="12"/>
    </x:row>
    <x:row r="610" ht="24" customHeight="1">
      <x:c r="A610" s="13" t="str">
        <x:v>I03</x:v>
      </x:c>
      <x:c r="B610" s="13" t="str">
        <x:v>QUA</x:v>
      </x:c>
      <x:c r="C610" s="13" t="str">
        <x:v>M88022</x:v>
      </x:c>
      <x:c r="D610" s="13" t="n">
        <x:v>33</x:v>
      </x:c>
      <x:c r="E610" s="30" t="n">
        <x:v>93.9</x:v>
      </x:c>
      <x:c r="F610" s="13" t="str">
        <x:v>I03 GP_Code!P5593/U5593</x:v>
      </x:c>
      <x:c r="G610" s="13" t="str">
        <x:v>是</x:v>
      </x:c>
      <x:c r="H610" s="12"/>
      <x:c r="I610" s="12"/>
      <x:c r="J610" s="12"/>
      <x:c r="K610" s="12"/>
      <x:c r="L610" s="12"/>
      <x:c r="M610" s="12"/>
      <x:c r="N610" s="12"/>
      <x:c r="O610" s="12"/>
    </x:row>
    <x:row r="611" ht="24" customHeight="1">
      <x:c r="A611" s="13" t="str">
        <x:v>I03</x:v>
      </x:c>
      <x:c r="B611" s="13" t="str">
        <x:v>QUA</x:v>
      </x:c>
      <x:c r="C611" s="13" t="str">
        <x:v>M88023</x:v>
      </x:c>
      <x:c r="D611" s="13" t="n">
        <x:v>61</x:v>
      </x:c>
      <x:c r="E611" s="30" t="n">
        <x:v>95.1</x:v>
      </x:c>
      <x:c r="F611" s="13" t="str">
        <x:v>I03 GP_Code!P5594/U5594</x:v>
      </x:c>
      <x:c r="G611" s="13" t="str">
        <x:v>是</x:v>
      </x:c>
      <x:c r="H611" s="12"/>
      <x:c r="I611" s="12"/>
      <x:c r="J611" s="12"/>
      <x:c r="K611" s="12"/>
      <x:c r="L611" s="12"/>
      <x:c r="M611" s="12"/>
      <x:c r="N611" s="12"/>
      <x:c r="O611" s="12"/>
    </x:row>
    <x:row r="612" ht="24" customHeight="1">
      <x:c r="A612" s="13" t="str">
        <x:v>I03</x:v>
      </x:c>
      <x:c r="B612" s="13" t="str">
        <x:v>QUA</x:v>
      </x:c>
      <x:c r="C612" s="13" t="str">
        <x:v>M88026</x:v>
      </x:c>
      <x:c r="D612" s="13" t="n">
        <x:v>79</x:v>
      </x:c>
      <x:c r="E612" s="30" t="n">
        <x:v>86.1</x:v>
      </x:c>
      <x:c r="F612" s="13" t="str">
        <x:v>I03 GP_Code!P5595/U5595</x:v>
      </x:c>
      <x:c r="G612" s="13" t="str">
        <x:v>是</x:v>
      </x:c>
      <x:c r="H612" s="12"/>
      <x:c r="I612" s="12"/>
      <x:c r="J612" s="12"/>
      <x:c r="K612" s="12"/>
      <x:c r="L612" s="12"/>
      <x:c r="M612" s="12"/>
      <x:c r="N612" s="12"/>
      <x:c r="O612" s="12"/>
    </x:row>
    <x:row r="613" ht="24" customHeight="1">
      <x:c r="A613" s="13" t="str">
        <x:v>I03</x:v>
      </x:c>
      <x:c r="B613" s="13" t="str">
        <x:v>QUA</x:v>
      </x:c>
      <x:c r="C613" s="13" t="str">
        <x:v>M88030</x:v>
      </x:c>
      <x:c r="D613" s="13" t="n">
        <x:v>66</x:v>
      </x:c>
      <x:c r="E613" s="30" t="n">
        <x:v>95.5</x:v>
      </x:c>
      <x:c r="F613" s="13" t="str">
        <x:v>I03 GP_Code!P5596/U5596</x:v>
      </x:c>
      <x:c r="G613" s="13" t="str">
        <x:v>是</x:v>
      </x:c>
      <x:c r="H613" s="12"/>
      <x:c r="I613" s="12"/>
      <x:c r="J613" s="12"/>
      <x:c r="K613" s="12"/>
      <x:c r="L613" s="12"/>
      <x:c r="M613" s="12"/>
      <x:c r="N613" s="12"/>
      <x:c r="O613" s="12"/>
    </x:row>
    <x:row r="614" ht="24" customHeight="1">
      <x:c r="A614" s="13" t="str">
        <x:v>I03</x:v>
      </x:c>
      <x:c r="B614" s="13" t="str">
        <x:v>QUA</x:v>
      </x:c>
      <x:c r="C614" s="13" t="str">
        <x:v>M88031</x:v>
      </x:c>
      <x:c r="D614" s="13" t="n">
        <x:v>49</x:v>
      </x:c>
      <x:c r="E614" s="30" t="n">
        <x:v>81.6</x:v>
      </x:c>
      <x:c r="F614" s="13" t="str">
        <x:v>I03 GP_Code!P5597/U5597</x:v>
      </x:c>
      <x:c r="G614" s="13" t="str">
        <x:v>是</x:v>
      </x:c>
      <x:c r="H614" s="12"/>
      <x:c r="I614" s="12"/>
      <x:c r="J614" s="12"/>
      <x:c r="K614" s="12"/>
      <x:c r="L614" s="12"/>
      <x:c r="M614" s="12"/>
      <x:c r="N614" s="12"/>
      <x:c r="O614" s="12"/>
    </x:row>
    <x:row r="615" ht="24" customHeight="1">
      <x:c r="A615" s="13" t="str">
        <x:v>I03</x:v>
      </x:c>
      <x:c r="B615" s="13" t="str">
        <x:v>QUA</x:v>
      </x:c>
      <x:c r="C615" s="13" t="str">
        <x:v>M88035</x:v>
      </x:c>
      <x:c r="D615" s="13" t="n">
        <x:v>47</x:v>
      </x:c>
      <x:c r="E615" s="30" t="n">
        <x:v>76.6</x:v>
      </x:c>
      <x:c r="F615" s="13" t="str">
        <x:v>I03 GP_Code!P5598/U5598</x:v>
      </x:c>
      <x:c r="G615" s="13" t="str">
        <x:v>是</x:v>
      </x:c>
      <x:c r="H615" s="12"/>
      <x:c r="I615" s="12"/>
      <x:c r="J615" s="12"/>
      <x:c r="K615" s="12"/>
      <x:c r="L615" s="12"/>
      <x:c r="M615" s="12"/>
      <x:c r="N615" s="12"/>
      <x:c r="O615" s="12"/>
    </x:row>
    <x:row r="616" ht="24" customHeight="1">
      <x:c r="A616" s="13" t="str">
        <x:v>I03</x:v>
      </x:c>
      <x:c r="B616" s="13" t="str">
        <x:v>QUA</x:v>
      </x:c>
      <x:c r="C616" s="13" t="str">
        <x:v>M88038</x:v>
      </x:c>
      <x:c r="D616" s="13" t="n">
        <x:v>151</x:v>
      </x:c>
      <x:c r="E616" s="30" t="n">
        <x:v>84.8</x:v>
      </x:c>
      <x:c r="F616" s="13" t="str">
        <x:v>I03 GP_Code!P5599/U5599</x:v>
      </x:c>
      <x:c r="G616" s="13" t="str">
        <x:v>是</x:v>
      </x:c>
      <x:c r="H616" s="12"/>
      <x:c r="I616" s="12"/>
      <x:c r="J616" s="12"/>
      <x:c r="K616" s="12"/>
      <x:c r="L616" s="12"/>
      <x:c r="M616" s="12"/>
      <x:c r="N616" s="12"/>
      <x:c r="O616" s="12"/>
    </x:row>
    <x:row r="617" ht="24" customHeight="1">
      <x:c r="A617" s="13" t="str">
        <x:v>I03</x:v>
      </x:c>
      <x:c r="B617" s="13" t="str">
        <x:v>QUA</x:v>
      </x:c>
      <x:c r="C617" s="13" t="str">
        <x:v>M88040</x:v>
      </x:c>
      <x:c r="D617" s="13" t="n">
        <x:v>91</x:v>
      </x:c>
      <x:c r="E617" s="30" t="n">
        <x:v>94.5</x:v>
      </x:c>
      <x:c r="F617" s="13" t="str">
        <x:v>I03 GP_Code!P5600/U5600</x:v>
      </x:c>
      <x:c r="G617" s="13" t="str">
        <x:v>是</x:v>
      </x:c>
      <x:c r="H617" s="12"/>
      <x:c r="I617" s="12"/>
      <x:c r="J617" s="12"/>
      <x:c r="K617" s="12"/>
      <x:c r="L617" s="12"/>
      <x:c r="M617" s="12"/>
      <x:c r="N617" s="12"/>
      <x:c r="O617" s="12"/>
    </x:row>
    <x:row r="618" ht="24" customHeight="1">
      <x:c r="A618" s="13" t="str">
        <x:v>I03</x:v>
      </x:c>
      <x:c r="B618" s="13" t="str">
        <x:v>QUA</x:v>
      </x:c>
      <x:c r="C618" s="13" t="str">
        <x:v>M88041</x:v>
      </x:c>
      <x:c r="D618" s="13" t="n">
        <x:v>59</x:v>
      </x:c>
      <x:c r="E618" s="30" t="n">
        <x:v>89.8</x:v>
      </x:c>
      <x:c r="F618" s="13" t="str">
        <x:v>I03 GP_Code!P5601/U5601</x:v>
      </x:c>
      <x:c r="G618" s="13" t="str">
        <x:v>是</x:v>
      </x:c>
      <x:c r="H618" s="12"/>
      <x:c r="I618" s="12"/>
      <x:c r="J618" s="12"/>
      <x:c r="K618" s="12"/>
      <x:c r="L618" s="12"/>
      <x:c r="M618" s="12"/>
      <x:c r="N618" s="12"/>
      <x:c r="O618" s="12"/>
    </x:row>
    <x:row r="619" ht="24" customHeight="1">
      <x:c r="A619" s="13" t="str">
        <x:v>I03</x:v>
      </x:c>
      <x:c r="B619" s="13" t="str">
        <x:v>QUA</x:v>
      </x:c>
      <x:c r="C619" s="13" t="str">
        <x:v>M88042</x:v>
      </x:c>
      <x:c r="D619" s="13" t="n">
        <x:v>51</x:v>
      </x:c>
      <x:c r="E619" s="30" t="n">
        <x:v>84.3</x:v>
      </x:c>
      <x:c r="F619" s="13" t="str">
        <x:v>I03 GP_Code!P5602/U5602</x:v>
      </x:c>
      <x:c r="G619" s="13" t="str">
        <x:v>是</x:v>
      </x:c>
      <x:c r="H619" s="12"/>
      <x:c r="I619" s="12"/>
      <x:c r="J619" s="12"/>
      <x:c r="K619" s="12"/>
      <x:c r="L619" s="12"/>
      <x:c r="M619" s="12"/>
      <x:c r="N619" s="12"/>
      <x:c r="O619" s="12"/>
    </x:row>
    <x:row r="620" ht="24" customHeight="1">
      <x:c r="A620" s="13" t="str">
        <x:v>I03</x:v>
      </x:c>
      <x:c r="B620" s="13" t="str">
        <x:v>QUA</x:v>
      </x:c>
      <x:c r="C620" s="13" t="str">
        <x:v>M88043</x:v>
      </x:c>
      <x:c r="D620" s="13" t="n">
        <x:v>88</x:v>
      </x:c>
      <x:c r="E620" s="30" t="n">
        <x:v>93.2</x:v>
      </x:c>
      <x:c r="F620" s="13" t="str">
        <x:v>I03 GP_Code!P5603/U5603</x:v>
      </x:c>
      <x:c r="G620" s="13" t="str">
        <x:v>是</x:v>
      </x:c>
      <x:c r="H620" s="12"/>
      <x:c r="I620" s="12"/>
      <x:c r="J620" s="12"/>
      <x:c r="K620" s="12"/>
      <x:c r="L620" s="12"/>
      <x:c r="M620" s="12"/>
      <x:c r="N620" s="12"/>
      <x:c r="O620" s="12"/>
    </x:row>
    <x:row r="621" ht="24" customHeight="1">
      <x:c r="A621" s="13" t="str">
        <x:v>I03</x:v>
      </x:c>
      <x:c r="B621" s="13" t="str">
        <x:v>QUA</x:v>
      </x:c>
      <x:c r="C621" s="13" t="str">
        <x:v>M88044</x:v>
      </x:c>
      <x:c r="D621" s="13" t="n">
        <x:v>37</x:v>
      </x:c>
      <x:c r="E621" s="30" t="n">
        <x:v>83.8</x:v>
      </x:c>
      <x:c r="F621" s="13" t="str">
        <x:v>I03 GP_Code!P5604/U5604</x:v>
      </x:c>
      <x:c r="G621" s="13" t="str">
        <x:v>否</x:v>
      </x:c>
      <x:c r="H621" s="12"/>
      <x:c r="I621" s="12"/>
      <x:c r="J621" s="12"/>
      <x:c r="K621" s="12"/>
      <x:c r="L621" s="12"/>
      <x:c r="M621" s="12"/>
      <x:c r="N621" s="12"/>
      <x:c r="O621" s="12"/>
    </x:row>
    <x:row r="622" ht="24" customHeight="1">
      <x:c r="A622" s="13" t="str">
        <x:v>I03</x:v>
      </x:c>
      <x:c r="B622" s="13" t="str">
        <x:v>QUA</x:v>
      </x:c>
      <x:c r="C622" s="13" t="str">
        <x:v>M88600</x:v>
      </x:c>
      <x:c r="D622" s="13" t="n">
        <x:v>59</x:v>
      </x:c>
      <x:c r="E622" s="30" t="n">
        <x:v>86.4</x:v>
      </x:c>
      <x:c r="F622" s="13" t="str">
        <x:v>I03 GP_Code!P5605/U5605</x:v>
      </x:c>
      <x:c r="G622" s="13" t="str">
        <x:v>是</x:v>
      </x:c>
      <x:c r="H622" s="12"/>
      <x:c r="I622" s="12"/>
      <x:c r="J622" s="12"/>
      <x:c r="K622" s="12"/>
      <x:c r="L622" s="12"/>
      <x:c r="M622" s="12"/>
      <x:c r="N622" s="12"/>
      <x:c r="O622" s="12"/>
    </x:row>
    <x:row r="623" ht="24" customHeight="1">
      <x:c r="A623" s="13" t="str">
        <x:v>I03</x:v>
      </x:c>
      <x:c r="B623" s="13" t="str">
        <x:v>QUA</x:v>
      </x:c>
      <x:c r="C623" s="13" t="str">
        <x:v>M88610</x:v>
      </x:c>
      <x:c r="D623" s="13" t="n">
        <x:v>64</x:v>
      </x:c>
      <x:c r="E623" s="30" t="n">
        <x:v>84.4</x:v>
      </x:c>
      <x:c r="F623" s="13" t="str">
        <x:v>I03 GP_Code!P5606/U5606</x:v>
      </x:c>
      <x:c r="G623" s="13" t="str">
        <x:v>是</x:v>
      </x:c>
      <x:c r="H623" s="12"/>
      <x:c r="I623" s="12"/>
      <x:c r="J623" s="12"/>
      <x:c r="K623" s="12"/>
      <x:c r="L623" s="12"/>
      <x:c r="M623" s="12"/>
      <x:c r="N623" s="12"/>
      <x:c r="O623" s="12"/>
    </x:row>
    <x:row r="624" ht="24" customHeight="1">
      <x:c r="A624" s="13" t="str">
        <x:v>I03</x:v>
      </x:c>
      <x:c r="B624" s="13" t="str">
        <x:v>QUA</x:v>
      </x:c>
      <x:c r="C624" s="13" t="str">
        <x:v>M88612</x:v>
      </x:c>
      <x:c r="D624" s="13" t="n">
        <x:v>42</x:v>
      </x:c>
      <x:c r="E624" s="30" t="n">
        <x:v>95.2</x:v>
      </x:c>
      <x:c r="F624" s="13" t="str">
        <x:v>I03 GP_Code!P5607/U5607</x:v>
      </x:c>
      <x:c r="G624" s="13" t="str">
        <x:v>是</x:v>
      </x:c>
      <x:c r="H624" s="12"/>
      <x:c r="I624" s="12"/>
      <x:c r="J624" s="12"/>
      <x:c r="K624" s="12"/>
      <x:c r="L624" s="12"/>
      <x:c r="M624" s="12"/>
      <x:c r="N624" s="12"/>
      <x:c r="O624" s="12"/>
    </x:row>
    <x:row r="625" ht="24" customHeight="1">
      <x:c r="A625" s="13" t="str">
        <x:v>I03</x:v>
      </x:c>
      <x:c r="B625" s="13" t="str">
        <x:v>QUA</x:v>
      </x:c>
      <x:c r="C625" s="13" t="str">
        <x:v>M88616</x:v>
      </x:c>
      <x:c r="D625" s="13" t="n">
        <x:v>138</x:v>
      </x:c>
      <x:c r="E625" s="30" t="n">
        <x:v>76.8</x:v>
      </x:c>
      <x:c r="F625" s="13" t="str">
        <x:v>I03 GP_Code!P5608/U5608</x:v>
      </x:c>
      <x:c r="G625" s="13" t="str">
        <x:v>是</x:v>
      </x:c>
      <x:c r="H625" s="12"/>
      <x:c r="I625" s="12"/>
      <x:c r="J625" s="12"/>
      <x:c r="K625" s="12"/>
      <x:c r="L625" s="12"/>
      <x:c r="M625" s="12"/>
      <x:c r="N625" s="12"/>
      <x:c r="O625" s="12"/>
    </x:row>
    <x:row r="626" ht="24" customHeight="1">
      <x:c r="A626" s="13" t="str">
        <x:v>I03</x:v>
      </x:c>
      <x:c r="B626" s="13" t="str">
        <x:v>QUA</x:v>
      </x:c>
      <x:c r="C626" s="13" t="str">
        <x:v>M88618</x:v>
      </x:c>
      <x:c r="D626" s="13" t="n">
        <x:v>26</x:v>
      </x:c>
      <x:c r="E626" s="30" t="n">
        <x:v>88.5</x:v>
      </x:c>
      <x:c r="F626" s="13" t="str">
        <x:v>I03 GP_Code!P5609/U5609</x:v>
      </x:c>
      <x:c r="G626" s="13" t="str">
        <x:v>是</x:v>
      </x:c>
      <x:c r="H626" s="12"/>
      <x:c r="I626" s="12"/>
      <x:c r="J626" s="12"/>
      <x:c r="K626" s="12"/>
      <x:c r="L626" s="12"/>
      <x:c r="M626" s="12"/>
      <x:c r="N626" s="12"/>
      <x:c r="O626" s="12"/>
    </x:row>
    <x:row r="627" ht="24" customHeight="1">
      <x:c r="A627" s="13" t="str">
        <x:v>I03</x:v>
      </x:c>
      <x:c r="B627" s="13" t="str">
        <x:v>QUA</x:v>
      </x:c>
      <x:c r="C627" s="13" t="str">
        <x:v>M88619</x:v>
      </x:c>
      <x:c r="D627" s="13" t="n">
        <x:v>119</x:v>
      </x:c>
      <x:c r="E627" s="30" t="n">
        <x:v>81.5</x:v>
      </x:c>
      <x:c r="F627" s="13" t="str">
        <x:v>I03 GP_Code!P5610/U5610</x:v>
      </x:c>
      <x:c r="G627" s="13" t="str">
        <x:v>是</x:v>
      </x:c>
      <x:c r="H627" s="12"/>
      <x:c r="I627" s="12"/>
      <x:c r="J627" s="12"/>
      <x:c r="K627" s="12"/>
      <x:c r="L627" s="12"/>
      <x:c r="M627" s="12"/>
      <x:c r="N627" s="12"/>
      <x:c r="O627" s="12"/>
    </x:row>
    <x:row r="628" ht="24" customHeight="1">
      <x:c r="A628" s="13" t="str">
        <x:v>I03</x:v>
      </x:c>
      <x:c r="B628" s="13" t="str">
        <x:v>QUA</x:v>
      </x:c>
      <x:c r="C628" s="13" t="str">
        <x:v>M88620</x:v>
      </x:c>
      <x:c r="D628" s="13" t="n">
        <x:v>46</x:v>
      </x:c>
      <x:c r="E628" s="30" t="n">
        <x:v>69.6</x:v>
      </x:c>
      <x:c r="F628" s="13" t="str">
        <x:v>I03 GP_Code!P5611/U5611</x:v>
      </x:c>
      <x:c r="G628" s="13" t="str">
        <x:v>是</x:v>
      </x:c>
      <x:c r="H628" s="12"/>
      <x:c r="I628" s="12"/>
      <x:c r="J628" s="12"/>
      <x:c r="K628" s="12"/>
      <x:c r="L628" s="12"/>
      <x:c r="M628" s="12"/>
      <x:c r="N628" s="12"/>
      <x:c r="O628" s="12"/>
    </x:row>
    <x:row r="629" ht="24" customHeight="1">
      <x:c r="A629" s="13" t="str">
        <x:v>I03</x:v>
      </x:c>
      <x:c r="B629" s="13" t="str">
        <x:v>QUA</x:v>
      </x:c>
      <x:c r="C629" s="13" t="str">
        <x:v>M88625</x:v>
      </x:c>
      <x:c r="D629" s="13" t="n">
        <x:v>46</x:v>
      </x:c>
      <x:c r="E629" s="30" t="n">
        <x:v>87</x:v>
      </x:c>
      <x:c r="F629" s="13" t="str">
        <x:v>I03 GP_Code!P5612/U5612</x:v>
      </x:c>
      <x:c r="G629" s="13" t="str">
        <x:v>是</x:v>
      </x:c>
      <x:c r="H629" s="12"/>
      <x:c r="I629" s="12"/>
      <x:c r="J629" s="12"/>
      <x:c r="K629" s="12"/>
      <x:c r="L629" s="12"/>
      <x:c r="M629" s="12"/>
      <x:c r="N629" s="12"/>
      <x:c r="O629" s="12"/>
    </x:row>
    <x:row r="630" ht="24" customHeight="1">
      <x:c r="A630" s="13" t="str">
        <x:v>I03</x:v>
      </x:c>
      <x:c r="B630" s="13" t="str">
        <x:v>QUA</x:v>
      </x:c>
      <x:c r="C630" s="13" t="str">
        <x:v>M88626</x:v>
      </x:c>
      <x:c r="D630" s="13" t="n">
        <x:v>30</x:v>
      </x:c>
      <x:c r="E630" s="30" t="n">
        <x:v>76.7</x:v>
      </x:c>
      <x:c r="F630" s="13" t="str">
        <x:v>I03 GP_Code!P5613/U5613</x:v>
      </x:c>
      <x:c r="G630" s="13" t="str">
        <x:v>是</x:v>
      </x:c>
      <x:c r="H630" s="12"/>
      <x:c r="I630" s="12"/>
      <x:c r="J630" s="12"/>
      <x:c r="K630" s="12"/>
      <x:c r="L630" s="12"/>
      <x:c r="M630" s="12"/>
      <x:c r="N630" s="12"/>
      <x:c r="O630" s="12"/>
    </x:row>
    <x:row r="631" ht="24" customHeight="1">
      <x:c r="A631" s="13" t="str">
        <x:v>I03</x:v>
      </x:c>
      <x:c r="B631" s="13" t="str">
        <x:v>QUA</x:v>
      </x:c>
      <x:c r="C631" s="13" t="str">
        <x:v>M88628</x:v>
      </x:c>
      <x:c r="D631" s="13" t="n">
        <x:v>26</x:v>
      </x:c>
      <x:c r="E631" s="30" t="n">
        <x:v>80.8</x:v>
      </x:c>
      <x:c r="F631" s="13" t="str">
        <x:v>I03 GP_Code!P5614/U5614</x:v>
      </x:c>
      <x:c r="G631" s="13" t="str">
        <x:v>是</x:v>
      </x:c>
      <x:c r="H631" s="12"/>
      <x:c r="I631" s="12"/>
      <x:c r="J631" s="12"/>
      <x:c r="K631" s="12"/>
      <x:c r="L631" s="12"/>
      <x:c r="M631" s="12"/>
      <x:c r="N631" s="12"/>
      <x:c r="O631" s="12"/>
    </x:row>
    <x:row r="632" ht="24" customHeight="1">
      <x:c r="A632" s="13" t="str">
        <x:v>I03</x:v>
      </x:c>
      <x:c r="B632" s="13" t="str">
        <x:v>QUA</x:v>
      </x:c>
      <x:c r="C632" s="13" t="str">
        <x:v>M88630</x:v>
      </x:c>
      <x:c r="D632" s="13" t="n">
        <x:v>72</x:v>
      </x:c>
      <x:c r="E632" s="30" t="n">
        <x:v>69.4</x:v>
      </x:c>
      <x:c r="F632" s="13" t="str">
        <x:v>I03 GP_Code!P5615/U5615</x:v>
      </x:c>
      <x:c r="G632" s="13" t="str">
        <x:v>是</x:v>
      </x:c>
      <x:c r="H632" s="12"/>
      <x:c r="I632" s="12"/>
      <x:c r="J632" s="12"/>
      <x:c r="K632" s="12"/>
      <x:c r="L632" s="12"/>
      <x:c r="M632" s="12"/>
      <x:c r="N632" s="12"/>
      <x:c r="O632" s="12"/>
    </x:row>
    <x:row r="633" ht="24" customHeight="1">
      <x:c r="A633" s="13" t="str">
        <x:v>I03</x:v>
      </x:c>
      <x:c r="B633" s="13" t="str">
        <x:v>QUA</x:v>
      </x:c>
      <x:c r="C633" s="13" t="str">
        <x:v>M88633</x:v>
      </x:c>
      <x:c r="D633" s="13" t="n">
        <x:v>66</x:v>
      </x:c>
      <x:c r="E633" s="30" t="n">
        <x:v>84.8</x:v>
      </x:c>
      <x:c r="F633" s="13" t="str">
        <x:v>I03 GP_Code!P5616/U5616</x:v>
      </x:c>
      <x:c r="G633" s="13" t="str">
        <x:v>是</x:v>
      </x:c>
      <x:c r="H633" s="12"/>
      <x:c r="I633" s="12"/>
      <x:c r="J633" s="12"/>
      <x:c r="K633" s="12"/>
      <x:c r="L633" s="12"/>
      <x:c r="M633" s="12"/>
      <x:c r="N633" s="12"/>
      <x:c r="O633" s="12"/>
    </x:row>
    <x:row r="634" ht="24" customHeight="1">
      <x:c r="A634" s="13" t="str">
        <x:v>I03</x:v>
      </x:c>
      <x:c r="B634" s="13" t="str">
        <x:v>QUA</x:v>
      </x:c>
      <x:c r="C634" s="13" t="str">
        <x:v>M88635</x:v>
      </x:c>
      <x:c r="D634" s="13" t="n">
        <x:v>18</x:v>
      </x:c>
      <x:c r="E634" s="30" t="n">
        <x:v>77.8</x:v>
      </x:c>
      <x:c r="F634" s="13" t="str">
        <x:v>I03 GP_Code!P5617/U5617</x:v>
      </x:c>
      <x:c r="G634" s="13" t="str">
        <x:v>是</x:v>
      </x:c>
      <x:c r="H634" s="12"/>
      <x:c r="I634" s="12"/>
      <x:c r="J634" s="12"/>
      <x:c r="K634" s="12"/>
      <x:c r="L634" s="12"/>
      <x:c r="M634" s="12"/>
      <x:c r="N634" s="12"/>
      <x:c r="O634" s="12"/>
    </x:row>
    <x:row r="635" ht="24" customHeight="1">
      <x:c r="A635" s="13" t="str">
        <x:v>I03</x:v>
      </x:c>
      <x:c r="B635" s="13" t="str">
        <x:v>QUA</x:v>
      </x:c>
      <x:c r="C635" s="13" t="str">
        <x:v>M88639</x:v>
      </x:c>
      <x:c r="D635" s="13" t="n">
        <x:v>39</x:v>
      </x:c>
      <x:c r="E635" s="30" t="n">
        <x:v>69.2</x:v>
      </x:c>
      <x:c r="F635" s="13" t="str">
        <x:v>I03 GP_Code!P5618/U5618</x:v>
      </x:c>
      <x:c r="G635" s="13" t="str">
        <x:v>是</x:v>
      </x:c>
      <x:c r="H635" s="12"/>
      <x:c r="I635" s="12"/>
      <x:c r="J635" s="12"/>
      <x:c r="K635" s="12"/>
      <x:c r="L635" s="12"/>
      <x:c r="M635" s="12"/>
      <x:c r="N635" s="12"/>
      <x:c r="O635" s="12"/>
    </x:row>
    <x:row r="636" ht="24" customHeight="1">
      <x:c r="A636" s="13" t="str">
        <x:v>I03</x:v>
      </x:c>
      <x:c r="B636" s="13" t="str">
        <x:v>QUA</x:v>
      </x:c>
      <x:c r="C636" s="13" t="str">
        <x:v>M88640</x:v>
      </x:c>
      <x:c r="D636" s="13" t="n">
        <x:v>39</x:v>
      </x:c>
      <x:c r="E636" s="30" t="n">
        <x:v>56.4</x:v>
      </x:c>
      <x:c r="F636" s="13" t="str">
        <x:v>I03 GP_Code!P5619/U5619</x:v>
      </x:c>
      <x:c r="G636" s="13" t="str">
        <x:v>是</x:v>
      </x:c>
      <x:c r="H636" s="12"/>
      <x:c r="I636" s="12"/>
      <x:c r="J636" s="12"/>
      <x:c r="K636" s="12"/>
      <x:c r="L636" s="12"/>
      <x:c r="M636" s="12"/>
      <x:c r="N636" s="12"/>
      <x:c r="O636" s="12"/>
    </x:row>
    <x:row r="637" ht="24" customHeight="1">
      <x:c r="A637" s="13" t="str">
        <x:v>I03</x:v>
      </x:c>
      <x:c r="B637" s="13" t="str">
        <x:v>QUA</x:v>
      </x:c>
      <x:c r="C637" s="13" t="str">
        <x:v>M88643</x:v>
      </x:c>
      <x:c r="D637" s="13" t="n">
        <x:v>56</x:v>
      </x:c>
      <x:c r="E637" s="30" t="n">
        <x:v>76.8</x:v>
      </x:c>
      <x:c r="F637" s="13" t="str">
        <x:v>I03 GP_Code!P5620/U5620</x:v>
      </x:c>
      <x:c r="G637" s="13" t="str">
        <x:v>是</x:v>
      </x:c>
      <x:c r="H637" s="12"/>
      <x:c r="I637" s="12"/>
      <x:c r="J637" s="12"/>
      <x:c r="K637" s="12"/>
      <x:c r="L637" s="12"/>
      <x:c r="M637" s="12"/>
      <x:c r="N637" s="12"/>
      <x:c r="O637" s="12"/>
    </x:row>
    <x:row r="638" ht="24" customHeight="1">
      <x:c r="A638" s="13" t="str">
        <x:v>I03</x:v>
      </x:c>
      <x:c r="B638" s="13" t="str">
        <x:v>QUA</x:v>
      </x:c>
      <x:c r="C638" s="13" t="str">
        <x:v>M88645</x:v>
      </x:c>
      <x:c r="D638" s="13" t="n">
        <x:v>130</x:v>
      </x:c>
      <x:c r="E638" s="30" t="n">
        <x:v>59.2</x:v>
      </x:c>
      <x:c r="F638" s="13" t="str">
        <x:v>I03 GP_Code!P5621/U5621</x:v>
      </x:c>
      <x:c r="G638" s="13" t="str">
        <x:v>是</x:v>
      </x:c>
      <x:c r="H638" s="12"/>
      <x:c r="I638" s="12"/>
      <x:c r="J638" s="12"/>
      <x:c r="K638" s="12"/>
      <x:c r="L638" s="12"/>
      <x:c r="M638" s="12"/>
      <x:c r="N638" s="12"/>
      <x:c r="O638" s="12"/>
    </x:row>
    <x:row r="639" ht="24" customHeight="1">
      <x:c r="A639" s="13" t="str">
        <x:v>I03</x:v>
      </x:c>
      <x:c r="B639" s="13" t="str">
        <x:v>QUA</x:v>
      </x:c>
      <x:c r="C639" s="13" t="str">
        <x:v>M88646</x:v>
      </x:c>
      <x:c r="D639" s="13" t="n">
        <x:v>23</x:v>
      </x:c>
      <x:c r="E639" s="30" t="n">
        <x:v>87</x:v>
      </x:c>
      <x:c r="F639" s="13" t="str">
        <x:v>I03 GP_Code!P5622/U5622</x:v>
      </x:c>
      <x:c r="G639" s="13" t="str">
        <x:v>是</x:v>
      </x:c>
      <x:c r="H639" s="12"/>
      <x:c r="I639" s="12"/>
      <x:c r="J639" s="12"/>
      <x:c r="K639" s="12"/>
      <x:c r="L639" s="12"/>
      <x:c r="M639" s="12"/>
      <x:c r="N639" s="12"/>
      <x:c r="O639" s="12"/>
    </x:row>
    <x:row r="640" ht="24" customHeight="1">
      <x:c r="A640" s="13" t="str">
        <x:v>I03</x:v>
      </x:c>
      <x:c r="B640" s="13" t="str">
        <x:v>QUA</x:v>
      </x:c>
      <x:c r="C640" s="13" t="str">
        <x:v>M88647</x:v>
      </x:c>
      <x:c r="D640" s="13" t="n">
        <x:v>66</x:v>
      </x:c>
      <x:c r="E640" s="30" t="n">
        <x:v>86.4</x:v>
      </x:c>
      <x:c r="F640" s="13" t="str">
        <x:v>I03 GP_Code!P5623/U5623</x:v>
      </x:c>
      <x:c r="G640" s="13" t="str">
        <x:v>是</x:v>
      </x:c>
      <x:c r="H640" s="12"/>
      <x:c r="I640" s="12"/>
      <x:c r="J640" s="12"/>
      <x:c r="K640" s="12"/>
      <x:c r="L640" s="12"/>
      <x:c r="M640" s="12"/>
      <x:c r="N640" s="12"/>
      <x:c r="O640" s="12"/>
    </x:row>
    <x:row r="641" ht="24" customHeight="1">
      <x:c r="A641" s="13" t="str">
        <x:v>I03</x:v>
      </x:c>
      <x:c r="B641" s="13" t="str">
        <x:v>QUA</x:v>
      </x:c>
      <x:c r="C641" s="13" t="str">
        <x:v>M91003</x:v>
      </x:c>
      <x:c r="D641" s="13" t="n">
        <x:v>80</x:v>
      </x:c>
      <x:c r="E641" s="30" t="n">
        <x:v>88.8</x:v>
      </x:c>
      <x:c r="F641" s="13" t="str">
        <x:v>I03 GP_Code!P5624/U5624</x:v>
      </x:c>
      <x:c r="G641" s="13" t="str">
        <x:v>是</x:v>
      </x:c>
      <x:c r="H641" s="12"/>
      <x:c r="I641" s="12"/>
      <x:c r="J641" s="12"/>
      <x:c r="K641" s="12"/>
      <x:c r="L641" s="12"/>
      <x:c r="M641" s="12"/>
      <x:c r="N641" s="12"/>
      <x:c r="O641" s="12"/>
    </x:row>
    <x:row r="642" ht="24" customHeight="1">
      <x:c r="A642" s="13" t="str">
        <x:v>I03</x:v>
      </x:c>
      <x:c r="B642" s="13" t="str">
        <x:v>QUA</x:v>
      </x:c>
      <x:c r="C642" s="13" t="str">
        <x:v>M91004</x:v>
      </x:c>
      <x:c r="D642" s="13" t="n">
        <x:v>172</x:v>
      </x:c>
      <x:c r="E642" s="30" t="n">
        <x:v>65.1</x:v>
      </x:c>
      <x:c r="F642" s="13" t="str">
        <x:v>I03 GP_Code!P5625/U5625</x:v>
      </x:c>
      <x:c r="G642" s="13" t="str">
        <x:v>是</x:v>
      </x:c>
      <x:c r="H642" s="12"/>
      <x:c r="I642" s="12"/>
      <x:c r="J642" s="12"/>
      <x:c r="K642" s="12"/>
      <x:c r="L642" s="12"/>
      <x:c r="M642" s="12"/>
      <x:c r="N642" s="12"/>
      <x:c r="O642" s="12"/>
    </x:row>
    <x:row r="643" ht="24" customHeight="1">
      <x:c r="A643" s="13" t="str">
        <x:v>I03</x:v>
      </x:c>
      <x:c r="B643" s="13" t="str">
        <x:v>QUA</x:v>
      </x:c>
      <x:c r="C643" s="13" t="str">
        <x:v>M91006</x:v>
      </x:c>
      <x:c r="D643" s="13" t="n">
        <x:v>57</x:v>
      </x:c>
      <x:c r="E643" s="30" t="n">
        <x:v>93</x:v>
      </x:c>
      <x:c r="F643" s="13" t="str">
        <x:v>I03 GP_Code!P5626/U5626</x:v>
      </x:c>
      <x:c r="G643" s="13" t="str">
        <x:v>是</x:v>
      </x:c>
      <x:c r="H643" s="12"/>
      <x:c r="I643" s="12"/>
      <x:c r="J643" s="12"/>
      <x:c r="K643" s="12"/>
      <x:c r="L643" s="12"/>
      <x:c r="M643" s="12"/>
      <x:c r="N643" s="12"/>
      <x:c r="O643" s="12"/>
    </x:row>
    <x:row r="644" ht="24" customHeight="1">
      <x:c r="A644" s="13" t="str">
        <x:v>I03</x:v>
      </x:c>
      <x:c r="B644" s="13" t="str">
        <x:v>QUA</x:v>
      </x:c>
      <x:c r="C644" s="13" t="str">
        <x:v>M91007</x:v>
      </x:c>
      <x:c r="D644" s="13" t="n">
        <x:v>92</x:v>
      </x:c>
      <x:c r="E644" s="30" t="n">
        <x:v>90.2</x:v>
      </x:c>
      <x:c r="F644" s="13" t="str">
        <x:v>I03 GP_Code!P5627/U5627</x:v>
      </x:c>
      <x:c r="G644" s="13" t="str">
        <x:v>是</x:v>
      </x:c>
      <x:c r="H644" s="12"/>
      <x:c r="I644" s="12"/>
      <x:c r="J644" s="12"/>
      <x:c r="K644" s="12"/>
      <x:c r="L644" s="12"/>
      <x:c r="M644" s="12"/>
      <x:c r="N644" s="12"/>
      <x:c r="O644" s="12"/>
    </x:row>
    <x:row r="645" ht="24" customHeight="1">
      <x:c r="A645" s="13" t="str">
        <x:v>I03</x:v>
      </x:c>
      <x:c r="B645" s="13" t="str">
        <x:v>QUA</x:v>
      </x:c>
      <x:c r="C645" s="13" t="str">
        <x:v>M91008</x:v>
      </x:c>
      <x:c r="D645" s="13" t="n">
        <x:v>139</x:v>
      </x:c>
      <x:c r="E645" s="30" t="n">
        <x:v>80.6</x:v>
      </x:c>
      <x:c r="F645" s="13" t="str">
        <x:v>I03 GP_Code!P5628/U5628</x:v>
      </x:c>
      <x:c r="G645" s="13" t="str">
        <x:v>是</x:v>
      </x:c>
      <x:c r="H645" s="12"/>
      <x:c r="I645" s="12"/>
      <x:c r="J645" s="12"/>
      <x:c r="K645" s="12"/>
      <x:c r="L645" s="12"/>
      <x:c r="M645" s="12"/>
      <x:c r="N645" s="12"/>
      <x:c r="O645" s="12"/>
    </x:row>
    <x:row r="646" ht="24" customHeight="1">
      <x:c r="A646" s="13" t="str">
        <x:v>I03</x:v>
      </x:c>
      <x:c r="B646" s="13" t="str">
        <x:v>QUA</x:v>
      </x:c>
      <x:c r="C646" s="13" t="str">
        <x:v>M91009</x:v>
      </x:c>
      <x:c r="D646" s="13" t="n">
        <x:v>67</x:v>
      </x:c>
      <x:c r="E646" s="30" t="n">
        <x:v>88.1</x:v>
      </x:c>
      <x:c r="F646" s="13" t="str">
        <x:v>I03 GP_Code!P5629/U5629</x:v>
      </x:c>
      <x:c r="G646" s="13" t="str">
        <x:v>是</x:v>
      </x:c>
      <x:c r="H646" s="12"/>
      <x:c r="I646" s="12"/>
      <x:c r="J646" s="12"/>
      <x:c r="K646" s="12"/>
      <x:c r="L646" s="12"/>
      <x:c r="M646" s="12"/>
      <x:c r="N646" s="12"/>
      <x:c r="O646" s="12"/>
    </x:row>
    <x:row r="647" ht="24" customHeight="1">
      <x:c r="A647" s="13" t="str">
        <x:v>I03</x:v>
      </x:c>
      <x:c r="B647" s="13" t="str">
        <x:v>QUA</x:v>
      </x:c>
      <x:c r="C647" s="13" t="str">
        <x:v>M91010</x:v>
      </x:c>
      <x:c r="D647" s="13" t="n">
        <x:v>82</x:v>
      </x:c>
      <x:c r="E647" s="30" t="n">
        <x:v>93.9</x:v>
      </x:c>
      <x:c r="F647" s="13" t="str">
        <x:v>I03 GP_Code!P5630/U5630</x:v>
      </x:c>
      <x:c r="G647" s="13" t="str">
        <x:v>是</x:v>
      </x:c>
      <x:c r="H647" s="12"/>
      <x:c r="I647" s="12"/>
      <x:c r="J647" s="12"/>
      <x:c r="K647" s="12"/>
      <x:c r="L647" s="12"/>
      <x:c r="M647" s="12"/>
      <x:c r="N647" s="12"/>
      <x:c r="O647" s="12"/>
    </x:row>
    <x:row r="648" ht="24" customHeight="1">
      <x:c r="A648" s="13" t="str">
        <x:v>I03</x:v>
      </x:c>
      <x:c r="B648" s="13" t="str">
        <x:v>QUA</x:v>
      </x:c>
      <x:c r="C648" s="13" t="str">
        <x:v>M91011</x:v>
      </x:c>
      <x:c r="D648" s="13" t="n">
        <x:v>66</x:v>
      </x:c>
      <x:c r="E648" s="30" t="n">
        <x:v>80.3</x:v>
      </x:c>
      <x:c r="F648" s="13" t="str">
        <x:v>I03 GP_Code!P5631/U5631</x:v>
      </x:c>
      <x:c r="G648" s="13" t="str">
        <x:v>否</x:v>
      </x:c>
      <x:c r="H648" s="12"/>
      <x:c r="I648" s="12"/>
      <x:c r="J648" s="12"/>
      <x:c r="K648" s="12"/>
      <x:c r="L648" s="12"/>
      <x:c r="M648" s="12"/>
      <x:c r="N648" s="12"/>
      <x:c r="O648" s="12"/>
    </x:row>
    <x:row r="649" ht="24" customHeight="1">
      <x:c r="A649" s="13" t="str">
        <x:v>I03</x:v>
      </x:c>
      <x:c r="B649" s="13" t="str">
        <x:v>QUA</x:v>
      </x:c>
      <x:c r="C649" s="13" t="str">
        <x:v>M91013</x:v>
      </x:c>
      <x:c r="D649" s="13" t="n">
        <x:v>124</x:v>
      </x:c>
      <x:c r="E649" s="30" t="n">
        <x:v>79</x:v>
      </x:c>
      <x:c r="F649" s="13" t="str">
        <x:v>I03 GP_Code!P5632/U5632</x:v>
      </x:c>
      <x:c r="G649" s="13" t="str">
        <x:v>是</x:v>
      </x:c>
      <x:c r="H649" s="12"/>
      <x:c r="I649" s="12"/>
      <x:c r="J649" s="12"/>
      <x:c r="K649" s="12"/>
      <x:c r="L649" s="12"/>
      <x:c r="M649" s="12"/>
      <x:c r="N649" s="12"/>
      <x:c r="O649" s="12"/>
    </x:row>
    <x:row r="650" ht="24" customHeight="1">
      <x:c r="A650" s="13" t="str">
        <x:v>I03</x:v>
      </x:c>
      <x:c r="B650" s="13" t="str">
        <x:v>QUA</x:v>
      </x:c>
      <x:c r="C650" s="13" t="str">
        <x:v>M91014</x:v>
      </x:c>
      <x:c r="D650" s="13" t="n">
        <x:v>36</x:v>
      </x:c>
      <x:c r="E650" s="30" t="n">
        <x:v>80.6</x:v>
      </x:c>
      <x:c r="F650" s="13" t="str">
        <x:v>I03 GP_Code!P5633/U5633</x:v>
      </x:c>
      <x:c r="G650" s="13" t="str">
        <x:v>是</x:v>
      </x:c>
      <x:c r="H650" s="12"/>
      <x:c r="I650" s="12"/>
      <x:c r="J650" s="12"/>
      <x:c r="K650" s="12"/>
      <x:c r="L650" s="12"/>
      <x:c r="M650" s="12"/>
      <x:c r="N650" s="12"/>
      <x:c r="O650" s="12"/>
    </x:row>
    <x:row r="651" ht="24" customHeight="1">
      <x:c r="A651" s="13" t="str">
        <x:v>I03</x:v>
      </x:c>
      <x:c r="B651" s="13" t="str">
        <x:v>QUA</x:v>
      </x:c>
      <x:c r="C651" s="13" t="str">
        <x:v>M91015</x:v>
      </x:c>
      <x:c r="D651" s="13" t="n">
        <x:v>104</x:v>
      </x:c>
      <x:c r="E651" s="30" t="n">
        <x:v>75</x:v>
      </x:c>
      <x:c r="F651" s="13" t="str">
        <x:v>I03 GP_Code!P5634/U5634</x:v>
      </x:c>
      <x:c r="G651" s="13" t="str">
        <x:v>是</x:v>
      </x:c>
      <x:c r="H651" s="12"/>
      <x:c r="I651" s="12"/>
      <x:c r="J651" s="12"/>
      <x:c r="K651" s="12"/>
      <x:c r="L651" s="12"/>
      <x:c r="M651" s="12"/>
      <x:c r="N651" s="12"/>
      <x:c r="O651" s="12"/>
    </x:row>
    <x:row r="652" ht="24" customHeight="1">
      <x:c r="A652" s="13" t="str">
        <x:v>I03</x:v>
      </x:c>
      <x:c r="B652" s="13" t="str">
        <x:v>QUA</x:v>
      </x:c>
      <x:c r="C652" s="13" t="str">
        <x:v>M91016</x:v>
      </x:c>
      <x:c r="D652" s="13" t="n">
        <x:v>82</x:v>
      </x:c>
      <x:c r="E652" s="30" t="n">
        <x:v>76.8</x:v>
      </x:c>
      <x:c r="F652" s="13" t="str">
        <x:v>I03 GP_Code!P5635/U5635</x:v>
      </x:c>
      <x:c r="G652" s="13" t="str">
        <x:v>是</x:v>
      </x:c>
      <x:c r="H652" s="12"/>
      <x:c r="I652" s="12"/>
      <x:c r="J652" s="12"/>
      <x:c r="K652" s="12"/>
      <x:c r="L652" s="12"/>
      <x:c r="M652" s="12"/>
      <x:c r="N652" s="12"/>
      <x:c r="O652" s="12"/>
    </x:row>
    <x:row r="653" ht="24" customHeight="1">
      <x:c r="A653" s="13" t="str">
        <x:v>I03</x:v>
      </x:c>
      <x:c r="B653" s="13" t="str">
        <x:v>QUA</x:v>
      </x:c>
      <x:c r="C653" s="13" t="str">
        <x:v>M91017</x:v>
      </x:c>
      <x:c r="D653" s="13" t="n">
        <x:v>106</x:v>
      </x:c>
      <x:c r="E653" s="30" t="n">
        <x:v>96.2</x:v>
      </x:c>
      <x:c r="F653" s="13" t="str">
        <x:v>I03 GP_Code!P5636/U5636</x:v>
      </x:c>
      <x:c r="G653" s="13" t="str">
        <x:v>是</x:v>
      </x:c>
      <x:c r="H653" s="12"/>
      <x:c r="I653" s="12"/>
      <x:c r="J653" s="12"/>
      <x:c r="K653" s="12"/>
      <x:c r="L653" s="12"/>
      <x:c r="M653" s="12"/>
      <x:c r="N653" s="12"/>
      <x:c r="O653" s="12"/>
    </x:row>
    <x:row r="654" ht="24" customHeight="1">
      <x:c r="A654" s="13" t="str">
        <x:v>I03</x:v>
      </x:c>
      <x:c r="B654" s="13" t="str">
        <x:v>QUA</x:v>
      </x:c>
      <x:c r="C654" s="13" t="str">
        <x:v>M91018</x:v>
      </x:c>
      <x:c r="D654" s="13" t="n">
        <x:v>30</x:v>
      </x:c>
      <x:c r="E654" s="30" t="n">
        <x:v>66.7</x:v>
      </x:c>
      <x:c r="F654" s="13" t="str">
        <x:v>I03 GP_Code!P5637/U5637</x:v>
      </x:c>
      <x:c r="G654" s="13" t="str">
        <x:v>是</x:v>
      </x:c>
      <x:c r="H654" s="12"/>
      <x:c r="I654" s="12"/>
      <x:c r="J654" s="12"/>
      <x:c r="K654" s="12"/>
      <x:c r="L654" s="12"/>
      <x:c r="M654" s="12"/>
      <x:c r="N654" s="12"/>
      <x:c r="O654" s="12"/>
    </x:row>
    <x:row r="655" ht="24" customHeight="1">
      <x:c r="A655" s="13" t="str">
        <x:v>I03</x:v>
      </x:c>
      <x:c r="B655" s="13" t="str">
        <x:v>QUA</x:v>
      </x:c>
      <x:c r="C655" s="13" t="str">
        <x:v>M91019</x:v>
      </x:c>
      <x:c r="D655" s="13" t="n">
        <x:v>145</x:v>
      </x:c>
      <x:c r="E655" s="30" t="n">
        <x:v>91</x:v>
      </x:c>
      <x:c r="F655" s="13" t="str">
        <x:v>I03 GP_Code!P5638/U5638</x:v>
      </x:c>
      <x:c r="G655" s="13" t="str">
        <x:v>是</x:v>
      </x:c>
      <x:c r="H655" s="12"/>
      <x:c r="I655" s="12"/>
      <x:c r="J655" s="12"/>
      <x:c r="K655" s="12"/>
      <x:c r="L655" s="12"/>
      <x:c r="M655" s="12"/>
      <x:c r="N655" s="12"/>
      <x:c r="O655" s="12"/>
    </x:row>
    <x:row r="656" ht="24" customHeight="1">
      <x:c r="A656" s="13" t="str">
        <x:v>I03</x:v>
      </x:c>
      <x:c r="B656" s="13" t="str">
        <x:v>QUA</x:v>
      </x:c>
      <x:c r="C656" s="13" t="str">
        <x:v>M91020</x:v>
      </x:c>
      <x:c r="D656" s="13" t="n">
        <x:v>76</x:v>
      </x:c>
      <x:c r="E656" s="30" t="n">
        <x:v>94.7</x:v>
      </x:c>
      <x:c r="F656" s="13" t="str">
        <x:v>I03 GP_Code!P5639/U5639</x:v>
      </x:c>
      <x:c r="G656" s="13" t="str">
        <x:v>否</x:v>
      </x:c>
      <x:c r="H656" s="12"/>
      <x:c r="I656" s="12"/>
      <x:c r="J656" s="12"/>
      <x:c r="K656" s="12"/>
      <x:c r="L656" s="12"/>
      <x:c r="M656" s="12"/>
      <x:c r="N656" s="12"/>
      <x:c r="O656" s="12"/>
    </x:row>
    <x:row r="657" ht="24" customHeight="1">
      <x:c r="A657" s="13" t="str">
        <x:v>I03</x:v>
      </x:c>
      <x:c r="B657" s="13" t="str">
        <x:v>QUA</x:v>
      </x:c>
      <x:c r="C657" s="13" t="str">
        <x:v>M91021</x:v>
      </x:c>
      <x:c r="D657" s="13" t="n">
        <x:v>106</x:v>
      </x:c>
      <x:c r="E657" s="30" t="n">
        <x:v>84</x:v>
      </x:c>
      <x:c r="F657" s="13" t="str">
        <x:v>I03 GP_Code!P5640/U5640</x:v>
      </x:c>
      <x:c r="G657" s="13" t="str">
        <x:v>是</x:v>
      </x:c>
      <x:c r="H657" s="12"/>
      <x:c r="I657" s="12"/>
      <x:c r="J657" s="12"/>
      <x:c r="K657" s="12"/>
      <x:c r="L657" s="12"/>
      <x:c r="M657" s="12"/>
      <x:c r="N657" s="12"/>
      <x:c r="O657" s="12"/>
    </x:row>
    <x:row r="658" ht="24" customHeight="1">
      <x:c r="A658" s="13" t="str">
        <x:v>I03</x:v>
      </x:c>
      <x:c r="B658" s="13" t="str">
        <x:v>QUA</x:v>
      </x:c>
      <x:c r="C658" s="13" t="str">
        <x:v>M91024</x:v>
      </x:c>
      <x:c r="D658" s="13" t="n">
        <x:v>22</x:v>
      </x:c>
      <x:c r="E658" s="30" t="n">
        <x:v>100</x:v>
      </x:c>
      <x:c r="F658" s="13" t="str">
        <x:v>I03 GP_Code!P5641/U5641</x:v>
      </x:c>
      <x:c r="G658" s="13" t="str">
        <x:v>是</x:v>
      </x:c>
      <x:c r="H658" s="12"/>
      <x:c r="I658" s="12"/>
      <x:c r="J658" s="12"/>
      <x:c r="K658" s="12"/>
      <x:c r="L658" s="12"/>
      <x:c r="M658" s="12"/>
      <x:c r="N658" s="12"/>
      <x:c r="O658" s="12"/>
    </x:row>
    <x:row r="659" ht="24" customHeight="1">
      <x:c r="A659" s="13" t="str">
        <x:v>I03</x:v>
      </x:c>
      <x:c r="B659" s="13" t="str">
        <x:v>QUA</x:v>
      </x:c>
      <x:c r="C659" s="13" t="str">
        <x:v>M91026</x:v>
      </x:c>
      <x:c r="D659" s="13" t="n">
        <x:v>96</x:v>
      </x:c>
      <x:c r="E659" s="30" t="n">
        <x:v>78.1</x:v>
      </x:c>
      <x:c r="F659" s="13" t="str">
        <x:v>I03 GP_Code!P5642/U5642</x:v>
      </x:c>
      <x:c r="G659" s="13" t="str">
        <x:v>是</x:v>
      </x:c>
      <x:c r="H659" s="12"/>
      <x:c r="I659" s="12"/>
      <x:c r="J659" s="12"/>
      <x:c r="K659" s="12"/>
      <x:c r="L659" s="12"/>
      <x:c r="M659" s="12"/>
      <x:c r="N659" s="12"/>
      <x:c r="O659" s="12"/>
    </x:row>
    <x:row r="660" ht="24" customHeight="1">
      <x:c r="A660" s="13" t="str">
        <x:v>I03</x:v>
      </x:c>
      <x:c r="B660" s="13" t="str">
        <x:v>QUA</x:v>
      </x:c>
      <x:c r="C660" s="13" t="str">
        <x:v>M91028</x:v>
      </x:c>
      <x:c r="D660" s="13" t="n">
        <x:v>87</x:v>
      </x:c>
      <x:c r="E660" s="30" t="n">
        <x:v>86.2</x:v>
      </x:c>
      <x:c r="F660" s="13" t="str">
        <x:v>I03 GP_Code!P5643/U5643</x:v>
      </x:c>
      <x:c r="G660" s="13" t="str">
        <x:v>是</x:v>
      </x:c>
      <x:c r="H660" s="12"/>
      <x:c r="I660" s="12"/>
      <x:c r="J660" s="12"/>
      <x:c r="K660" s="12"/>
      <x:c r="L660" s="12"/>
      <x:c r="M660" s="12"/>
      <x:c r="N660" s="12"/>
      <x:c r="O660" s="12"/>
    </x:row>
    <x:row r="661" ht="24" customHeight="1">
      <x:c r="A661" s="13" t="str">
        <x:v>I03</x:v>
      </x:c>
      <x:c r="B661" s="13" t="str">
        <x:v>QUA</x:v>
      </x:c>
      <x:c r="C661" s="13" t="str">
        <x:v>M91029</x:v>
      </x:c>
      <x:c r="D661" s="13" t="n">
        <x:v>92</x:v>
      </x:c>
      <x:c r="E661" s="30" t="n">
        <x:v>91.3</x:v>
      </x:c>
      <x:c r="F661" s="13" t="str">
        <x:v>I03 GP_Code!P5644/U5644</x:v>
      </x:c>
      <x:c r="G661" s="13" t="str">
        <x:v>是</x:v>
      </x:c>
      <x:c r="H661" s="12"/>
      <x:c r="I661" s="12"/>
      <x:c r="J661" s="12"/>
      <x:c r="K661" s="12"/>
      <x:c r="L661" s="12"/>
      <x:c r="M661" s="12"/>
      <x:c r="N661" s="12"/>
      <x:c r="O661" s="12"/>
    </x:row>
    <x:row r="662" ht="24" customHeight="1">
      <x:c r="A662" s="13" t="str">
        <x:v>I03</x:v>
      </x:c>
      <x:c r="B662" s="13" t="str">
        <x:v>QUA</x:v>
      </x:c>
      <x:c r="C662" s="13" t="str">
        <x:v>M91032</x:v>
      </x:c>
      <x:c r="D662" s="13" t="n">
        <x:v>56</x:v>
      </x:c>
      <x:c r="E662" s="30" t="n">
        <x:v>87.5</x:v>
      </x:c>
      <x:c r="F662" s="13" t="str">
        <x:v>I03 GP_Code!P5645/U5645</x:v>
      </x:c>
      <x:c r="G662" s="13" t="str">
        <x:v>是</x:v>
      </x:c>
      <x:c r="H662" s="12"/>
      <x:c r="I662" s="12"/>
      <x:c r="J662" s="12"/>
      <x:c r="K662" s="12"/>
      <x:c r="L662" s="12"/>
      <x:c r="M662" s="12"/>
      <x:c r="N662" s="12"/>
      <x:c r="O662" s="12"/>
    </x:row>
    <x:row r="663" ht="24" customHeight="1">
      <x:c r="A663" s="13" t="str">
        <x:v>I03</x:v>
      </x:c>
      <x:c r="B663" s="13" t="str">
        <x:v>QUA</x:v>
      </x:c>
      <x:c r="C663" s="13" t="str">
        <x:v>M91033</x:v>
      </x:c>
      <x:c r="D663" s="13" t="n">
        <x:v>81</x:v>
      </x:c>
      <x:c r="E663" s="30" t="n">
        <x:v>88.9</x:v>
      </x:c>
      <x:c r="F663" s="13" t="str">
        <x:v>I03 GP_Code!P5646/U5646</x:v>
      </x:c>
      <x:c r="G663" s="13" t="str">
        <x:v>是</x:v>
      </x:c>
      <x:c r="H663" s="12"/>
      <x:c r="I663" s="12"/>
      <x:c r="J663" s="12"/>
      <x:c r="K663" s="12"/>
      <x:c r="L663" s="12"/>
      <x:c r="M663" s="12"/>
      <x:c r="N663" s="12"/>
      <x:c r="O663" s="12"/>
    </x:row>
    <x:row r="664" ht="24" customHeight="1">
      <x:c r="A664" s="13" t="str">
        <x:v>I03</x:v>
      </x:c>
      <x:c r="B664" s="13" t="str">
        <x:v>QUA</x:v>
      </x:c>
      <x:c r="C664" s="13" t="str">
        <x:v>M91034</x:v>
      </x:c>
      <x:c r="D664" s="13" t="n">
        <x:v>35</x:v>
      </x:c>
      <x:c r="E664" s="30" t="n">
        <x:v>94.3</x:v>
      </x:c>
      <x:c r="F664" s="13" t="str">
        <x:v>I03 GP_Code!P5647/U5647</x:v>
      </x:c>
      <x:c r="G664" s="13" t="str">
        <x:v>是</x:v>
      </x:c>
      <x:c r="H664" s="12"/>
      <x:c r="I664" s="12"/>
      <x:c r="J664" s="12"/>
      <x:c r="K664" s="12"/>
      <x:c r="L664" s="12"/>
      <x:c r="M664" s="12"/>
      <x:c r="N664" s="12"/>
      <x:c r="O664" s="12"/>
    </x:row>
    <x:row r="665" ht="24" customHeight="1">
      <x:c r="A665" s="13" t="str">
        <x:v>I03</x:v>
      </x:c>
      <x:c r="B665" s="13" t="str">
        <x:v>QUA</x:v>
      </x:c>
      <x:c r="C665" s="13" t="str">
        <x:v>M91036</x:v>
      </x:c>
      <x:c r="D665" s="13" t="n">
        <x:v>58</x:v>
      </x:c>
      <x:c r="E665" s="30" t="n">
        <x:v>91.4</x:v>
      </x:c>
      <x:c r="F665" s="13" t="str">
        <x:v>I03 GP_Code!P5648/U5648</x:v>
      </x:c>
      <x:c r="G665" s="13" t="str">
        <x:v>是</x:v>
      </x:c>
      <x:c r="H665" s="12"/>
      <x:c r="I665" s="12"/>
      <x:c r="J665" s="12"/>
      <x:c r="K665" s="12"/>
      <x:c r="L665" s="12"/>
      <x:c r="M665" s="12"/>
      <x:c r="N665" s="12"/>
      <x:c r="O665" s="12"/>
    </x:row>
    <x:row r="666" ht="24" customHeight="1">
      <x:c r="A666" s="13" t="str">
        <x:v>I03</x:v>
      </x:c>
      <x:c r="B666" s="13" t="str">
        <x:v>QUA</x:v>
      </x:c>
      <x:c r="C666" s="13" t="str">
        <x:v>M91602</x:v>
      </x:c>
      <x:c r="D666" s="13" t="n">
        <x:v>38</x:v>
      </x:c>
      <x:c r="E666" s="30" t="n">
        <x:v>84.2</x:v>
      </x:c>
      <x:c r="F666" s="13" t="str">
        <x:v>I03 GP_Code!P5649/U5649</x:v>
      </x:c>
      <x:c r="G666" s="13" t="str">
        <x:v>是</x:v>
      </x:c>
      <x:c r="H666" s="12"/>
      <x:c r="I666" s="12"/>
      <x:c r="J666" s="12"/>
      <x:c r="K666" s="12"/>
      <x:c r="L666" s="12"/>
      <x:c r="M666" s="12"/>
      <x:c r="N666" s="12"/>
      <x:c r="O666" s="12"/>
    </x:row>
    <x:row r="667" ht="24" customHeight="1">
      <x:c r="A667" s="13" t="str">
        <x:v>I03</x:v>
      </x:c>
      <x:c r="B667" s="13" t="str">
        <x:v>QUA</x:v>
      </x:c>
      <x:c r="C667" s="13" t="str">
        <x:v>M91609</x:v>
      </x:c>
      <x:c r="D667" s="13" t="n">
        <x:v>15</x:v>
      </x:c>
      <x:c r="E667" s="30" t="n">
        <x:v>93.3</x:v>
      </x:c>
      <x:c r="F667" s="13" t="str">
        <x:v>I03 GP_Code!P5650/U5650</x:v>
      </x:c>
      <x:c r="G667" s="13" t="str">
        <x:v>是</x:v>
      </x:c>
      <x:c r="H667" s="12"/>
      <x:c r="I667" s="12"/>
      <x:c r="J667" s="12"/>
      <x:c r="K667" s="12"/>
      <x:c r="L667" s="12"/>
      <x:c r="M667" s="12"/>
      <x:c r="N667" s="12"/>
      <x:c r="O667" s="12"/>
    </x:row>
    <x:row r="668" ht="24" customHeight="1">
      <x:c r="A668" s="13" t="str">
        <x:v>I03</x:v>
      </x:c>
      <x:c r="B668" s="13" t="str">
        <x:v>QUA</x:v>
      </x:c>
      <x:c r="C668" s="13" t="str">
        <x:v>M91611</x:v>
      </x:c>
      <x:c r="D668" s="13" t="n">
        <x:v>50</x:v>
      </x:c>
      <x:c r="E668" s="30" t="n">
        <x:v>88</x:v>
      </x:c>
      <x:c r="F668" s="13" t="str">
        <x:v>I03 GP_Code!P5651/U5651</x:v>
      </x:c>
      <x:c r="G668" s="13" t="str">
        <x:v>是</x:v>
      </x:c>
      <x:c r="H668" s="12"/>
      <x:c r="I668" s="12"/>
      <x:c r="J668" s="12"/>
      <x:c r="K668" s="12"/>
      <x:c r="L668" s="12"/>
      <x:c r="M668" s="12"/>
      <x:c r="N668" s="12"/>
      <x:c r="O668" s="12"/>
    </x:row>
    <x:row r="669" ht="24" customHeight="1">
      <x:c r="A669" s="13" t="str">
        <x:v>I03</x:v>
      </x:c>
      <x:c r="B669" s="13" t="str">
        <x:v>QUA</x:v>
      </x:c>
      <x:c r="C669" s="13" t="str">
        <x:v>M91612</x:v>
      </x:c>
      <x:c r="D669" s="13" t="n">
        <x:v>35</x:v>
      </x:c>
      <x:c r="E669" s="30" t="n">
        <x:v>91.4</x:v>
      </x:c>
      <x:c r="F669" s="13" t="str">
        <x:v>I03 GP_Code!P5652/U5652</x:v>
      </x:c>
      <x:c r="G669" s="13" t="str">
        <x:v>是</x:v>
      </x:c>
      <x:c r="H669" s="12"/>
      <x:c r="I669" s="12"/>
      <x:c r="J669" s="12"/>
      <x:c r="K669" s="12"/>
      <x:c r="L669" s="12"/>
      <x:c r="M669" s="12"/>
      <x:c r="N669" s="12"/>
      <x:c r="O669" s="12"/>
    </x:row>
    <x:row r="670" ht="24" customHeight="1">
      <x:c r="A670" s="13" t="str">
        <x:v>I03</x:v>
      </x:c>
      <x:c r="B670" s="13" t="str">
        <x:v>QUA</x:v>
      </x:c>
      <x:c r="C670" s="13" t="str">
        <x:v>M91613</x:v>
      </x:c>
      <x:c r="D670" s="13" t="n">
        <x:v>143</x:v>
      </x:c>
      <x:c r="E670" s="30" t="n">
        <x:v>74.1</x:v>
      </x:c>
      <x:c r="F670" s="13" t="str">
        <x:v>I03 GP_Code!P5653/U5653</x:v>
      </x:c>
      <x:c r="G670" s="13" t="str">
        <x:v>是</x:v>
      </x:c>
      <x:c r="H670" s="12"/>
      <x:c r="I670" s="12"/>
      <x:c r="J670" s="12"/>
      <x:c r="K670" s="12"/>
      <x:c r="L670" s="12"/>
      <x:c r="M670" s="12"/>
      <x:c r="N670" s="12"/>
      <x:c r="O670" s="12"/>
    </x:row>
    <x:row r="671" ht="24" customHeight="1">
      <x:c r="A671" s="13" t="str">
        <x:v>I03</x:v>
      </x:c>
      <x:c r="B671" s="13" t="str">
        <x:v>QUA</x:v>
      </x:c>
      <x:c r="C671" s="13" t="str">
        <x:v>M91614</x:v>
      </x:c>
      <x:c r="D671" s="13" t="n">
        <x:v>117</x:v>
      </x:c>
      <x:c r="E671" s="30" t="n">
        <x:v>90.6</x:v>
      </x:c>
      <x:c r="F671" s="13" t="str">
        <x:v>I03 GP_Code!P5654/U5654</x:v>
      </x:c>
      <x:c r="G671" s="13" t="str">
        <x:v>是</x:v>
      </x:c>
      <x:c r="H671" s="12"/>
      <x:c r="I671" s="12"/>
      <x:c r="J671" s="12"/>
      <x:c r="K671" s="12"/>
      <x:c r="L671" s="12"/>
      <x:c r="M671" s="12"/>
      <x:c r="N671" s="12"/>
      <x:c r="O671" s="12"/>
    </x:row>
    <x:row r="672" ht="24" customHeight="1">
      <x:c r="A672" s="13" t="str">
        <x:v>I03</x:v>
      </x:c>
      <x:c r="B672" s="13" t="str">
        <x:v>QUA</x:v>
      </x:c>
      <x:c r="C672" s="13" t="str">
        <x:v>M91616</x:v>
      </x:c>
      <x:c r="D672" s="13" t="n">
        <x:v>95</x:v>
      </x:c>
      <x:c r="E672" s="30" t="n">
        <x:v>89.5</x:v>
      </x:c>
      <x:c r="F672" s="13" t="str">
        <x:v>I03 GP_Code!P5655/U5655</x:v>
      </x:c>
      <x:c r="G672" s="13" t="str">
        <x:v>是</x:v>
      </x:c>
      <x:c r="H672" s="12"/>
      <x:c r="I672" s="12"/>
      <x:c r="J672" s="12"/>
      <x:c r="K672" s="12"/>
      <x:c r="L672" s="12"/>
      <x:c r="M672" s="12"/>
      <x:c r="N672" s="12"/>
      <x:c r="O672" s="12"/>
    </x:row>
    <x:row r="673" ht="24" customHeight="1">
      <x:c r="A673" s="13" t="str">
        <x:v>I03</x:v>
      </x:c>
      <x:c r="B673" s="13" t="str">
        <x:v>QUA</x:v>
      </x:c>
      <x:c r="C673" s="13" t="str">
        <x:v>M91619</x:v>
      </x:c>
      <x:c r="D673" s="13" t="n">
        <x:v>92</x:v>
      </x:c>
      <x:c r="E673" s="30" t="n">
        <x:v>84.8</x:v>
      </x:c>
      <x:c r="F673" s="13" t="str">
        <x:v>I03 GP_Code!P5656/U5656</x:v>
      </x:c>
      <x:c r="G673" s="13" t="str">
        <x:v>是</x:v>
      </x:c>
      <x:c r="H673" s="12"/>
      <x:c r="I673" s="12"/>
      <x:c r="J673" s="12"/>
      <x:c r="K673" s="12"/>
      <x:c r="L673" s="12"/>
      <x:c r="M673" s="12"/>
      <x:c r="N673" s="12"/>
      <x:c r="O673" s="12"/>
    </x:row>
    <x:row r="674" ht="24" customHeight="1">
      <x:c r="A674" s="13" t="str">
        <x:v>I03</x:v>
      </x:c>
      <x:c r="B674" s="13" t="str">
        <x:v>QUA</x:v>
      </x:c>
      <x:c r="C674" s="13" t="str">
        <x:v>M91621</x:v>
      </x:c>
      <x:c r="D674" s="13" t="n">
        <x:v>92</x:v>
      </x:c>
      <x:c r="E674" s="30" t="n">
        <x:v>91.3</x:v>
      </x:c>
      <x:c r="F674" s="13" t="str">
        <x:v>I03 GP_Code!P5657/U5657</x:v>
      </x:c>
      <x:c r="G674" s="13" t="str">
        <x:v>是</x:v>
      </x:c>
      <x:c r="H674" s="12"/>
      <x:c r="I674" s="12"/>
      <x:c r="J674" s="12"/>
      <x:c r="K674" s="12"/>
      <x:c r="L674" s="12"/>
      <x:c r="M674" s="12"/>
      <x:c r="N674" s="12"/>
      <x:c r="O674" s="12"/>
    </x:row>
    <x:row r="675" ht="24" customHeight="1">
      <x:c r="A675" s="13" t="str">
        <x:v>I03</x:v>
      </x:c>
      <x:c r="B675" s="13" t="str">
        <x:v>QUA</x:v>
      </x:c>
      <x:c r="C675" s="13" t="str">
        <x:v>M91623</x:v>
      </x:c>
      <x:c r="D675" s="13" t="n">
        <x:v>19</x:v>
      </x:c>
      <x:c r="E675" s="30" t="n">
        <x:v>84.2</x:v>
      </x:c>
      <x:c r="F675" s="13" t="str">
        <x:v>I03 GP_Code!P5658/U5658</x:v>
      </x:c>
      <x:c r="G675" s="13" t="str">
        <x:v>是</x:v>
      </x:c>
      <x:c r="H675" s="12"/>
      <x:c r="I675" s="12"/>
      <x:c r="J675" s="12"/>
      <x:c r="K675" s="12"/>
      <x:c r="L675" s="12"/>
      <x:c r="M675" s="12"/>
      <x:c r="N675" s="12"/>
      <x:c r="O675" s="12"/>
    </x:row>
    <x:row r="676" ht="24" customHeight="1">
      <x:c r="A676" s="13" t="str">
        <x:v>I03</x:v>
      </x:c>
      <x:c r="B676" s="13" t="str">
        <x:v>QUA</x:v>
      </x:c>
      <x:c r="C676" s="13" t="str">
        <x:v>M91624</x:v>
      </x:c>
      <x:c r="D676" s="13" t="n">
        <x:v>45</x:v>
      </x:c>
      <x:c r="E676" s="30" t="n">
        <x:v>93.3</x:v>
      </x:c>
      <x:c r="F676" s="13" t="str">
        <x:v>I03 GP_Code!P5659/U5659</x:v>
      </x:c>
      <x:c r="G676" s="13" t="str">
        <x:v>是</x:v>
      </x:c>
      <x:c r="H676" s="12"/>
      <x:c r="I676" s="12"/>
      <x:c r="J676" s="12"/>
      <x:c r="K676" s="12"/>
      <x:c r="L676" s="12"/>
      <x:c r="M676" s="12"/>
      <x:c r="N676" s="12"/>
      <x:c r="O676" s="12"/>
    </x:row>
    <x:row r="677" ht="24" customHeight="1">
      <x:c r="A677" s="13" t="str">
        <x:v>I03</x:v>
      </x:c>
      <x:c r="B677" s="13" t="str">
        <x:v>QUA</x:v>
      </x:c>
      <x:c r="C677" s="13" t="str">
        <x:v>M91626</x:v>
      </x:c>
      <x:c r="D677" s="13" t="n">
        <x:v>65</x:v>
      </x:c>
      <x:c r="E677" s="30" t="n">
        <x:v>90.8</x:v>
      </x:c>
      <x:c r="F677" s="13" t="str">
        <x:v>I03 GP_Code!P5660/U5660</x:v>
      </x:c>
      <x:c r="G677" s="13" t="str">
        <x:v>是</x:v>
      </x:c>
      <x:c r="H677" s="12"/>
      <x:c r="I677" s="12"/>
      <x:c r="J677" s="12"/>
      <x:c r="K677" s="12"/>
      <x:c r="L677" s="12"/>
      <x:c r="M677" s="12"/>
      <x:c r="N677" s="12"/>
      <x:c r="O677" s="12"/>
    </x:row>
    <x:row r="678" ht="24" customHeight="1">
      <x:c r="A678" s="13" t="str">
        <x:v>I03</x:v>
      </x:c>
      <x:c r="B678" s="13" t="str">
        <x:v>QUA</x:v>
      </x:c>
      <x:c r="C678" s="13" t="str">
        <x:v>M91628</x:v>
      </x:c>
      <x:c r="D678" s="13" t="n">
        <x:v>35</x:v>
      </x:c>
      <x:c r="E678" s="30" t="n">
        <x:v>94.3</x:v>
      </x:c>
      <x:c r="F678" s="13" t="str">
        <x:v>I03 GP_Code!P5661/U5661</x:v>
      </x:c>
      <x:c r="G678" s="13" t="str">
        <x:v>是</x:v>
      </x:c>
      <x:c r="H678" s="12"/>
      <x:c r="I678" s="12"/>
      <x:c r="J678" s="12"/>
      <x:c r="K678" s="12"/>
      <x:c r="L678" s="12"/>
      <x:c r="M678" s="12"/>
      <x:c r="N678" s="12"/>
      <x:c r="O678" s="12"/>
    </x:row>
    <x:row r="679" ht="24" customHeight="1">
      <x:c r="A679" s="13" t="str">
        <x:v>I03</x:v>
      </x:c>
      <x:c r="B679" s="13" t="str">
        <x:v>QUA</x:v>
      </x:c>
      <x:c r="C679" s="13" t="str">
        <x:v>M91629</x:v>
      </x:c>
      <x:c r="D679" s="13" t="n">
        <x:v>103</x:v>
      </x:c>
      <x:c r="E679" s="30" t="n">
        <x:v>78.6</x:v>
      </x:c>
      <x:c r="F679" s="13" t="str">
        <x:v>I03 GP_Code!P5662/U5662</x:v>
      </x:c>
      <x:c r="G679" s="13" t="str">
        <x:v>是</x:v>
      </x:c>
      <x:c r="H679" s="12"/>
      <x:c r="I679" s="12"/>
      <x:c r="J679" s="12"/>
      <x:c r="K679" s="12"/>
      <x:c r="L679" s="12"/>
      <x:c r="M679" s="12"/>
      <x:c r="N679" s="12"/>
      <x:c r="O679" s="12"/>
    </x:row>
    <x:row r="680" ht="24" customHeight="1">
      <x:c r="A680" s="13" t="str">
        <x:v>I03</x:v>
      </x:c>
      <x:c r="B680" s="13" t="str">
        <x:v>QUA</x:v>
      </x:c>
      <x:c r="C680" s="13" t="str">
        <x:v>M91637</x:v>
      </x:c>
      <x:c r="D680" s="13" t="n">
        <x:v>37</x:v>
      </x:c>
      <x:c r="E680" s="30" t="n">
        <x:v>86.5</x:v>
      </x:c>
      <x:c r="F680" s="13" t="str">
        <x:v>I03 GP_Code!P5663/U5663</x:v>
      </x:c>
      <x:c r="G680" s="13" t="str">
        <x:v>是</x:v>
      </x:c>
      <x:c r="H680" s="12"/>
      <x:c r="I680" s="12"/>
      <x:c r="J680" s="12"/>
      <x:c r="K680" s="12"/>
      <x:c r="L680" s="12"/>
      <x:c r="M680" s="12"/>
      <x:c r="N680" s="12"/>
      <x:c r="O680" s="12"/>
    </x:row>
    <x:row r="681" ht="24" customHeight="1">
      <x:c r="A681" s="13" t="str">
        <x:v>I03</x:v>
      </x:c>
      <x:c r="B681" s="13" t="str">
        <x:v>QUA</x:v>
      </x:c>
      <x:c r="C681" s="13" t="str">
        <x:v>M91639</x:v>
      </x:c>
      <x:c r="D681" s="13" t="n">
        <x:v>14</x:v>
      </x:c>
      <x:c r="E681" s="30" t="n">
        <x:v>92.9</x:v>
      </x:c>
      <x:c r="F681" s="13" t="str">
        <x:v>I03 GP_Code!P5664/U5664</x:v>
      </x:c>
      <x:c r="G681" s="13" t="str">
        <x:v>是</x:v>
      </x:c>
      <x:c r="H681" s="12"/>
      <x:c r="I681" s="12"/>
      <x:c r="J681" s="12"/>
      <x:c r="K681" s="12"/>
      <x:c r="L681" s="12"/>
      <x:c r="M681" s="12"/>
      <x:c r="N681" s="12"/>
      <x:c r="O681" s="12"/>
    </x:row>
    <x:row r="682" ht="24" customHeight="1">
      <x:c r="A682" s="13" t="str">
        <x:v>I03</x:v>
      </x:c>
      <x:c r="B682" s="13" t="str">
        <x:v>QUA</x:v>
      </x:c>
      <x:c r="C682" s="13" t="str">
        <x:v>M91640</x:v>
      </x:c>
      <x:c r="D682" s="13" t="n">
        <x:v>63</x:v>
      </x:c>
      <x:c r="E682" s="30" t="n">
        <x:v>77.8</x:v>
      </x:c>
      <x:c r="F682" s="13" t="str">
        <x:v>I03 GP_Code!P5665/U5665</x:v>
      </x:c>
      <x:c r="G682" s="13" t="str">
        <x:v>是</x:v>
      </x:c>
      <x:c r="H682" s="12"/>
      <x:c r="I682" s="12"/>
      <x:c r="J682" s="12"/>
      <x:c r="K682" s="12"/>
      <x:c r="L682" s="12"/>
      <x:c r="M682" s="12"/>
      <x:c r="N682" s="12"/>
      <x:c r="O682" s="12"/>
    </x:row>
    <x:row r="683" ht="24" customHeight="1">
      <x:c r="A683" s="13" t="str">
        <x:v>I03</x:v>
      </x:c>
      <x:c r="B683" s="13" t="str">
        <x:v>QUA</x:v>
      </x:c>
      <x:c r="C683" s="13" t="str">
        <x:v>M91641</x:v>
      </x:c>
      <x:c r="D683" s="13" t="n">
        <x:v>67</x:v>
      </x:c>
      <x:c r="E683" s="30" t="n">
        <x:v>82.1</x:v>
      </x:c>
      <x:c r="F683" s="13" t="str">
        <x:v>I03 GP_Code!P5666/U5666</x:v>
      </x:c>
      <x:c r="G683" s="13" t="str">
        <x:v>是</x:v>
      </x:c>
      <x:c r="H683" s="12"/>
      <x:c r="I683" s="12"/>
      <x:c r="J683" s="12"/>
      <x:c r="K683" s="12"/>
      <x:c r="L683" s="12"/>
      <x:c r="M683" s="12"/>
      <x:c r="N683" s="12"/>
      <x:c r="O683" s="12"/>
    </x:row>
    <x:row r="684" ht="24" customHeight="1">
      <x:c r="A684" s="13" t="str">
        <x:v>I03</x:v>
      </x:c>
      <x:c r="B684" s="13" t="str">
        <x:v>QUA</x:v>
      </x:c>
      <x:c r="C684" s="13" t="str">
        <x:v>M91647</x:v>
      </x:c>
      <x:c r="D684" s="13" t="n">
        <x:v>67</x:v>
      </x:c>
      <x:c r="E684" s="30" t="n">
        <x:v>88.1</x:v>
      </x:c>
      <x:c r="F684" s="13" t="str">
        <x:v>I03 GP_Code!P5667/U5667</x:v>
      </x:c>
      <x:c r="G684" s="13" t="str">
        <x:v>是</x:v>
      </x:c>
      <x:c r="H684" s="12"/>
      <x:c r="I684" s="12"/>
      <x:c r="J684" s="12"/>
      <x:c r="K684" s="12"/>
      <x:c r="L684" s="12"/>
      <x:c r="M684" s="12"/>
      <x:c r="N684" s="12"/>
      <x:c r="O684" s="12"/>
    </x:row>
    <x:row r="685" ht="24" customHeight="1">
      <x:c r="A685" s="13" t="str">
        <x:v>I03</x:v>
      </x:c>
      <x:c r="B685" s="13" t="str">
        <x:v>QUA</x:v>
      </x:c>
      <x:c r="C685" s="13" t="str">
        <x:v>M91650</x:v>
      </x:c>
      <x:c r="D685" s="13" t="n">
        <x:v>105</x:v>
      </x:c>
      <x:c r="E685" s="30" t="n">
        <x:v>90.5</x:v>
      </x:c>
      <x:c r="F685" s="13" t="str">
        <x:v>I03 GP_Code!P5668/U5668</x:v>
      </x:c>
      <x:c r="G685" s="13" t="str">
        <x:v>是</x:v>
      </x:c>
      <x:c r="H685" s="12"/>
      <x:c r="I685" s="12"/>
      <x:c r="J685" s="12"/>
      <x:c r="K685" s="12"/>
      <x:c r="L685" s="12"/>
      <x:c r="M685" s="12"/>
      <x:c r="N685" s="12"/>
      <x:c r="O685" s="12"/>
    </x:row>
    <x:row r="686" ht="24" customHeight="1">
      <x:c r="A686" s="13" t="str">
        <x:v>I03</x:v>
      </x:c>
      <x:c r="B686" s="13" t="str">
        <x:v>QUA</x:v>
      </x:c>
      <x:c r="C686" s="13" t="str">
        <x:v>M91654</x:v>
      </x:c>
      <x:c r="D686" s="13" t="n">
        <x:v>34</x:v>
      </x:c>
      <x:c r="E686" s="30" t="n">
        <x:v>88.2</x:v>
      </x:c>
      <x:c r="F686" s="13" t="str">
        <x:v>I03 GP_Code!P5669/U5669</x:v>
      </x:c>
      <x:c r="G686" s="13" t="str">
        <x:v>是</x:v>
      </x:c>
      <x:c r="H686" s="12"/>
      <x:c r="I686" s="12"/>
      <x:c r="J686" s="12"/>
      <x:c r="K686" s="12"/>
      <x:c r="L686" s="12"/>
      <x:c r="M686" s="12"/>
      <x:c r="N686" s="12"/>
      <x:c r="O686" s="12"/>
    </x:row>
    <x:row r="687" ht="24" customHeight="1">
      <x:c r="A687" s="13" t="str">
        <x:v>I03</x:v>
      </x:c>
      <x:c r="B687" s="13" t="str">
        <x:v>QUA</x:v>
      </x:c>
      <x:c r="C687" s="13" t="str">
        <x:v>M91659</x:v>
      </x:c>
      <x:c r="D687" s="13" t="n">
        <x:v>56</x:v>
      </x:c>
      <x:c r="E687" s="30" t="n">
        <x:v>83.9</x:v>
      </x:c>
      <x:c r="F687" s="13" t="str">
        <x:v>I03 GP_Code!P5670/U5670</x:v>
      </x:c>
      <x:c r="G687" s="13" t="str">
        <x:v>是</x:v>
      </x:c>
      <x:c r="H687" s="12"/>
      <x:c r="I687" s="12"/>
      <x:c r="J687" s="12"/>
      <x:c r="K687" s="12"/>
      <x:c r="L687" s="12"/>
      <x:c r="M687" s="12"/>
      <x:c r="N687" s="12"/>
      <x:c r="O687" s="12"/>
    </x:row>
    <x:row r="688" ht="24" customHeight="1">
      <x:c r="A688" s="13" t="str">
        <x:v>I03</x:v>
      </x:c>
      <x:c r="B688" s="13" t="str">
        <x:v>QUA</x:v>
      </x:c>
      <x:c r="C688" s="13" t="str">
        <x:v>M91660</x:v>
      </x:c>
      <x:c r="D688" s="13" t="n">
        <x:v>78</x:v>
      </x:c>
      <x:c r="E688" s="30" t="n">
        <x:v>71.8</x:v>
      </x:c>
      <x:c r="F688" s="13" t="str">
        <x:v>I03 GP_Code!P5671/U5671</x:v>
      </x:c>
      <x:c r="G688" s="13" t="str">
        <x:v>是</x:v>
      </x:c>
      <x:c r="H688" s="12"/>
      <x:c r="I688" s="12"/>
      <x:c r="J688" s="12"/>
      <x:c r="K688" s="12"/>
      <x:c r="L688" s="12"/>
      <x:c r="M688" s="12"/>
      <x:c r="N688" s="12"/>
      <x:c r="O688" s="12"/>
    </x:row>
    <x:row r="689" ht="24" customHeight="1">
      <x:c r="A689" s="13" t="str">
        <x:v>I03</x:v>
      </x:c>
      <x:c r="B689" s="13" t="str">
        <x:v>QUA</x:v>
      </x:c>
      <x:c r="C689" s="13" t="str">
        <x:v>M92001</x:v>
      </x:c>
      <x:c r="D689" s="13" t="n">
        <x:v>40</x:v>
      </x:c>
      <x:c r="E689" s="30" t="n">
        <x:v>85</x:v>
      </x:c>
      <x:c r="F689" s="13" t="str">
        <x:v>I03 GP_Code!P5672/U5672</x:v>
      </x:c>
      <x:c r="G689" s="13" t="str">
        <x:v>是</x:v>
      </x:c>
      <x:c r="H689" s="12"/>
      <x:c r="I689" s="12"/>
      <x:c r="J689" s="12"/>
      <x:c r="K689" s="12"/>
      <x:c r="L689" s="12"/>
      <x:c r="M689" s="12"/>
      <x:c r="N689" s="12"/>
      <x:c r="O689" s="12"/>
    </x:row>
    <x:row r="690" ht="24" customHeight="1">
      <x:c r="A690" s="13" t="str">
        <x:v>I03</x:v>
      </x:c>
      <x:c r="B690" s="13" t="str">
        <x:v>QUA</x:v>
      </x:c>
      <x:c r="C690" s="13" t="str">
        <x:v>M92002</x:v>
      </x:c>
      <x:c r="D690" s="13" t="n">
        <x:v>91</x:v>
      </x:c>
      <x:c r="E690" s="30" t="n">
        <x:v>85.7</x:v>
      </x:c>
      <x:c r="F690" s="13" t="str">
        <x:v>I03 GP_Code!P5673/U5673</x:v>
      </x:c>
      <x:c r="G690" s="13" t="str">
        <x:v>否</x:v>
      </x:c>
      <x:c r="H690" s="12"/>
      <x:c r="I690" s="12"/>
      <x:c r="J690" s="12"/>
      <x:c r="K690" s="12"/>
      <x:c r="L690" s="12"/>
      <x:c r="M690" s="12"/>
      <x:c r="N690" s="12"/>
      <x:c r="O690" s="12"/>
    </x:row>
    <x:row r="691" ht="24" customHeight="1">
      <x:c r="A691" s="13" t="str">
        <x:v>I03</x:v>
      </x:c>
      <x:c r="B691" s="13" t="str">
        <x:v>QUA</x:v>
      </x:c>
      <x:c r="C691" s="13" t="str">
        <x:v>M92004</x:v>
      </x:c>
      <x:c r="D691" s="13" t="n">
        <x:v>27</x:v>
      </x:c>
      <x:c r="E691" s="30" t="n">
        <x:v>88.9</x:v>
      </x:c>
      <x:c r="F691" s="13" t="str">
        <x:v>I03 GP_Code!P5674/U5674</x:v>
      </x:c>
      <x:c r="G691" s="13" t="str">
        <x:v>是</x:v>
      </x:c>
      <x:c r="H691" s="12"/>
      <x:c r="I691" s="12"/>
      <x:c r="J691" s="12"/>
      <x:c r="K691" s="12"/>
      <x:c r="L691" s="12"/>
      <x:c r="M691" s="12"/>
      <x:c r="N691" s="12"/>
      <x:c r="O691" s="12"/>
    </x:row>
    <x:row r="692" ht="24" customHeight="1">
      <x:c r="A692" s="13" t="str">
        <x:v>I03</x:v>
      </x:c>
      <x:c r="B692" s="13" t="str">
        <x:v>QUA</x:v>
      </x:c>
      <x:c r="C692" s="13" t="str">
        <x:v>M92006</x:v>
      </x:c>
      <x:c r="D692" s="13" t="n">
        <x:v>44</x:v>
      </x:c>
      <x:c r="E692" s="30" t="n">
        <x:v>90.9</x:v>
      </x:c>
      <x:c r="F692" s="13" t="str">
        <x:v>I03 GP_Code!P5675/U5675</x:v>
      </x:c>
      <x:c r="G692" s="13" t="str">
        <x:v>是</x:v>
      </x:c>
      <x:c r="H692" s="12"/>
      <x:c r="I692" s="12"/>
      <x:c r="J692" s="12"/>
      <x:c r="K692" s="12"/>
      <x:c r="L692" s="12"/>
      <x:c r="M692" s="12"/>
      <x:c r="N692" s="12"/>
      <x:c r="O692" s="12"/>
    </x:row>
    <x:row r="693" ht="24" customHeight="1">
      <x:c r="A693" s="13" t="str">
        <x:v>I03</x:v>
      </x:c>
      <x:c r="B693" s="13" t="str">
        <x:v>QUA</x:v>
      </x:c>
      <x:c r="C693" s="13" t="str">
        <x:v>M92007</x:v>
      </x:c>
      <x:c r="D693" s="13" t="n">
        <x:v>89</x:v>
      </x:c>
      <x:c r="E693" s="30" t="n">
        <x:v>91</x:v>
      </x:c>
      <x:c r="F693" s="13" t="str">
        <x:v>I03 GP_Code!P5676/U5676</x:v>
      </x:c>
      <x:c r="G693" s="13" t="str">
        <x:v>是</x:v>
      </x:c>
      <x:c r="H693" s="12"/>
      <x:c r="I693" s="12"/>
      <x:c r="J693" s="12"/>
      <x:c r="K693" s="12"/>
      <x:c r="L693" s="12"/>
      <x:c r="M693" s="12"/>
      <x:c r="N693" s="12"/>
      <x:c r="O693" s="12"/>
    </x:row>
    <x:row r="694" ht="24" customHeight="1">
      <x:c r="A694" s="13" t="str">
        <x:v>I03</x:v>
      </x:c>
      <x:c r="B694" s="13" t="str">
        <x:v>QUA</x:v>
      </x:c>
      <x:c r="C694" s="13" t="str">
        <x:v>M92008</x:v>
      </x:c>
      <x:c r="D694" s="13" t="n">
        <x:v>127</x:v>
      </x:c>
      <x:c r="E694" s="30" t="n">
        <x:v>92.9</x:v>
      </x:c>
      <x:c r="F694" s="13" t="str">
        <x:v>I03 GP_Code!P5677/U5677</x:v>
      </x:c>
      <x:c r="G694" s="13" t="str">
        <x:v>是</x:v>
      </x:c>
      <x:c r="H694" s="12"/>
      <x:c r="I694" s="12"/>
      <x:c r="J694" s="12"/>
      <x:c r="K694" s="12"/>
      <x:c r="L694" s="12"/>
      <x:c r="M694" s="12"/>
      <x:c r="N694" s="12"/>
      <x:c r="O694" s="12"/>
    </x:row>
    <x:row r="695" ht="24" customHeight="1">
      <x:c r="A695" s="13" t="str">
        <x:v>I03</x:v>
      </x:c>
      <x:c r="B695" s="13" t="str">
        <x:v>QUA</x:v>
      </x:c>
      <x:c r="C695" s="13" t="str">
        <x:v>M92009</x:v>
      </x:c>
      <x:c r="D695" s="13" t="n">
        <x:v>174</x:v>
      </x:c>
      <x:c r="E695" s="30" t="n">
        <x:v>89.7</x:v>
      </x:c>
      <x:c r="F695" s="13" t="str">
        <x:v>I03 GP_Code!P5678/U5678</x:v>
      </x:c>
      <x:c r="G695" s="13" t="str">
        <x:v>是</x:v>
      </x:c>
      <x:c r="H695" s="12"/>
      <x:c r="I695" s="12"/>
      <x:c r="J695" s="12"/>
      <x:c r="K695" s="12"/>
      <x:c r="L695" s="12"/>
      <x:c r="M695" s="12"/>
      <x:c r="N695" s="12"/>
      <x:c r="O695" s="12"/>
    </x:row>
    <x:row r="696" ht="24" customHeight="1">
      <x:c r="A696" s="13" t="str">
        <x:v>I03</x:v>
      </x:c>
      <x:c r="B696" s="13" t="str">
        <x:v>QUA</x:v>
      </x:c>
      <x:c r="C696" s="13" t="str">
        <x:v>M92010</x:v>
      </x:c>
      <x:c r="D696" s="13" t="n">
        <x:v>109</x:v>
      </x:c>
      <x:c r="E696" s="30" t="n">
        <x:v>91.7</x:v>
      </x:c>
      <x:c r="F696" s="13" t="str">
        <x:v>I03 GP_Code!P5679/U5679</x:v>
      </x:c>
      <x:c r="G696" s="13" t="str">
        <x:v>是</x:v>
      </x:c>
      <x:c r="H696" s="12"/>
      <x:c r="I696" s="12"/>
      <x:c r="J696" s="12"/>
      <x:c r="K696" s="12"/>
      <x:c r="L696" s="12"/>
      <x:c r="M696" s="12"/>
      <x:c r="N696" s="12"/>
      <x:c r="O696" s="12"/>
    </x:row>
    <x:row r="697" ht="24" customHeight="1">
      <x:c r="A697" s="13" t="str">
        <x:v>I03</x:v>
      </x:c>
      <x:c r="B697" s="13" t="str">
        <x:v>QUA</x:v>
      </x:c>
      <x:c r="C697" s="13" t="str">
        <x:v>M92011</x:v>
      </x:c>
      <x:c r="D697" s="13" t="n">
        <x:v>113</x:v>
      </x:c>
      <x:c r="E697" s="30" t="n">
        <x:v>89.4</x:v>
      </x:c>
      <x:c r="F697" s="13" t="str">
        <x:v>I03 GP_Code!P5680/U5680</x:v>
      </x:c>
      <x:c r="G697" s="13" t="str">
        <x:v>是</x:v>
      </x:c>
      <x:c r="H697" s="12"/>
      <x:c r="I697" s="12"/>
      <x:c r="J697" s="12"/>
      <x:c r="K697" s="12"/>
      <x:c r="L697" s="12"/>
      <x:c r="M697" s="12"/>
      <x:c r="N697" s="12"/>
      <x:c r="O697" s="12"/>
    </x:row>
    <x:row r="698" ht="24" customHeight="1">
      <x:c r="A698" s="13" t="str">
        <x:v>I03</x:v>
      </x:c>
      <x:c r="B698" s="13" t="str">
        <x:v>QUA</x:v>
      </x:c>
      <x:c r="C698" s="13" t="str">
        <x:v>M92012</x:v>
      </x:c>
      <x:c r="D698" s="13" t="n">
        <x:v>114</x:v>
      </x:c>
      <x:c r="E698" s="30" t="n">
        <x:v>76.3</x:v>
      </x:c>
      <x:c r="F698" s="13" t="str">
        <x:v>I03 GP_Code!P5681/U5681</x:v>
      </x:c>
      <x:c r="G698" s="13" t="str">
        <x:v>是</x:v>
      </x:c>
      <x:c r="H698" s="12"/>
      <x:c r="I698" s="12"/>
      <x:c r="J698" s="12"/>
      <x:c r="K698" s="12"/>
      <x:c r="L698" s="12"/>
      <x:c r="M698" s="12"/>
      <x:c r="N698" s="12"/>
      <x:c r="O698" s="12"/>
    </x:row>
    <x:row r="699" ht="24" customHeight="1">
      <x:c r="A699" s="13" t="str">
        <x:v>I03</x:v>
      </x:c>
      <x:c r="B699" s="13" t="str">
        <x:v>QUA</x:v>
      </x:c>
      <x:c r="C699" s="13" t="str">
        <x:v>M92013</x:v>
      </x:c>
      <x:c r="D699" s="13" t="n">
        <x:v>91</x:v>
      </x:c>
      <x:c r="E699" s="30" t="n">
        <x:v>74.7</x:v>
      </x:c>
      <x:c r="F699" s="13" t="str">
        <x:v>I03 GP_Code!P5682/U5682</x:v>
      </x:c>
      <x:c r="G699" s="13" t="str">
        <x:v>是</x:v>
      </x:c>
      <x:c r="H699" s="12"/>
      <x:c r="I699" s="12"/>
      <x:c r="J699" s="12"/>
      <x:c r="K699" s="12"/>
      <x:c r="L699" s="12"/>
      <x:c r="M699" s="12"/>
      <x:c r="N699" s="12"/>
      <x:c r="O699" s="12"/>
    </x:row>
    <x:row r="700" ht="24" customHeight="1">
      <x:c r="A700" s="13" t="str">
        <x:v>I03</x:v>
      </x:c>
      <x:c r="B700" s="13" t="str">
        <x:v>QUA</x:v>
      </x:c>
      <x:c r="C700" s="13" t="str">
        <x:v>M92014</x:v>
      </x:c>
      <x:c r="D700" s="13" t="n">
        <x:v>33</x:v>
      </x:c>
      <x:c r="E700" s="30" t="n">
        <x:v>78.8</x:v>
      </x:c>
      <x:c r="F700" s="13" t="str">
        <x:v>I03 GP_Code!P5683/U5683</x:v>
      </x:c>
      <x:c r="G700" s="13" t="str">
        <x:v>否</x:v>
      </x:c>
      <x:c r="H700" s="12"/>
      <x:c r="I700" s="12"/>
      <x:c r="J700" s="12"/>
      <x:c r="K700" s="12"/>
      <x:c r="L700" s="12"/>
      <x:c r="M700" s="12"/>
      <x:c r="N700" s="12"/>
      <x:c r="O700" s="12"/>
    </x:row>
    <x:row r="701" ht="24" customHeight="1">
      <x:c r="A701" s="13" t="str">
        <x:v>I03</x:v>
      </x:c>
      <x:c r="B701" s="13" t="str">
        <x:v>QUA</x:v>
      </x:c>
      <x:c r="C701" s="13" t="str">
        <x:v>M92015</x:v>
      </x:c>
      <x:c r="D701" s="13" t="n">
        <x:v>59</x:v>
      </x:c>
      <x:c r="E701" s="30" t="n">
        <x:v>79.7</x:v>
      </x:c>
      <x:c r="F701" s="13" t="str">
        <x:v>I03 GP_Code!P5684/U5684</x:v>
      </x:c>
      <x:c r="G701" s="13" t="str">
        <x:v>是</x:v>
      </x:c>
      <x:c r="H701" s="12"/>
      <x:c r="I701" s="12"/>
      <x:c r="J701" s="12"/>
      <x:c r="K701" s="12"/>
      <x:c r="L701" s="12"/>
      <x:c r="M701" s="12"/>
      <x:c r="N701" s="12"/>
      <x:c r="O701" s="12"/>
    </x:row>
    <x:row r="702" ht="24" customHeight="1">
      <x:c r="A702" s="13" t="str">
        <x:v>I03</x:v>
      </x:c>
      <x:c r="B702" s="13" t="str">
        <x:v>QUA</x:v>
      </x:c>
      <x:c r="C702" s="13" t="str">
        <x:v>M92016</x:v>
      </x:c>
      <x:c r="D702" s="13" t="n">
        <x:v>301</x:v>
      </x:c>
      <x:c r="E702" s="30" t="n">
        <x:v>70.4</x:v>
      </x:c>
      <x:c r="F702" s="13" t="str">
        <x:v>I03 GP_Code!P5685/U5685</x:v>
      </x:c>
      <x:c r="G702" s="13" t="str">
        <x:v>是</x:v>
      </x:c>
      <x:c r="H702" s="12"/>
      <x:c r="I702" s="12"/>
      <x:c r="J702" s="12"/>
      <x:c r="K702" s="12"/>
      <x:c r="L702" s="12"/>
      <x:c r="M702" s="12"/>
      <x:c r="N702" s="12"/>
      <x:c r="O702" s="12"/>
    </x:row>
    <x:row r="703" ht="24" customHeight="1">
      <x:c r="A703" s="13" t="str">
        <x:v>I03</x:v>
      </x:c>
      <x:c r="B703" s="13" t="str">
        <x:v>QUA</x:v>
      </x:c>
      <x:c r="C703" s="13" t="str">
        <x:v>M92019</x:v>
      </x:c>
      <x:c r="D703" s="13" t="n">
        <x:v>94</x:v>
      </x:c>
      <x:c r="E703" s="30" t="n">
        <x:v>68.1</x:v>
      </x:c>
      <x:c r="F703" s="13" t="str">
        <x:v>I03 GP_Code!P5686/U5686</x:v>
      </x:c>
      <x:c r="G703" s="13" t="str">
        <x:v>是</x:v>
      </x:c>
      <x:c r="H703" s="12"/>
      <x:c r="I703" s="12"/>
      <x:c r="J703" s="12"/>
      <x:c r="K703" s="12"/>
      <x:c r="L703" s="12"/>
      <x:c r="M703" s="12"/>
      <x:c r="N703" s="12"/>
      <x:c r="O703" s="12"/>
    </x:row>
    <x:row r="704" ht="24" customHeight="1">
      <x:c r="A704" s="13" t="str">
        <x:v>I03</x:v>
      </x:c>
      <x:c r="B704" s="13" t="str">
        <x:v>QUA</x:v>
      </x:c>
      <x:c r="C704" s="13" t="str">
        <x:v>M92022</x:v>
      </x:c>
      <x:c r="D704" s="13" t="n">
        <x:v>67</x:v>
      </x:c>
      <x:c r="E704" s="30" t="n">
        <x:v>82.1</x:v>
      </x:c>
      <x:c r="F704" s="13" t="str">
        <x:v>I03 GP_Code!P5687/U5687</x:v>
      </x:c>
      <x:c r="G704" s="13" t="str">
        <x:v>是</x:v>
      </x:c>
      <x:c r="H704" s="12"/>
      <x:c r="I704" s="12"/>
      <x:c r="J704" s="12"/>
      <x:c r="K704" s="12"/>
      <x:c r="L704" s="12"/>
      <x:c r="M704" s="12"/>
      <x:c r="N704" s="12"/>
      <x:c r="O704" s="12"/>
    </x:row>
    <x:row r="705" ht="24" customHeight="1">
      <x:c r="A705" s="13" t="str">
        <x:v>I03</x:v>
      </x:c>
      <x:c r="B705" s="13" t="str">
        <x:v>QUA</x:v>
      </x:c>
      <x:c r="C705" s="13" t="str">
        <x:v>M92026</x:v>
      </x:c>
      <x:c r="D705" s="13" t="n">
        <x:v>58</x:v>
      </x:c>
      <x:c r="E705" s="30" t="n">
        <x:v>84.5</x:v>
      </x:c>
      <x:c r="F705" s="13" t="str">
        <x:v>I03 GP_Code!P5688/U5688</x:v>
      </x:c>
      <x:c r="G705" s="13" t="str">
        <x:v>是</x:v>
      </x:c>
      <x:c r="H705" s="12"/>
      <x:c r="I705" s="12"/>
      <x:c r="J705" s="12"/>
      <x:c r="K705" s="12"/>
      <x:c r="L705" s="12"/>
      <x:c r="M705" s="12"/>
      <x:c r="N705" s="12"/>
      <x:c r="O705" s="12"/>
    </x:row>
    <x:row r="706" ht="24" customHeight="1">
      <x:c r="A706" s="13" t="str">
        <x:v>I03</x:v>
      </x:c>
      <x:c r="B706" s="13" t="str">
        <x:v>QUA</x:v>
      </x:c>
      <x:c r="C706" s="13" t="str">
        <x:v>M92028</x:v>
      </x:c>
      <x:c r="D706" s="13" t="n">
        <x:v>90</x:v>
      </x:c>
      <x:c r="E706" s="30" t="n">
        <x:v>77.8</x:v>
      </x:c>
      <x:c r="F706" s="13" t="str">
        <x:v>I03 GP_Code!P5689/U5689</x:v>
      </x:c>
      <x:c r="G706" s="13" t="str">
        <x:v>是</x:v>
      </x:c>
      <x:c r="H706" s="12"/>
      <x:c r="I706" s="12"/>
      <x:c r="J706" s="12"/>
      <x:c r="K706" s="12"/>
      <x:c r="L706" s="12"/>
      <x:c r="M706" s="12"/>
      <x:c r="N706" s="12"/>
      <x:c r="O706" s="12"/>
    </x:row>
    <x:row r="707" ht="24" customHeight="1">
      <x:c r="A707" s="13" t="str">
        <x:v>I03</x:v>
      </x:c>
      <x:c r="B707" s="13" t="str">
        <x:v>QUA</x:v>
      </x:c>
      <x:c r="C707" s="13" t="str">
        <x:v>M92029</x:v>
      </x:c>
      <x:c r="D707" s="13" t="n">
        <x:v>57</x:v>
      </x:c>
      <x:c r="E707" s="30" t="n">
        <x:v>93</x:v>
      </x:c>
      <x:c r="F707" s="13" t="str">
        <x:v>I03 GP_Code!P5690/U5690</x:v>
      </x:c>
      <x:c r="G707" s="13" t="str">
        <x:v>是</x:v>
      </x:c>
      <x:c r="H707" s="12"/>
      <x:c r="I707" s="12"/>
      <x:c r="J707" s="12"/>
      <x:c r="K707" s="12"/>
      <x:c r="L707" s="12"/>
      <x:c r="M707" s="12"/>
      <x:c r="N707" s="12"/>
      <x:c r="O707" s="12"/>
    </x:row>
    <x:row r="708" ht="24" customHeight="1">
      <x:c r="A708" s="13" t="str">
        <x:v>I03</x:v>
      </x:c>
      <x:c r="B708" s="13" t="str">
        <x:v>QUA</x:v>
      </x:c>
      <x:c r="C708" s="13" t="str">
        <x:v>M92039</x:v>
      </x:c>
      <x:c r="D708" s="13" t="n">
        <x:v>96</x:v>
      </x:c>
      <x:c r="E708" s="30" t="n">
        <x:v>84.4</x:v>
      </x:c>
      <x:c r="F708" s="13" t="str">
        <x:v>I03 GP_Code!P5691/U5691</x:v>
      </x:c>
      <x:c r="G708" s="13" t="str">
        <x:v>是</x:v>
      </x:c>
      <x:c r="H708" s="12"/>
      <x:c r="I708" s="12"/>
      <x:c r="J708" s="12"/>
      <x:c r="K708" s="12"/>
      <x:c r="L708" s="12"/>
      <x:c r="M708" s="12"/>
      <x:c r="N708" s="12"/>
      <x:c r="O708" s="12"/>
    </x:row>
    <x:row r="709" ht="24" customHeight="1">
      <x:c r="A709" s="13" t="str">
        <x:v>I03</x:v>
      </x:c>
      <x:c r="B709" s="13" t="str">
        <x:v>QUA</x:v>
      </x:c>
      <x:c r="C709" s="13" t="str">
        <x:v>M92040</x:v>
      </x:c>
      <x:c r="D709" s="13" t="n">
        <x:v>160</x:v>
      </x:c>
      <x:c r="E709" s="30" t="n">
        <x:v>78.1</x:v>
      </x:c>
      <x:c r="F709" s="13" t="str">
        <x:v>I03 GP_Code!P5692/U5692</x:v>
      </x:c>
      <x:c r="G709" s="13" t="str">
        <x:v>是</x:v>
      </x:c>
      <x:c r="H709" s="12"/>
      <x:c r="I709" s="12"/>
      <x:c r="J709" s="12"/>
      <x:c r="K709" s="12"/>
      <x:c r="L709" s="12"/>
      <x:c r="M709" s="12"/>
      <x:c r="N709" s="12"/>
      <x:c r="O709" s="12"/>
    </x:row>
    <x:row r="710" ht="24" customHeight="1">
      <x:c r="A710" s="13" t="str">
        <x:v>I03</x:v>
      </x:c>
      <x:c r="B710" s="13" t="str">
        <x:v>QUA</x:v>
      </x:c>
      <x:c r="C710" s="13" t="str">
        <x:v>M92041</x:v>
      </x:c>
      <x:c r="D710" s="13" t="n">
        <x:v>58</x:v>
      </x:c>
      <x:c r="E710" s="30" t="n">
        <x:v>81</x:v>
      </x:c>
      <x:c r="F710" s="13" t="str">
        <x:v>I03 GP_Code!P5693/U5693</x:v>
      </x:c>
      <x:c r="G710" s="13" t="str">
        <x:v>是</x:v>
      </x:c>
      <x:c r="H710" s="12"/>
      <x:c r="I710" s="12"/>
      <x:c r="J710" s="12"/>
      <x:c r="K710" s="12"/>
      <x:c r="L710" s="12"/>
      <x:c r="M710" s="12"/>
      <x:c r="N710" s="12"/>
      <x:c r="O710" s="12"/>
    </x:row>
    <x:row r="711" ht="24" customHeight="1">
      <x:c r="A711" s="13" t="str">
        <x:v>I03</x:v>
      </x:c>
      <x:c r="B711" s="13" t="str">
        <x:v>QUA</x:v>
      </x:c>
      <x:c r="C711" s="13" t="str">
        <x:v>M92042</x:v>
      </x:c>
      <x:c r="D711" s="13" t="n">
        <x:v>48</x:v>
      </x:c>
      <x:c r="E711" s="30" t="n">
        <x:v>81.3</x:v>
      </x:c>
      <x:c r="F711" s="13" t="str">
        <x:v>I03 GP_Code!P5694/U5694</x:v>
      </x:c>
      <x:c r="G711" s="13" t="str">
        <x:v>否</x:v>
      </x:c>
      <x:c r="H711" s="12"/>
      <x:c r="I711" s="12"/>
      <x:c r="J711" s="12"/>
      <x:c r="K711" s="12"/>
      <x:c r="L711" s="12"/>
      <x:c r="M711" s="12"/>
      <x:c r="N711" s="12"/>
      <x:c r="O711" s="12"/>
    </x:row>
    <x:row r="712" ht="24" customHeight="1">
      <x:c r="A712" s="13" t="str">
        <x:v>I03</x:v>
      </x:c>
      <x:c r="B712" s="13" t="str">
        <x:v>QUA</x:v>
      </x:c>
      <x:c r="C712" s="13" t="str">
        <x:v>M92043</x:v>
      </x:c>
      <x:c r="D712" s="13" t="n">
        <x:v>70</x:v>
      </x:c>
      <x:c r="E712" s="30" t="n">
        <x:v>90</x:v>
      </x:c>
      <x:c r="F712" s="13" t="str">
        <x:v>I03 GP_Code!P5695/U5695</x:v>
      </x:c>
      <x:c r="G712" s="13" t="str">
        <x:v>是</x:v>
      </x:c>
      <x:c r="H712" s="12"/>
      <x:c r="I712" s="12"/>
      <x:c r="J712" s="12"/>
      <x:c r="K712" s="12"/>
      <x:c r="L712" s="12"/>
      <x:c r="M712" s="12"/>
      <x:c r="N712" s="12"/>
      <x:c r="O712" s="12"/>
    </x:row>
    <x:row r="713" ht="24" customHeight="1">
      <x:c r="A713" s="13" t="str">
        <x:v>I03</x:v>
      </x:c>
      <x:c r="B713" s="13" t="str">
        <x:v>QUA</x:v>
      </x:c>
      <x:c r="C713" s="13" t="str">
        <x:v>M92044</x:v>
      </x:c>
      <x:c r="D713" s="13" t="n">
        <x:v>46</x:v>
      </x:c>
      <x:c r="E713" s="30" t="n">
        <x:v>97.8</x:v>
      </x:c>
      <x:c r="F713" s="13" t="str">
        <x:v>I03 GP_Code!P5696/U5696</x:v>
      </x:c>
      <x:c r="G713" s="13" t="str">
        <x:v>否</x:v>
      </x:c>
      <x:c r="H713" s="12"/>
      <x:c r="I713" s="12"/>
      <x:c r="J713" s="12"/>
      <x:c r="K713" s="12"/>
      <x:c r="L713" s="12"/>
      <x:c r="M713" s="12"/>
      <x:c r="N713" s="12"/>
      <x:c r="O713" s="12"/>
    </x:row>
    <x:row r="714" ht="24" customHeight="1">
      <x:c r="A714" s="13" t="str">
        <x:v>I03</x:v>
      </x:c>
      <x:c r="B714" s="13" t="str">
        <x:v>QUA</x:v>
      </x:c>
      <x:c r="C714" s="13" t="str">
        <x:v>M92607</x:v>
      </x:c>
      <x:c r="D714" s="13" t="n">
        <x:v>223</x:v>
      </x:c>
      <x:c r="E714" s="30" t="n">
        <x:v>66.4</x:v>
      </x:c>
      <x:c r="F714" s="13" t="str">
        <x:v>I03 GP_Code!P5697/U5697</x:v>
      </x:c>
      <x:c r="G714" s="13" t="str">
        <x:v>是</x:v>
      </x:c>
      <x:c r="H714" s="12"/>
      <x:c r="I714" s="12"/>
      <x:c r="J714" s="12"/>
      <x:c r="K714" s="12"/>
      <x:c r="L714" s="12"/>
      <x:c r="M714" s="12"/>
      <x:c r="N714" s="12"/>
      <x:c r="O714" s="12"/>
    </x:row>
    <x:row r="715" ht="24" customHeight="1">
      <x:c r="A715" s="13" t="str">
        <x:v>I03</x:v>
      </x:c>
      <x:c r="B715" s="13" t="str">
        <x:v>QUA</x:v>
      </x:c>
      <x:c r="C715" s="13" t="str">
        <x:v>M92609</x:v>
      </x:c>
      <x:c r="D715" s="13" t="n">
        <x:v>71</x:v>
      </x:c>
      <x:c r="E715" s="30" t="n">
        <x:v>90.1</x:v>
      </x:c>
      <x:c r="F715" s="13" t="str">
        <x:v>I03 GP_Code!P5698/U5698</x:v>
      </x:c>
      <x:c r="G715" s="13" t="str">
        <x:v>是</x:v>
      </x:c>
      <x:c r="H715" s="12"/>
      <x:c r="I715" s="12"/>
      <x:c r="J715" s="12"/>
      <x:c r="K715" s="12"/>
      <x:c r="L715" s="12"/>
      <x:c r="M715" s="12"/>
      <x:c r="N715" s="12"/>
      <x:c r="O715" s="12"/>
    </x:row>
    <x:row r="716" ht="24" customHeight="1">
      <x:c r="A716" s="13" t="str">
        <x:v>I03</x:v>
      </x:c>
      <x:c r="B716" s="13" t="str">
        <x:v>QUA</x:v>
      </x:c>
      <x:c r="C716" s="13" t="str">
        <x:v>M92612</x:v>
      </x:c>
      <x:c r="D716" s="13" t="n">
        <x:v>452</x:v>
      </x:c>
      <x:c r="E716" s="30" t="n">
        <x:v>70.1</x:v>
      </x:c>
      <x:c r="F716" s="13" t="str">
        <x:v>I03 GP_Code!P5699/U5699</x:v>
      </x:c>
      <x:c r="G716" s="13" t="str">
        <x:v>是</x:v>
      </x:c>
      <x:c r="H716" s="12"/>
      <x:c r="I716" s="12"/>
      <x:c r="J716" s="12"/>
      <x:c r="K716" s="12"/>
      <x:c r="L716" s="12"/>
      <x:c r="M716" s="12"/>
      <x:c r="N716" s="12"/>
      <x:c r="O716" s="12"/>
    </x:row>
    <x:row r="717" ht="24" customHeight="1">
      <x:c r="A717" s="13" t="str">
        <x:v>I03</x:v>
      </x:c>
      <x:c r="B717" s="13" t="str">
        <x:v>QUA</x:v>
      </x:c>
      <x:c r="C717" s="13" t="str">
        <x:v>M92627</x:v>
      </x:c>
      <x:c r="D717" s="13" t="n">
        <x:v>48</x:v>
      </x:c>
      <x:c r="E717" s="30" t="n">
        <x:v>85.4</x:v>
      </x:c>
      <x:c r="F717" s="13" t="str">
        <x:v>I03 GP_Code!P5700/U5700</x:v>
      </x:c>
      <x:c r="G717" s="13" t="str">
        <x:v>是</x:v>
      </x:c>
      <x:c r="H717" s="12"/>
      <x:c r="I717" s="12"/>
      <x:c r="J717" s="12"/>
      <x:c r="K717" s="12"/>
      <x:c r="L717" s="12"/>
      <x:c r="M717" s="12"/>
      <x:c r="N717" s="12"/>
      <x:c r="O717" s="12"/>
    </x:row>
    <x:row r="718" ht="24" customHeight="1">
      <x:c r="A718" s="13" t="str">
        <x:v>I03</x:v>
      </x:c>
      <x:c r="B718" s="13" t="str">
        <x:v>QUA</x:v>
      </x:c>
      <x:c r="C718" s="13" t="str">
        <x:v>M92629</x:v>
      </x:c>
      <x:c r="D718" s="13" t="n">
        <x:v>56</x:v>
      </x:c>
      <x:c r="E718" s="30" t="n">
        <x:v>85.7</x:v>
      </x:c>
      <x:c r="F718" s="13" t="str">
        <x:v>I03 GP_Code!P5701/U5701</x:v>
      </x:c>
      <x:c r="G718" s="13" t="str">
        <x:v>是</x:v>
      </x:c>
      <x:c r="H718" s="12"/>
      <x:c r="I718" s="12"/>
      <x:c r="J718" s="12"/>
      <x:c r="K718" s="12"/>
      <x:c r="L718" s="12"/>
      <x:c r="M718" s="12"/>
      <x:c r="N718" s="12"/>
      <x:c r="O718" s="12"/>
    </x:row>
    <x:row r="719" ht="24" customHeight="1">
      <x:c r="A719" s="13" t="str">
        <x:v>I03</x:v>
      </x:c>
      <x:c r="B719" s="13" t="str">
        <x:v>QUA</x:v>
      </x:c>
      <x:c r="C719" s="13" t="str">
        <x:v>M92630</x:v>
      </x:c>
      <x:c r="D719" s="13" t="n">
        <x:v>69</x:v>
      </x:c>
      <x:c r="E719" s="30" t="n">
        <x:v>84.1</x:v>
      </x:c>
      <x:c r="F719" s="13" t="str">
        <x:v>I03 GP_Code!P5702/U5702</x:v>
      </x:c>
      <x:c r="G719" s="13" t="str">
        <x:v>是</x:v>
      </x:c>
      <x:c r="H719" s="12"/>
      <x:c r="I719" s="12"/>
      <x:c r="J719" s="12"/>
      <x:c r="K719" s="12"/>
      <x:c r="L719" s="12"/>
      <x:c r="M719" s="12"/>
      <x:c r="N719" s="12"/>
      <x:c r="O719" s="12"/>
    </x:row>
    <x:row r="720" ht="24" customHeight="1">
      <x:c r="A720" s="13" t="str">
        <x:v>I03</x:v>
      </x:c>
      <x:c r="B720" s="13" t="str">
        <x:v>QUA</x:v>
      </x:c>
      <x:c r="C720" s="13" t="str">
        <x:v>M92640</x:v>
      </x:c>
      <x:c r="D720" s="13" t="n">
        <x:v>31</x:v>
      </x:c>
      <x:c r="E720" s="30" t="n">
        <x:v>83.9</x:v>
      </x:c>
      <x:c r="F720" s="13" t="str">
        <x:v>I03 GP_Code!P5703/U5703</x:v>
      </x:c>
      <x:c r="G720" s="13" t="str">
        <x:v>是</x:v>
      </x:c>
      <x:c r="H720" s="12"/>
      <x:c r="I720" s="12"/>
      <x:c r="J720" s="12"/>
      <x:c r="K720" s="12"/>
      <x:c r="L720" s="12"/>
      <x:c r="M720" s="12"/>
      <x:c r="N720" s="12"/>
      <x:c r="O720" s="12"/>
    </x:row>
    <x:row r="721" ht="24" customHeight="1">
      <x:c r="A721" s="13" t="str">
        <x:v>I03</x:v>
      </x:c>
      <x:c r="B721" s="13" t="str">
        <x:v>QUA</x:v>
      </x:c>
      <x:c r="C721" s="13" t="str">
        <x:v>M92649</x:v>
      </x:c>
      <x:c r="D721" s="13" t="n">
        <x:v>41</x:v>
      </x:c>
      <x:c r="E721" s="30" t="n">
        <x:v>78</x:v>
      </x:c>
      <x:c r="F721" s="13" t="str">
        <x:v>I03 GP_Code!P5704/U5704</x:v>
      </x:c>
      <x:c r="G721" s="13" t="str">
        <x:v>是</x:v>
      </x:c>
      <x:c r="H721" s="12"/>
      <x:c r="I721" s="12"/>
      <x:c r="J721" s="12"/>
      <x:c r="K721" s="12"/>
      <x:c r="L721" s="12"/>
      <x:c r="M721" s="12"/>
      <x:c r="N721" s="12"/>
      <x:c r="O721" s="12"/>
    </x:row>
    <x:row r="722" ht="24" customHeight="1">
      <x:c r="A722" s="13" t="str">
        <x:v>I03</x:v>
      </x:c>
      <x:c r="B722" s="13" t="str">
        <x:v>QUA</x:v>
      </x:c>
      <x:c r="C722" s="13" t="str">
        <x:v>M92654</x:v>
      </x:c>
      <x:c r="D722" s="13" t="n">
        <x:v>95</x:v>
      </x:c>
      <x:c r="E722" s="30" t="n">
        <x:v>76.8</x:v>
      </x:c>
      <x:c r="F722" s="13" t="str">
        <x:v>I03 GP_Code!P5705/U5705</x:v>
      </x:c>
      <x:c r="G722" s="13" t="str">
        <x:v>是</x:v>
      </x:c>
      <x:c r="H722" s="12"/>
      <x:c r="I722" s="12"/>
      <x:c r="J722" s="12"/>
      <x:c r="K722" s="12"/>
      <x:c r="L722" s="12"/>
      <x:c r="M722" s="12"/>
      <x:c r="N722" s="12"/>
      <x:c r="O722" s="12"/>
    </x:row>
    <x:row r="723" ht="24" customHeight="1">
      <x:c r="A723" s="13" t="str">
        <x:v>I03</x:v>
      </x:c>
      <x:c r="B723" s="13" t="str">
        <x:v>QUA</x:v>
      </x:c>
      <x:c r="C723" s="13" t="str">
        <x:v>Y00228</x:v>
      </x:c>
      <x:c r="D723" s="13" t="n">
        <x:v>32</x:v>
      </x:c>
      <x:c r="E723" s="30" t="n">
        <x:v>78.1</x:v>
      </x:c>
      <x:c r="F723" s="13" t="str">
        <x:v>I03 GP_Code!P5706/U5706</x:v>
      </x:c>
      <x:c r="G723" s="13" t="str">
        <x:v>是</x:v>
      </x:c>
      <x:c r="H723" s="12"/>
      <x:c r="I723" s="12"/>
      <x:c r="J723" s="12"/>
      <x:c r="K723" s="12"/>
      <x:c r="L723" s="12"/>
      <x:c r="M723" s="12"/>
      <x:c r="N723" s="12"/>
      <x:c r="O723" s="12"/>
    </x:row>
    <x:row r="724" ht="24" customHeight="1">
      <x:c r="A724" s="13" t="str">
        <x:v>I03</x:v>
      </x:c>
      <x:c r="B724" s="13" t="str">
        <x:v>QUA</x:v>
      </x:c>
      <x:c r="C724" s="13" t="str">
        <x:v>Y00278</x:v>
      </x:c>
      <x:c r="D724" s="13" t="n">
        <x:v>52</x:v>
      </x:c>
      <x:c r="E724" s="30" t="n">
        <x:v>86.5</x:v>
      </x:c>
      <x:c r="F724" s="13" t="str">
        <x:v>I03 GP_Code!P5707/U5707</x:v>
      </x:c>
      <x:c r="G724" s="13" t="str">
        <x:v>是</x:v>
      </x:c>
      <x:c r="H724" s="12"/>
      <x:c r="I724" s="12"/>
      <x:c r="J724" s="12"/>
      <x:c r="K724" s="12"/>
      <x:c r="L724" s="12"/>
      <x:c r="M724" s="12"/>
      <x:c r="N724" s="12"/>
      <x:c r="O724" s="12"/>
    </x:row>
    <x:row r="725" ht="24" customHeight="1">
      <x:c r="A725" s="13" t="str">
        <x:v>I03</x:v>
      </x:c>
      <x:c r="B725" s="13" t="str">
        <x:v>QUA</x:v>
      </x:c>
      <x:c r="C725" s="13" t="str">
        <x:v>Y00412</x:v>
      </x:c>
      <x:c r="D725" s="13" t="n">
        <x:v>56</x:v>
      </x:c>
      <x:c r="E725" s="30" t="n">
        <x:v>75</x:v>
      </x:c>
      <x:c r="F725" s="13" t="str">
        <x:v>I03 GP_Code!P5708/U5708</x:v>
      </x:c>
      <x:c r="G725" s="13" t="str">
        <x:v>否</x:v>
      </x:c>
      <x:c r="H725" s="12"/>
      <x:c r="I725" s="12"/>
      <x:c r="J725" s="12"/>
      <x:c r="K725" s="12"/>
      <x:c r="L725" s="12"/>
      <x:c r="M725" s="12"/>
      <x:c r="N725" s="12"/>
      <x:c r="O725" s="12"/>
    </x:row>
    <x:row r="726" ht="24" customHeight="1">
      <x:c r="A726" s="13" t="str">
        <x:v>I03</x:v>
      </x:c>
      <x:c r="B726" s="13" t="str">
        <x:v>QUA</x:v>
      </x:c>
      <x:c r="C726" s="13" t="str">
        <x:v>Y00471</x:v>
      </x:c>
      <x:c r="D726" s="13" t="n">
        <x:v>64</x:v>
      </x:c>
      <x:c r="E726" s="30" t="n">
        <x:v>71.9</x:v>
      </x:c>
      <x:c r="F726" s="13" t="str">
        <x:v>I03 GP_Code!P5709/U5709</x:v>
      </x:c>
      <x:c r="G726" s="13" t="str">
        <x:v>否</x:v>
      </x:c>
      <x:c r="H726" s="12"/>
      <x:c r="I726" s="12"/>
      <x:c r="J726" s="12"/>
      <x:c r="K726" s="12"/>
      <x:c r="L726" s="12"/>
      <x:c r="M726" s="12"/>
      <x:c r="N726" s="12"/>
      <x:c r="O726" s="12"/>
    </x:row>
    <x:row r="727" ht="24" customHeight="1">
      <x:c r="A727" s="13" t="str">
        <x:v>I03</x:v>
      </x:c>
      <x:c r="B727" s="13" t="str">
        <x:v>QUA</x:v>
      </x:c>
      <x:c r="C727" s="13" t="str">
        <x:v>Y00492</x:v>
      </x:c>
      <x:c r="D727" s="13" t="n">
        <x:v>153</x:v>
      </x:c>
      <x:c r="E727" s="30" t="n">
        <x:v>67.3</x:v>
      </x:c>
      <x:c r="F727" s="13" t="str">
        <x:v>I03 GP_Code!P5710/U5710</x:v>
      </x:c>
      <x:c r="G727" s="13" t="str">
        <x:v>否</x:v>
      </x:c>
      <x:c r="H727" s="12"/>
      <x:c r="I727" s="12"/>
      <x:c r="J727" s="12"/>
      <x:c r="K727" s="12"/>
      <x:c r="L727" s="12"/>
      <x:c r="M727" s="12"/>
      <x:c r="N727" s="12"/>
      <x:c r="O727" s="12"/>
    </x:row>
    <x:row r="728" ht="24" customHeight="1">
      <x:c r="A728" s="13" t="str">
        <x:v>I03</x:v>
      </x:c>
      <x:c r="B728" s="13" t="str">
        <x:v>QUA</x:v>
      </x:c>
      <x:c r="C728" s="13" t="str">
        <x:v>Y01756</x:v>
      </x:c>
      <x:c r="D728" s="13" t="n">
        <x:v>70</x:v>
      </x:c>
      <x:c r="E728" s="30" t="n">
        <x:v>87.1</x:v>
      </x:c>
      <x:c r="F728" s="13" t="str">
        <x:v>I03 GP_Code!P5711/U5711</x:v>
      </x:c>
      <x:c r="G728" s="13" t="str">
        <x:v>是</x:v>
      </x:c>
      <x:c r="H728" s="12"/>
      <x:c r="I728" s="12"/>
      <x:c r="J728" s="12"/>
      <x:c r="K728" s="12"/>
      <x:c r="L728" s="12"/>
      <x:c r="M728" s="12"/>
      <x:c r="N728" s="12"/>
      <x:c r="O728" s="12"/>
    </x:row>
    <x:row r="729" ht="24" customHeight="1">
      <x:c r="A729" s="13" t="str">
        <x:v>I03</x:v>
      </x:c>
      <x:c r="B729" s="13" t="str">
        <x:v>QUA</x:v>
      </x:c>
      <x:c r="C729" s="13" t="str">
        <x:v>Y02212</x:v>
      </x:c>
      <x:c r="D729" s="13" t="n">
        <x:v>31</x:v>
      </x:c>
      <x:c r="E729" s="30" t="n">
        <x:v>77.4</x:v>
      </x:c>
      <x:c r="F729" s="13" t="str">
        <x:v>I03 GP_Code!P5712/U5712</x:v>
      </x:c>
      <x:c r="G729" s="13" t="str">
        <x:v>是</x:v>
      </x:c>
      <x:c r="H729" s="12"/>
      <x:c r="I729" s="12"/>
      <x:c r="J729" s="12"/>
      <x:c r="K729" s="12"/>
      <x:c r="L729" s="12"/>
      <x:c r="M729" s="12"/>
      <x:c r="N729" s="12"/>
      <x:c r="O729" s="12"/>
    </x:row>
    <x:row r="730" ht="24" customHeight="1">
      <x:c r="A730" s="13" t="str">
        <x:v>I03</x:v>
      </x:c>
      <x:c r="B730" s="13" t="str">
        <x:v>QUA</x:v>
      </x:c>
      <x:c r="C730" s="13" t="str">
        <x:v>Y02626</x:v>
      </x:c>
      <x:c r="D730" s="13" t="n">
        <x:v>77</x:v>
      </x:c>
      <x:c r="E730" s="30" t="n">
        <x:v>85.7</x:v>
      </x:c>
      <x:c r="F730" s="13" t="str">
        <x:v>I03 GP_Code!P5713/U5713</x:v>
      </x:c>
      <x:c r="G730" s="13" t="str">
        <x:v>是</x:v>
      </x:c>
      <x:c r="H730" s="12"/>
      <x:c r="I730" s="12"/>
      <x:c r="J730" s="12"/>
      <x:c r="K730" s="12"/>
      <x:c r="L730" s="12"/>
      <x:c r="M730" s="12"/>
      <x:c r="N730" s="12"/>
      <x:c r="O730" s="12"/>
    </x:row>
    <x:row r="731" ht="24" customHeight="1">
      <x:c r="A731" s="13" t="str">
        <x:v>I03</x:v>
      </x:c>
      <x:c r="B731" s="13" t="str">
        <x:v>QUA</x:v>
      </x:c>
      <x:c r="C731" s="13" t="str">
        <x:v>Y02627</x:v>
      </x:c>
      <x:c r="D731" s="13" t="n">
        <x:v>217</x:v>
      </x:c>
      <x:c r="E731" s="30" t="n">
        <x:v>67.3</x:v>
      </x:c>
      <x:c r="F731" s="13" t="str">
        <x:v>I03 GP_Code!P5714/U5714</x:v>
      </x:c>
      <x:c r="G731" s="13" t="str">
        <x:v>是</x:v>
      </x:c>
      <x:c r="H731" s="12"/>
      <x:c r="I731" s="12"/>
      <x:c r="J731" s="12"/>
      <x:c r="K731" s="12"/>
      <x:c r="L731" s="12"/>
      <x:c r="M731" s="12"/>
      <x:c r="N731" s="12"/>
      <x:c r="O731" s="12"/>
    </x:row>
    <x:row r="732" ht="24" customHeight="1">
      <x:c r="A732" s="13" t="str">
        <x:v>I03</x:v>
      </x:c>
      <x:c r="B732" s="13" t="str">
        <x:v>QUA</x:v>
      </x:c>
      <x:c r="C732" s="13" t="str">
        <x:v>Y02636</x:v>
      </x:c>
      <x:c r="D732" s="13" t="n">
        <x:v>85</x:v>
      </x:c>
      <x:c r="E732" s="30" t="n">
        <x:v>69.4</x:v>
      </x:c>
      <x:c r="F732" s="13" t="str">
        <x:v>I03 GP_Code!P5715/U5715</x:v>
      </x:c>
      <x:c r="G732" s="13" t="str">
        <x:v>是</x:v>
      </x:c>
      <x:c r="H732" s="12"/>
      <x:c r="I732" s="12"/>
      <x:c r="J732" s="12"/>
      <x:c r="K732" s="12"/>
      <x:c r="L732" s="12"/>
      <x:c r="M732" s="12"/>
      <x:c r="N732" s="12"/>
      <x:c r="O732" s="12"/>
    </x:row>
    <x:row r="733" ht="24" customHeight="1">
      <x:c r="A733" s="13" t="str">
        <x:v>I03</x:v>
      </x:c>
      <x:c r="B733" s="13" t="str">
        <x:v>QUA</x:v>
      </x:c>
      <x:c r="C733" s="13" t="str">
        <x:v>Y02653</x:v>
      </x:c>
      <x:c r="D733" s="13" t="n">
        <x:v>78</x:v>
      </x:c>
      <x:c r="E733" s="30" t="n">
        <x:v>85.9</x:v>
      </x:c>
      <x:c r="F733" s="13" t="str">
        <x:v>I03 GP_Code!P5716/U5716</x:v>
      </x:c>
      <x:c r="G733" s="13" t="str">
        <x:v>是</x:v>
      </x:c>
      <x:c r="H733" s="12"/>
      <x:c r="I733" s="12"/>
      <x:c r="J733" s="12"/>
      <x:c r="K733" s="12"/>
      <x:c r="L733" s="12"/>
      <x:c r="M733" s="12"/>
      <x:c r="N733" s="12"/>
      <x:c r="O733" s="12"/>
    </x:row>
    <x:row r="734" ht="24" customHeight="1">
      <x:c r="A734" s="13" t="str">
        <x:v>I03</x:v>
      </x:c>
      <x:c r="B734" s="13" t="str">
        <x:v>QUA</x:v>
      </x:c>
      <x:c r="C734" s="13" t="str">
        <x:v>Y02701</x:v>
      </x:c>
      <x:c r="D734" s="13" t="n">
        <x:v>151</x:v>
      </x:c>
      <x:c r="E734" s="30" t="n">
        <x:v>81.5</x:v>
      </x:c>
      <x:c r="F734" s="13" t="str">
        <x:v>I03 GP_Code!P5717/U5717</x:v>
      </x:c>
      <x:c r="G734" s="13" t="str">
        <x:v>是</x:v>
      </x:c>
      <x:c r="H734" s="12"/>
      <x:c r="I734" s="12"/>
      <x:c r="J734" s="12"/>
      <x:c r="K734" s="12"/>
      <x:c r="L734" s="12"/>
      <x:c r="M734" s="12"/>
      <x:c r="N734" s="12"/>
      <x:c r="O734" s="12"/>
    </x:row>
    <x:row r="735" ht="24" customHeight="1">
      <x:c r="A735" s="13" t="str">
        <x:v>I03</x:v>
      </x:c>
      <x:c r="B735" s="13" t="str">
        <x:v>QUA</x:v>
      </x:c>
      <x:c r="C735" s="13" t="str">
        <x:v>Y02736</x:v>
      </x:c>
      <x:c r="D735" s="13" t="n">
        <x:v>110</x:v>
      </x:c>
      <x:c r="E735" s="30" t="n">
        <x:v>70</x:v>
      </x:c>
      <x:c r="F735" s="13" t="str">
        <x:v>I03 GP_Code!P5718/U5718</x:v>
      </x:c>
      <x:c r="G735" s="13" t="str">
        <x:v>是</x:v>
      </x:c>
      <x:c r="H735" s="12"/>
      <x:c r="I735" s="12"/>
      <x:c r="J735" s="12"/>
      <x:c r="K735" s="12"/>
      <x:c r="L735" s="12"/>
      <x:c r="M735" s="12"/>
      <x:c r="N735" s="12"/>
      <x:c r="O735" s="12"/>
    </x:row>
    <x:row r="736" ht="24" customHeight="1">
      <x:c r="A736" s="13" t="str">
        <x:v>I03</x:v>
      </x:c>
      <x:c r="B736" s="13" t="str">
        <x:v>QUA</x:v>
      </x:c>
      <x:c r="C736" s="13" t="str">
        <x:v>Y02757</x:v>
      </x:c>
      <x:c r="D736" s="13" t="n">
        <x:v>226</x:v>
      </x:c>
      <x:c r="E736" s="30" t="n">
        <x:v>75.2</x:v>
      </x:c>
      <x:c r="F736" s="13" t="str">
        <x:v>I03 GP_Code!P5719/U5719</x:v>
      </x:c>
      <x:c r="G736" s="13" t="str">
        <x:v>是</x:v>
      </x:c>
      <x:c r="H736" s="12"/>
      <x:c r="I736" s="12"/>
      <x:c r="J736" s="12"/>
      <x:c r="K736" s="12"/>
      <x:c r="L736" s="12"/>
      <x:c r="M736" s="12"/>
      <x:c r="N736" s="12"/>
      <x:c r="O736" s="12"/>
    </x:row>
    <x:row r="737" ht="24" customHeight="1">
      <x:c r="A737" s="13" t="str">
        <x:v>I03</x:v>
      </x:c>
      <x:c r="B737" s="13" t="str">
        <x:v>QUA</x:v>
      </x:c>
      <x:c r="C737" s="13" t="str">
        <x:v>Y06378</x:v>
      </x:c>
      <x:c r="D737" s="13" t="n">
        <x:v>98</x:v>
      </x:c>
      <x:c r="E737" s="30" t="n">
        <x:v>61.2</x:v>
      </x:c>
      <x:c r="F737" s="13" t="str">
        <x:v>I03 GP_Code!P5720/U5720</x:v>
      </x:c>
      <x:c r="G737" s="13" t="str">
        <x:v>否</x:v>
      </x:c>
      <x:c r="H737" s="12"/>
      <x:c r="I737" s="12"/>
      <x:c r="J737" s="12"/>
      <x:c r="K737" s="12"/>
      <x:c r="L737" s="12"/>
      <x:c r="M737" s="12"/>
      <x:c r="N737" s="12"/>
      <x:c r="O737" s="12"/>
    </x:row>
    <x:row r="738" ht="24" customHeight="1">
      <x:c r="A738" s="13" t="str">
        <x:v>I04</x:v>
      </x:c>
      <x:c r="B738" s="13" t="str">
        <x:v>QHL</x:v>
      </x:c>
      <x:c r="C738" s="13" t="str">
        <x:v>M81062</x:v>
      </x:c>
      <x:c r="D738" s="13" t="n">
        <x:v>33</x:v>
      </x:c>
      <x:c r="E738" s="30" t="n">
        <x:v>81.8</x:v>
      </x:c>
      <x:c r="F738" s="13" t="str">
        <x:v>I04 Table_1!P698/U698</x:v>
      </x:c>
      <x:c r="G738" s="13" t="str">
        <x:v>是</x:v>
      </x:c>
      <x:c r="H738" s="12"/>
      <x:c r="I738" s="12"/>
      <x:c r="J738" s="12"/>
      <x:c r="K738" s="12"/>
      <x:c r="L738" s="12"/>
      <x:c r="M738" s="12"/>
      <x:c r="N738" s="12"/>
      <x:c r="O738" s="12"/>
    </x:row>
    <x:row r="739" ht="24" customHeight="1">
      <x:c r="A739" s="13" t="str">
        <x:v>I04</x:v>
      </x:c>
      <x:c r="B739" s="13" t="str">
        <x:v>QHL</x:v>
      </x:c>
      <x:c r="C739" s="13" t="str">
        <x:v>M85001</x:v>
      </x:c>
      <x:c r="D739" s="13" t="n">
        <x:v>67</x:v>
      </x:c>
      <x:c r="E739" s="30" t="n">
        <x:v>64.2</x:v>
      </x:c>
      <x:c r="F739" s="13" t="str">
        <x:v>I04 Table_1!P699/U699</x:v>
      </x:c>
      <x:c r="G739" s="13" t="str">
        <x:v>是</x:v>
      </x:c>
      <x:c r="H739" s="12"/>
      <x:c r="I739" s="12"/>
      <x:c r="J739" s="12"/>
      <x:c r="K739" s="12"/>
      <x:c r="L739" s="12"/>
      <x:c r="M739" s="12"/>
      <x:c r="N739" s="12"/>
      <x:c r="O739" s="12"/>
    </x:row>
    <x:row r="740" ht="24" customHeight="1">
      <x:c r="A740" s="13" t="str">
        <x:v>I04</x:v>
      </x:c>
      <x:c r="B740" s="13" t="str">
        <x:v>QHL</x:v>
      </x:c>
      <x:c r="C740" s="13" t="str">
        <x:v>M85002</x:v>
      </x:c>
      <x:c r="D740" s="13" t="n">
        <x:v>145</x:v>
      </x:c>
      <x:c r="E740" s="30" t="n">
        <x:v>71.7</x:v>
      </x:c>
      <x:c r="F740" s="13" t="str">
        <x:v>I04 Table_1!P700/U700</x:v>
      </x:c>
      <x:c r="G740" s="13" t="str">
        <x:v>否</x:v>
      </x:c>
      <x:c r="H740" s="12"/>
      <x:c r="I740" s="12"/>
      <x:c r="J740" s="12"/>
      <x:c r="K740" s="12"/>
      <x:c r="L740" s="12"/>
      <x:c r="M740" s="12"/>
      <x:c r="N740" s="12"/>
      <x:c r="O740" s="12"/>
    </x:row>
    <x:row r="741" ht="24" customHeight="1">
      <x:c r="A741" s="13" t="str">
        <x:v>I04</x:v>
      </x:c>
      <x:c r="B741" s="13" t="str">
        <x:v>QHL</x:v>
      </x:c>
      <x:c r="C741" s="13" t="str">
        <x:v>M85005</x:v>
      </x:c>
      <x:c r="D741" s="13" t="n">
        <x:v>95</x:v>
      </x:c>
      <x:c r="E741" s="30" t="n">
        <x:v>64.2</x:v>
      </x:c>
      <x:c r="F741" s="13" t="str">
        <x:v>I04 Table_1!P701/U701</x:v>
      </x:c>
      <x:c r="G741" s="13" t="str">
        <x:v>是</x:v>
      </x:c>
      <x:c r="H741" s="12"/>
      <x:c r="I741" s="12"/>
      <x:c r="J741" s="12"/>
      <x:c r="K741" s="12"/>
      <x:c r="L741" s="12"/>
      <x:c r="M741" s="12"/>
      <x:c r="N741" s="12"/>
      <x:c r="O741" s="12"/>
    </x:row>
    <x:row r="742" ht="24" customHeight="1">
      <x:c r="A742" s="13" t="str">
        <x:v>I04</x:v>
      </x:c>
      <x:c r="B742" s="13" t="str">
        <x:v>QHL</x:v>
      </x:c>
      <x:c r="C742" s="13" t="str">
        <x:v>M85006</x:v>
      </x:c>
      <x:c r="D742" s="13" t="n">
        <x:v>148</x:v>
      </x:c>
      <x:c r="E742" s="30" t="n">
        <x:v>74.3</x:v>
      </x:c>
      <x:c r="F742" s="13" t="str">
        <x:v>I04 Table_1!P702/U702</x:v>
      </x:c>
      <x:c r="G742" s="13" t="str">
        <x:v>是</x:v>
      </x:c>
      <x:c r="H742" s="12"/>
      <x:c r="I742" s="12"/>
      <x:c r="J742" s="12"/>
      <x:c r="K742" s="12"/>
      <x:c r="L742" s="12"/>
      <x:c r="M742" s="12"/>
      <x:c r="N742" s="12"/>
      <x:c r="O742" s="12"/>
    </x:row>
    <x:row r="743" ht="24" customHeight="1">
      <x:c r="A743" s="13" t="str">
        <x:v>I04</x:v>
      </x:c>
      <x:c r="B743" s="13" t="str">
        <x:v>QHL</x:v>
      </x:c>
      <x:c r="C743" s="13" t="str">
        <x:v>M85007</x:v>
      </x:c>
      <x:c r="D743" s="13" t="n">
        <x:v>197</x:v>
      </x:c>
      <x:c r="E743" s="30" t="n">
        <x:v>84.8</x:v>
      </x:c>
      <x:c r="F743" s="13" t="str">
        <x:v>I04 Table_1!P703/U703</x:v>
      </x:c>
      <x:c r="G743" s="13" t="str">
        <x:v>是</x:v>
      </x:c>
      <x:c r="H743" s="12"/>
      <x:c r="I743" s="12"/>
      <x:c r="J743" s="12"/>
      <x:c r="K743" s="12"/>
      <x:c r="L743" s="12"/>
      <x:c r="M743" s="12"/>
      <x:c r="N743" s="12"/>
      <x:c r="O743" s="12"/>
    </x:row>
    <x:row r="744" ht="24" customHeight="1">
      <x:c r="A744" s="13" t="str">
        <x:v>I04</x:v>
      </x:c>
      <x:c r="B744" s="13" t="str">
        <x:v>QHL</x:v>
      </x:c>
      <x:c r="C744" s="13" t="str">
        <x:v>M85009</x:v>
      </x:c>
      <x:c r="D744" s="13" t="n">
        <x:v>86</x:v>
      </x:c>
      <x:c r="E744" s="30" t="n">
        <x:v>81.4</x:v>
      </x:c>
      <x:c r="F744" s="13" t="str">
        <x:v>I04 Table_1!P704/U704</x:v>
      </x:c>
      <x:c r="G744" s="13" t="str">
        <x:v>否</x:v>
      </x:c>
      <x:c r="H744" s="12"/>
      <x:c r="I744" s="12"/>
      <x:c r="J744" s="12"/>
      <x:c r="K744" s="12"/>
      <x:c r="L744" s="12"/>
      <x:c r="M744" s="12"/>
      <x:c r="N744" s="12"/>
      <x:c r="O744" s="12"/>
    </x:row>
    <x:row r="745" ht="24" customHeight="1">
      <x:c r="A745" s="13" t="str">
        <x:v>I04</x:v>
      </x:c>
      <x:c r="B745" s="13" t="str">
        <x:v>QHL</x:v>
      </x:c>
      <x:c r="C745" s="13" t="str">
        <x:v>M85011</x:v>
      </x:c>
      <x:c r="D745" s="13" t="n">
        <x:v>86</x:v>
      </x:c>
      <x:c r="E745" s="30" t="n">
        <x:v>62.8</x:v>
      </x:c>
      <x:c r="F745" s="13" t="str">
        <x:v>I04 Table_1!P705/U705</x:v>
      </x:c>
      <x:c r="G745" s="13" t="str">
        <x:v>是</x:v>
      </x:c>
      <x:c r="H745" s="12"/>
      <x:c r="I745" s="12"/>
      <x:c r="J745" s="12"/>
      <x:c r="K745" s="12"/>
      <x:c r="L745" s="12"/>
      <x:c r="M745" s="12"/>
      <x:c r="N745" s="12"/>
      <x:c r="O745" s="12"/>
    </x:row>
    <x:row r="746" ht="24" customHeight="1">
      <x:c r="A746" s="13" t="str">
        <x:v>I04</x:v>
      </x:c>
      <x:c r="B746" s="13" t="str">
        <x:v>QHL</x:v>
      </x:c>
      <x:c r="C746" s="13" t="str">
        <x:v>M85013</x:v>
      </x:c>
      <x:c r="D746" s="13" t="n">
        <x:v>44</x:v>
      </x:c>
      <x:c r="E746" s="30" t="n">
        <x:v>84.1</x:v>
      </x:c>
      <x:c r="F746" s="13" t="str">
        <x:v>I04 Table_1!P706/U706</x:v>
      </x:c>
      <x:c r="G746" s="13" t="str">
        <x:v>是</x:v>
      </x:c>
      <x:c r="H746" s="12"/>
      <x:c r="I746" s="12"/>
      <x:c r="J746" s="12"/>
      <x:c r="K746" s="12"/>
      <x:c r="L746" s="12"/>
      <x:c r="M746" s="12"/>
      <x:c r="N746" s="12"/>
      <x:c r="O746" s="12"/>
    </x:row>
    <x:row r="747" ht="24" customHeight="1">
      <x:c r="A747" s="13" t="str">
        <x:v>I04</x:v>
      </x:c>
      <x:c r="B747" s="13" t="str">
        <x:v>QHL</x:v>
      </x:c>
      <x:c r="C747" s="13" t="str">
        <x:v>M85014</x:v>
      </x:c>
      <x:c r="D747" s="13" t="n">
        <x:v>47</x:v>
      </x:c>
      <x:c r="E747" s="30" t="n">
        <x:v>87.2</x:v>
      </x:c>
      <x:c r="F747" s="13" t="str">
        <x:v>I04 Table_1!P707/U707</x:v>
      </x:c>
      <x:c r="G747" s="13" t="str">
        <x:v>是</x:v>
      </x:c>
      <x:c r="H747" s="12"/>
      <x:c r="I747" s="12"/>
      <x:c r="J747" s="12"/>
      <x:c r="K747" s="12"/>
      <x:c r="L747" s="12"/>
      <x:c r="M747" s="12"/>
      <x:c r="N747" s="12"/>
      <x:c r="O747" s="12"/>
    </x:row>
    <x:row r="748" ht="24" customHeight="1">
      <x:c r="A748" s="13" t="str">
        <x:v>I04</x:v>
      </x:c>
      <x:c r="B748" s="13" t="str">
        <x:v>QHL</x:v>
      </x:c>
      <x:c r="C748" s="13" t="str">
        <x:v>M85016</x:v>
      </x:c>
      <x:c r="D748" s="13" t="n">
        <x:v>66</x:v>
      </x:c>
      <x:c r="E748" s="30" t="n">
        <x:v>71.2</x:v>
      </x:c>
      <x:c r="F748" s="13" t="str">
        <x:v>I04 Table_1!P708/U708</x:v>
      </x:c>
      <x:c r="G748" s="13" t="str">
        <x:v>是</x:v>
      </x:c>
      <x:c r="H748" s="12"/>
      <x:c r="I748" s="12"/>
      <x:c r="J748" s="12"/>
      <x:c r="K748" s="12"/>
      <x:c r="L748" s="12"/>
      <x:c r="M748" s="12"/>
      <x:c r="N748" s="12"/>
      <x:c r="O748" s="12"/>
    </x:row>
    <x:row r="749" ht="24" customHeight="1">
      <x:c r="A749" s="13" t="str">
        <x:v>I04</x:v>
      </x:c>
      <x:c r="B749" s="13" t="str">
        <x:v>QHL</x:v>
      </x:c>
      <x:c r="C749" s="13" t="str">
        <x:v>M85018</x:v>
      </x:c>
      <x:c r="D749" s="13" t="n">
        <x:v>125</x:v>
      </x:c>
      <x:c r="E749" s="30" t="n">
        <x:v>74.4</x:v>
      </x:c>
      <x:c r="F749" s="13" t="str">
        <x:v>I04 Table_1!P709/U709</x:v>
      </x:c>
      <x:c r="G749" s="13" t="str">
        <x:v>是</x:v>
      </x:c>
      <x:c r="H749" s="12"/>
      <x:c r="I749" s="12"/>
      <x:c r="J749" s="12"/>
      <x:c r="K749" s="12"/>
      <x:c r="L749" s="12"/>
      <x:c r="M749" s="12"/>
      <x:c r="N749" s="12"/>
      <x:c r="O749" s="12"/>
    </x:row>
    <x:row r="750" ht="24" customHeight="1">
      <x:c r="A750" s="13" t="str">
        <x:v>I04</x:v>
      </x:c>
      <x:c r="B750" s="13" t="str">
        <x:v>QHL</x:v>
      </x:c>
      <x:c r="C750" s="13" t="str">
        <x:v>M85019</x:v>
      </x:c>
      <x:c r="D750" s="13" t="n">
        <x:v>237</x:v>
      </x:c>
      <x:c r="E750" s="30" t="n">
        <x:v>79.3</x:v>
      </x:c>
      <x:c r="F750" s="13" t="str">
        <x:v>I04 Table_1!P710/U710</x:v>
      </x:c>
      <x:c r="G750" s="13" t="str">
        <x:v>否</x:v>
      </x:c>
      <x:c r="H750" s="12"/>
      <x:c r="I750" s="12"/>
      <x:c r="J750" s="12"/>
      <x:c r="K750" s="12"/>
      <x:c r="L750" s="12"/>
      <x:c r="M750" s="12"/>
      <x:c r="N750" s="12"/>
      <x:c r="O750" s="12"/>
    </x:row>
    <x:row r="751" ht="24" customHeight="1">
      <x:c r="A751" s="13" t="str">
        <x:v>I04</x:v>
      </x:c>
      <x:c r="B751" s="13" t="str">
        <x:v>QHL</x:v>
      </x:c>
      <x:c r="C751" s="13" t="str">
        <x:v>M85020</x:v>
      </x:c>
      <x:c r="D751" s="13" t="n">
        <x:v>291</x:v>
      </x:c>
      <x:c r="E751" s="30" t="n">
        <x:v>63.9</x:v>
      </x:c>
      <x:c r="F751" s="13" t="str">
        <x:v>I04 Table_1!P711/U711</x:v>
      </x:c>
      <x:c r="G751" s="13" t="str">
        <x:v>否</x:v>
      </x:c>
      <x:c r="H751" s="12"/>
      <x:c r="I751" s="12"/>
      <x:c r="J751" s="12"/>
      <x:c r="K751" s="12"/>
      <x:c r="L751" s="12"/>
      <x:c r="M751" s="12"/>
      <x:c r="N751" s="12"/>
      <x:c r="O751" s="12"/>
    </x:row>
    <x:row r="752" ht="24" customHeight="1">
      <x:c r="A752" s="13" t="str">
        <x:v>I04</x:v>
      </x:c>
      <x:c r="B752" s="13" t="str">
        <x:v>QHL</x:v>
      </x:c>
      <x:c r="C752" s="13" t="str">
        <x:v>M85021</x:v>
      </x:c>
      <x:c r="D752" s="13" t="n">
        <x:v>34</x:v>
      </x:c>
      <x:c r="E752" s="30" t="n">
        <x:v>67.6</x:v>
      </x:c>
      <x:c r="F752" s="13" t="str">
        <x:v>I04 Table_1!P712/U712</x:v>
      </x:c>
      <x:c r="G752" s="13" t="str">
        <x:v>是</x:v>
      </x:c>
      <x:c r="H752" s="12"/>
      <x:c r="I752" s="12"/>
      <x:c r="J752" s="12"/>
      <x:c r="K752" s="12"/>
      <x:c r="L752" s="12"/>
      <x:c r="M752" s="12"/>
      <x:c r="N752" s="12"/>
      <x:c r="O752" s="12"/>
    </x:row>
    <x:row r="753" ht="24" customHeight="1">
      <x:c r="A753" s="13" t="str">
        <x:v>I04</x:v>
      </x:c>
      <x:c r="B753" s="13" t="str">
        <x:v>QHL</x:v>
      </x:c>
      <x:c r="C753" s="13" t="str">
        <x:v>M85023</x:v>
      </x:c>
      <x:c r="D753" s="13" t="n">
        <x:v>112</x:v>
      </x:c>
      <x:c r="E753" s="30" t="n">
        <x:v>64.3</x:v>
      </x:c>
      <x:c r="F753" s="13" t="str">
        <x:v>I04 Table_1!P713/U713</x:v>
      </x:c>
      <x:c r="G753" s="13" t="str">
        <x:v>是</x:v>
      </x:c>
      <x:c r="H753" s="12"/>
      <x:c r="I753" s="12"/>
      <x:c r="J753" s="12"/>
      <x:c r="K753" s="12"/>
      <x:c r="L753" s="12"/>
      <x:c r="M753" s="12"/>
      <x:c r="N753" s="12"/>
      <x:c r="O753" s="12"/>
    </x:row>
    <x:row r="754" ht="24" customHeight="1">
      <x:c r="A754" s="13" t="str">
        <x:v>I04</x:v>
      </x:c>
      <x:c r="B754" s="13" t="str">
        <x:v>QHL</x:v>
      </x:c>
      <x:c r="C754" s="13" t="str">
        <x:v>M85024</x:v>
      </x:c>
      <x:c r="D754" s="13" t="n">
        <x:v>97</x:v>
      </x:c>
      <x:c r="E754" s="30" t="n">
        <x:v>72.2</x:v>
      </x:c>
      <x:c r="F754" s="13" t="str">
        <x:v>I04 Table_1!P714/U714</x:v>
      </x:c>
      <x:c r="G754" s="13" t="str">
        <x:v>是</x:v>
      </x:c>
      <x:c r="H754" s="12"/>
      <x:c r="I754" s="12"/>
      <x:c r="J754" s="12"/>
      <x:c r="K754" s="12"/>
      <x:c r="L754" s="12"/>
      <x:c r="M754" s="12"/>
      <x:c r="N754" s="12"/>
      <x:c r="O754" s="12"/>
    </x:row>
    <x:row r="755" ht="24" customHeight="1">
      <x:c r="A755" s="13" t="str">
        <x:v>I04</x:v>
      </x:c>
      <x:c r="B755" s="13" t="str">
        <x:v>QHL</x:v>
      </x:c>
      <x:c r="C755" s="13" t="str">
        <x:v>M85025</x:v>
      </x:c>
      <x:c r="D755" s="13" t="n">
        <x:v>128</x:v>
      </x:c>
      <x:c r="E755" s="30" t="n">
        <x:v>75</x:v>
      </x:c>
      <x:c r="F755" s="13" t="str">
        <x:v>I04 Table_1!P715/U715</x:v>
      </x:c>
      <x:c r="G755" s="13" t="str">
        <x:v>是</x:v>
      </x:c>
      <x:c r="H755" s="12"/>
      <x:c r="I755" s="12"/>
      <x:c r="J755" s="12"/>
      <x:c r="K755" s="12"/>
      <x:c r="L755" s="12"/>
      <x:c r="M755" s="12"/>
      <x:c r="N755" s="12"/>
      <x:c r="O755" s="12"/>
    </x:row>
    <x:row r="756" ht="24" customHeight="1">
      <x:c r="A756" s="13" t="str">
        <x:v>I04</x:v>
      </x:c>
      <x:c r="B756" s="13" t="str">
        <x:v>QHL</x:v>
      </x:c>
      <x:c r="C756" s="13" t="str">
        <x:v>M85026</x:v>
      </x:c>
      <x:c r="D756" s="13" t="n">
        <x:v>149</x:v>
      </x:c>
      <x:c r="E756" s="30" t="n">
        <x:v>72.5</x:v>
      </x:c>
      <x:c r="F756" s="13" t="str">
        <x:v>I04 Table_1!P716/U716</x:v>
      </x:c>
      <x:c r="G756" s="13" t="str">
        <x:v>是</x:v>
      </x:c>
      <x:c r="H756" s="12"/>
      <x:c r="I756" s="12"/>
      <x:c r="J756" s="12"/>
      <x:c r="K756" s="12"/>
      <x:c r="L756" s="12"/>
      <x:c r="M756" s="12"/>
      <x:c r="N756" s="12"/>
      <x:c r="O756" s="12"/>
    </x:row>
    <x:row r="757" ht="24" customHeight="1">
      <x:c r="A757" s="13" t="str">
        <x:v>I04</x:v>
      </x:c>
      <x:c r="B757" s="13" t="str">
        <x:v>QHL</x:v>
      </x:c>
      <x:c r="C757" s="13" t="str">
        <x:v>M85027</x:v>
      </x:c>
      <x:c r="D757" s="13" t="n">
        <x:v>96</x:v>
      </x:c>
      <x:c r="E757" s="30" t="n">
        <x:v>79.2</x:v>
      </x:c>
      <x:c r="F757" s="13" t="str">
        <x:v>I04 Table_1!P717/U717</x:v>
      </x:c>
      <x:c r="G757" s="13" t="str">
        <x:v>是</x:v>
      </x:c>
      <x:c r="H757" s="12"/>
      <x:c r="I757" s="12"/>
      <x:c r="J757" s="12"/>
      <x:c r="K757" s="12"/>
      <x:c r="L757" s="12"/>
      <x:c r="M757" s="12"/>
      <x:c r="N757" s="12"/>
      <x:c r="O757" s="12"/>
    </x:row>
    <x:row r="758" ht="24" customHeight="1">
      <x:c r="A758" s="13" t="str">
        <x:v>I04</x:v>
      </x:c>
      <x:c r="B758" s="13" t="str">
        <x:v>QHL</x:v>
      </x:c>
      <x:c r="C758" s="13" t="str">
        <x:v>M85028</x:v>
      </x:c>
      <x:c r="D758" s="13" t="n">
        <x:v>298</x:v>
      </x:c>
      <x:c r="E758" s="30" t="n">
        <x:v>65.8</x:v>
      </x:c>
      <x:c r="F758" s="13" t="str">
        <x:v>I04 Table_1!P718/U718</x:v>
      </x:c>
      <x:c r="G758" s="13" t="str">
        <x:v>是</x:v>
      </x:c>
      <x:c r="H758" s="12"/>
      <x:c r="I758" s="12"/>
      <x:c r="J758" s="12"/>
      <x:c r="K758" s="12"/>
      <x:c r="L758" s="12"/>
      <x:c r="M758" s="12"/>
      <x:c r="N758" s="12"/>
      <x:c r="O758" s="12"/>
    </x:row>
    <x:row r="759" ht="24" customHeight="1">
      <x:c r="A759" s="13" t="str">
        <x:v>I04</x:v>
      </x:c>
      <x:c r="B759" s="13" t="str">
        <x:v>QHL</x:v>
      </x:c>
      <x:c r="C759" s="13" t="str">
        <x:v>M85029</x:v>
      </x:c>
      <x:c r="D759" s="13" t="n">
        <x:v>179</x:v>
      </x:c>
      <x:c r="E759" s="30" t="n">
        <x:v>86.6</x:v>
      </x:c>
      <x:c r="F759" s="13" t="str">
        <x:v>I04 Table_1!P719/U719</x:v>
      </x:c>
      <x:c r="G759" s="13" t="str">
        <x:v>是</x:v>
      </x:c>
      <x:c r="H759" s="12"/>
      <x:c r="I759" s="12"/>
      <x:c r="J759" s="12"/>
      <x:c r="K759" s="12"/>
      <x:c r="L759" s="12"/>
      <x:c r="M759" s="12"/>
      <x:c r="N759" s="12"/>
      <x:c r="O759" s="12"/>
    </x:row>
    <x:row r="760" ht="24" customHeight="1">
      <x:c r="A760" s="13" t="str">
        <x:v>I04</x:v>
      </x:c>
      <x:c r="B760" s="13" t="str">
        <x:v>QHL</x:v>
      </x:c>
      <x:c r="C760" s="13" t="str">
        <x:v>M85030</x:v>
      </x:c>
      <x:c r="D760" s="13" t="n">
        <x:v>217</x:v>
      </x:c>
      <x:c r="E760" s="30" t="n">
        <x:v>83.4</x:v>
      </x:c>
      <x:c r="F760" s="13" t="str">
        <x:v>I04 Table_1!P720/U720</x:v>
      </x:c>
      <x:c r="G760" s="13" t="str">
        <x:v>是</x:v>
      </x:c>
      <x:c r="H760" s="12"/>
      <x:c r="I760" s="12"/>
      <x:c r="J760" s="12"/>
      <x:c r="K760" s="12"/>
      <x:c r="L760" s="12"/>
      <x:c r="M760" s="12"/>
      <x:c r="N760" s="12"/>
      <x:c r="O760" s="12"/>
    </x:row>
    <x:row r="761" ht="24" customHeight="1">
      <x:c r="A761" s="13" t="str">
        <x:v>I04</x:v>
      </x:c>
      <x:c r="B761" s="13" t="str">
        <x:v>QHL</x:v>
      </x:c>
      <x:c r="C761" s="13" t="str">
        <x:v>M85031</x:v>
      </x:c>
      <x:c r="D761" s="13" t="n">
        <x:v>148</x:v>
      </x:c>
      <x:c r="E761" s="30" t="n">
        <x:v>79.1</x:v>
      </x:c>
      <x:c r="F761" s="13" t="str">
        <x:v>I04 Table_1!P721/U721</x:v>
      </x:c>
      <x:c r="G761" s="13" t="str">
        <x:v>是</x:v>
      </x:c>
      <x:c r="H761" s="12"/>
      <x:c r="I761" s="12"/>
      <x:c r="J761" s="12"/>
      <x:c r="K761" s="12"/>
      <x:c r="L761" s="12"/>
      <x:c r="M761" s="12"/>
      <x:c r="N761" s="12"/>
      <x:c r="O761" s="12"/>
    </x:row>
    <x:row r="762" ht="24" customHeight="1">
      <x:c r="A762" s="13" t="str">
        <x:v>I04</x:v>
      </x:c>
      <x:c r="B762" s="13" t="str">
        <x:v>QHL</x:v>
      </x:c>
      <x:c r="C762" s="13" t="str">
        <x:v>M85033</x:v>
      </x:c>
      <x:c r="D762" s="13" t="n">
        <x:v>202</x:v>
      </x:c>
      <x:c r="E762" s="30" t="n">
        <x:v>89.6</x:v>
      </x:c>
      <x:c r="F762" s="13" t="str">
        <x:v>I04 Table_1!P722/U722</x:v>
      </x:c>
      <x:c r="G762" s="13" t="str">
        <x:v>是</x:v>
      </x:c>
      <x:c r="H762" s="12"/>
      <x:c r="I762" s="12"/>
      <x:c r="J762" s="12"/>
      <x:c r="K762" s="12"/>
      <x:c r="L762" s="12"/>
      <x:c r="M762" s="12"/>
      <x:c r="N762" s="12"/>
      <x:c r="O762" s="12"/>
    </x:row>
    <x:row r="763" ht="24" customHeight="1">
      <x:c r="A763" s="13" t="str">
        <x:v>I04</x:v>
      </x:c>
      <x:c r="B763" s="13" t="str">
        <x:v>QHL</x:v>
      </x:c>
      <x:c r="C763" s="13" t="str">
        <x:v>M85034</x:v>
      </x:c>
      <x:c r="D763" s="13" t="n">
        <x:v>279</x:v>
      </x:c>
      <x:c r="E763" s="30" t="n">
        <x:v>62</x:v>
      </x:c>
      <x:c r="F763" s="13" t="str">
        <x:v>I04 Table_1!P723/U723</x:v>
      </x:c>
      <x:c r="G763" s="13" t="str">
        <x:v>是</x:v>
      </x:c>
      <x:c r="H763" s="12"/>
      <x:c r="I763" s="12"/>
      <x:c r="J763" s="12"/>
      <x:c r="K763" s="12"/>
      <x:c r="L763" s="12"/>
      <x:c r="M763" s="12"/>
      <x:c r="N763" s="12"/>
      <x:c r="O763" s="12"/>
    </x:row>
    <x:row r="764" ht="24" customHeight="1">
      <x:c r="A764" s="13" t="str">
        <x:v>I04</x:v>
      </x:c>
      <x:c r="B764" s="13" t="str">
        <x:v>QHL</x:v>
      </x:c>
      <x:c r="C764" s="13" t="str">
        <x:v>M85035</x:v>
      </x:c>
      <x:c r="D764" s="13" t="n">
        <x:v>83</x:v>
      </x:c>
      <x:c r="E764" s="30" t="n">
        <x:v>68.7</x:v>
      </x:c>
      <x:c r="F764" s="13" t="str">
        <x:v>I04 Table_1!P724/U724</x:v>
      </x:c>
      <x:c r="G764" s="13" t="str">
        <x:v>是</x:v>
      </x:c>
      <x:c r="H764" s="12"/>
      <x:c r="I764" s="12"/>
      <x:c r="J764" s="12"/>
      <x:c r="K764" s="12"/>
      <x:c r="L764" s="12"/>
      <x:c r="M764" s="12"/>
      <x:c r="N764" s="12"/>
      <x:c r="O764" s="12"/>
    </x:row>
    <x:row r="765" ht="24" customHeight="1">
      <x:c r="A765" s="13" t="str">
        <x:v>I04</x:v>
      </x:c>
      <x:c r="B765" s="13" t="str">
        <x:v>QHL</x:v>
      </x:c>
      <x:c r="C765" s="13" t="str">
        <x:v>M85037</x:v>
      </x:c>
      <x:c r="D765" s="13" t="n">
        <x:v>111</x:v>
      </x:c>
      <x:c r="E765" s="30" t="n">
        <x:v>87.4</x:v>
      </x:c>
      <x:c r="F765" s="13" t="str">
        <x:v>I04 Table_1!P725/U725</x:v>
      </x:c>
      <x:c r="G765" s="13" t="str">
        <x:v>是</x:v>
      </x:c>
      <x:c r="H765" s="12"/>
      <x:c r="I765" s="12"/>
      <x:c r="J765" s="12"/>
      <x:c r="K765" s="12"/>
      <x:c r="L765" s="12"/>
      <x:c r="M765" s="12"/>
      <x:c r="N765" s="12"/>
      <x:c r="O765" s="12"/>
    </x:row>
    <x:row r="766" ht="24" customHeight="1">
      <x:c r="A766" s="13" t="str">
        <x:v>I04</x:v>
      </x:c>
      <x:c r="B766" s="13" t="str">
        <x:v>QHL</x:v>
      </x:c>
      <x:c r="C766" s="13" t="str">
        <x:v>M85041</x:v>
      </x:c>
      <x:c r="D766" s="13" t="n">
        <x:v>69</x:v>
      </x:c>
      <x:c r="E766" s="30" t="n">
        <x:v>59.4</x:v>
      </x:c>
      <x:c r="F766" s="13" t="str">
        <x:v>I04 Table_1!P726/U726</x:v>
      </x:c>
      <x:c r="G766" s="13" t="str">
        <x:v>是</x:v>
      </x:c>
      <x:c r="H766" s="12"/>
      <x:c r="I766" s="12"/>
      <x:c r="J766" s="12"/>
      <x:c r="K766" s="12"/>
      <x:c r="L766" s="12"/>
      <x:c r="M766" s="12"/>
      <x:c r="N766" s="12"/>
      <x:c r="O766" s="12"/>
    </x:row>
    <x:row r="767" ht="24" customHeight="1">
      <x:c r="A767" s="13" t="str">
        <x:v>I04</x:v>
      </x:c>
      <x:c r="B767" s="13" t="str">
        <x:v>QHL</x:v>
      </x:c>
      <x:c r="C767" s="13" t="str">
        <x:v>M85042</x:v>
      </x:c>
      <x:c r="D767" s="13" t="n">
        <x:v>60</x:v>
      </x:c>
      <x:c r="E767" s="30" t="n">
        <x:v>86.7</x:v>
      </x:c>
      <x:c r="F767" s="13" t="str">
        <x:v>I04 Table_1!P727/U727</x:v>
      </x:c>
      <x:c r="G767" s="13" t="str">
        <x:v>是</x:v>
      </x:c>
      <x:c r="H767" s="12"/>
      <x:c r="I767" s="12"/>
      <x:c r="J767" s="12"/>
      <x:c r="K767" s="12"/>
      <x:c r="L767" s="12"/>
      <x:c r="M767" s="12"/>
      <x:c r="N767" s="12"/>
      <x:c r="O767" s="12"/>
    </x:row>
    <x:row r="768" ht="24" customHeight="1">
      <x:c r="A768" s="13" t="str">
        <x:v>I04</x:v>
      </x:c>
      <x:c r="B768" s="13" t="str">
        <x:v>QHL</x:v>
      </x:c>
      <x:c r="C768" s="13" t="str">
        <x:v>M85043</x:v>
      </x:c>
      <x:c r="D768" s="13" t="n">
        <x:v>59</x:v>
      </x:c>
      <x:c r="E768" s="30" t="n">
        <x:v>66.1</x:v>
      </x:c>
      <x:c r="F768" s="13" t="str">
        <x:v>I04 Table_1!P728/U728</x:v>
      </x:c>
      <x:c r="G768" s="13" t="str">
        <x:v>是</x:v>
      </x:c>
      <x:c r="H768" s="12"/>
      <x:c r="I768" s="12"/>
      <x:c r="J768" s="12"/>
      <x:c r="K768" s="12"/>
      <x:c r="L768" s="12"/>
      <x:c r="M768" s="12"/>
      <x:c r="N768" s="12"/>
      <x:c r="O768" s="12"/>
    </x:row>
    <x:row r="769" ht="24" customHeight="1">
      <x:c r="A769" s="13" t="str">
        <x:v>I04</x:v>
      </x:c>
      <x:c r="B769" s="13" t="str">
        <x:v>QHL</x:v>
      </x:c>
      <x:c r="C769" s="13" t="str">
        <x:v>M85046</x:v>
      </x:c>
      <x:c r="D769" s="13" t="n">
        <x:v>582</x:v>
      </x:c>
      <x:c r="E769" s="30" t="n">
        <x:v>89.5</x:v>
      </x:c>
      <x:c r="F769" s="13" t="str">
        <x:v>I04 Table_1!P729/U729</x:v>
      </x:c>
      <x:c r="G769" s="13" t="str">
        <x:v>是</x:v>
      </x:c>
      <x:c r="H769" s="12"/>
      <x:c r="I769" s="12"/>
      <x:c r="J769" s="12"/>
      <x:c r="K769" s="12"/>
      <x:c r="L769" s="12"/>
      <x:c r="M769" s="12"/>
      <x:c r="N769" s="12"/>
      <x:c r="O769" s="12"/>
    </x:row>
    <x:row r="770" ht="24" customHeight="1">
      <x:c r="A770" s="13" t="str">
        <x:v>I04</x:v>
      </x:c>
      <x:c r="B770" s="13" t="str">
        <x:v>QHL</x:v>
      </x:c>
      <x:c r="C770" s="13" t="str">
        <x:v>M85047</x:v>
      </x:c>
      <x:c r="D770" s="13" t="n">
        <x:v>69</x:v>
      </x:c>
      <x:c r="E770" s="30" t="n">
        <x:v>75.4</x:v>
      </x:c>
      <x:c r="F770" s="13" t="str">
        <x:v>I04 Table_1!P730/U730</x:v>
      </x:c>
      <x:c r="G770" s="13" t="str">
        <x:v>是</x:v>
      </x:c>
      <x:c r="H770" s="12"/>
      <x:c r="I770" s="12"/>
      <x:c r="J770" s="12"/>
      <x:c r="K770" s="12"/>
      <x:c r="L770" s="12"/>
      <x:c r="M770" s="12"/>
      <x:c r="N770" s="12"/>
      <x:c r="O770" s="12"/>
    </x:row>
    <x:row r="771" ht="24" customHeight="1">
      <x:c r="A771" s="13" t="str">
        <x:v>I04</x:v>
      </x:c>
      <x:c r="B771" s="13" t="str">
        <x:v>QHL</x:v>
      </x:c>
      <x:c r="C771" s="13" t="str">
        <x:v>M85048</x:v>
      </x:c>
      <x:c r="D771" s="13" t="n">
        <x:v>127</x:v>
      </x:c>
      <x:c r="E771" s="30" t="n">
        <x:v>74</x:v>
      </x:c>
      <x:c r="F771" s="13" t="str">
        <x:v>I04 Table_1!P731/U731</x:v>
      </x:c>
      <x:c r="G771" s="13" t="str">
        <x:v>是</x:v>
      </x:c>
      <x:c r="H771" s="12"/>
      <x:c r="I771" s="12"/>
      <x:c r="J771" s="12"/>
      <x:c r="K771" s="12"/>
      <x:c r="L771" s="12"/>
      <x:c r="M771" s="12"/>
      <x:c r="N771" s="12"/>
      <x:c r="O771" s="12"/>
    </x:row>
    <x:row r="772" ht="24" customHeight="1">
      <x:c r="A772" s="13" t="str">
        <x:v>I04</x:v>
      </x:c>
      <x:c r="B772" s="13" t="str">
        <x:v>QHL</x:v>
      </x:c>
      <x:c r="C772" s="13" t="str">
        <x:v>M85051</x:v>
      </x:c>
      <x:c r="D772" s="13" t="n">
        <x:v>98</x:v>
      </x:c>
      <x:c r="E772" s="30" t="n">
        <x:v>70.4</x:v>
      </x:c>
      <x:c r="F772" s="13" t="str">
        <x:v>I04 Table_1!P732/U732</x:v>
      </x:c>
      <x:c r="G772" s="13" t="str">
        <x:v>是</x:v>
      </x:c>
      <x:c r="H772" s="12"/>
      <x:c r="I772" s="12"/>
      <x:c r="J772" s="12"/>
      <x:c r="K772" s="12"/>
      <x:c r="L772" s="12"/>
      <x:c r="M772" s="12"/>
      <x:c r="N772" s="12"/>
      <x:c r="O772" s="12"/>
    </x:row>
    <x:row r="773" ht="24" customHeight="1">
      <x:c r="A773" s="13" t="str">
        <x:v>I04</x:v>
      </x:c>
      <x:c r="B773" s="13" t="str">
        <x:v>QHL</x:v>
      </x:c>
      <x:c r="C773" s="13" t="str">
        <x:v>M85053</x:v>
      </x:c>
      <x:c r="D773" s="13" t="n">
        <x:v>106</x:v>
      </x:c>
      <x:c r="E773" s="30" t="n">
        <x:v>64.2</x:v>
      </x:c>
      <x:c r="F773" s="13" t="str">
        <x:v>I04 Table_1!P733/U733</x:v>
      </x:c>
      <x:c r="G773" s="13" t="str">
        <x:v>是</x:v>
      </x:c>
      <x:c r="H773" s="12"/>
      <x:c r="I773" s="12"/>
      <x:c r="J773" s="12"/>
      <x:c r="K773" s="12"/>
      <x:c r="L773" s="12"/>
      <x:c r="M773" s="12"/>
      <x:c r="N773" s="12"/>
      <x:c r="O773" s="12"/>
    </x:row>
    <x:row r="774" ht="24" customHeight="1">
      <x:c r="A774" s="13" t="str">
        <x:v>I04</x:v>
      </x:c>
      <x:c r="B774" s="13" t="str">
        <x:v>QHL</x:v>
      </x:c>
      <x:c r="C774" s="13" t="str">
        <x:v>M85055</x:v>
      </x:c>
      <x:c r="D774" s="13" t="n">
        <x:v>73</x:v>
      </x:c>
      <x:c r="E774" s="30" t="n">
        <x:v>78.1</x:v>
      </x:c>
      <x:c r="F774" s="13" t="str">
        <x:v>I04 Table_1!P734/U734</x:v>
      </x:c>
      <x:c r="G774" s="13" t="str">
        <x:v>是</x:v>
      </x:c>
      <x:c r="H774" s="12"/>
      <x:c r="I774" s="12"/>
      <x:c r="J774" s="12"/>
      <x:c r="K774" s="12"/>
      <x:c r="L774" s="12"/>
      <x:c r="M774" s="12"/>
      <x:c r="N774" s="12"/>
      <x:c r="O774" s="12"/>
    </x:row>
    <x:row r="775" ht="24" customHeight="1">
      <x:c r="A775" s="13" t="str">
        <x:v>I04</x:v>
      </x:c>
      <x:c r="B775" s="13" t="str">
        <x:v>QHL</x:v>
      </x:c>
      <x:c r="C775" s="13" t="str">
        <x:v>M85056</x:v>
      </x:c>
      <x:c r="D775" s="13" t="n">
        <x:v>96</x:v>
      </x:c>
      <x:c r="E775" s="30" t="n">
        <x:v>81.2</x:v>
      </x:c>
      <x:c r="F775" s="13" t="str">
        <x:v>I04 Table_1!P735/U735</x:v>
      </x:c>
      <x:c r="G775" s="13" t="str">
        <x:v>是</x:v>
      </x:c>
      <x:c r="H775" s="12"/>
      <x:c r="I775" s="12"/>
      <x:c r="J775" s="12"/>
      <x:c r="K775" s="12"/>
      <x:c r="L775" s="12"/>
      <x:c r="M775" s="12"/>
      <x:c r="N775" s="12"/>
      <x:c r="O775" s="12"/>
    </x:row>
    <x:row r="776" ht="24" customHeight="1">
      <x:c r="A776" s="13" t="str">
        <x:v>I04</x:v>
      </x:c>
      <x:c r="B776" s="13" t="str">
        <x:v>QHL</x:v>
      </x:c>
      <x:c r="C776" s="13" t="str">
        <x:v>M85058</x:v>
      </x:c>
      <x:c r="D776" s="13" t="n">
        <x:v>162</x:v>
      </x:c>
      <x:c r="E776" s="30" t="n">
        <x:v>75.3</x:v>
      </x:c>
      <x:c r="F776" s="13" t="str">
        <x:v>I04 Table_1!P736/U736</x:v>
      </x:c>
      <x:c r="G776" s="13" t="str">
        <x:v>是</x:v>
      </x:c>
      <x:c r="H776" s="12"/>
      <x:c r="I776" s="12"/>
      <x:c r="J776" s="12"/>
      <x:c r="K776" s="12"/>
      <x:c r="L776" s="12"/>
      <x:c r="M776" s="12"/>
      <x:c r="N776" s="12"/>
      <x:c r="O776" s="12"/>
    </x:row>
    <x:row r="777" ht="24" customHeight="1">
      <x:c r="A777" s="13" t="str">
        <x:v>I04</x:v>
      </x:c>
      <x:c r="B777" s="13" t="str">
        <x:v>QHL</x:v>
      </x:c>
      <x:c r="C777" s="13" t="str">
        <x:v>M85060</x:v>
      </x:c>
      <x:c r="D777" s="13" t="n">
        <x:v>186</x:v>
      </x:c>
      <x:c r="E777" s="30" t="n">
        <x:v>83.3</x:v>
      </x:c>
      <x:c r="F777" s="13" t="str">
        <x:v>I04 Table_1!P737/U737</x:v>
      </x:c>
      <x:c r="G777" s="13" t="str">
        <x:v>是</x:v>
      </x:c>
      <x:c r="H777" s="12"/>
      <x:c r="I777" s="12"/>
      <x:c r="J777" s="12"/>
      <x:c r="K777" s="12"/>
      <x:c r="L777" s="12"/>
      <x:c r="M777" s="12"/>
      <x:c r="N777" s="12"/>
      <x:c r="O777" s="12"/>
    </x:row>
    <x:row r="778" ht="24" customHeight="1">
      <x:c r="A778" s="13" t="str">
        <x:v>I04</x:v>
      </x:c>
      <x:c r="B778" s="13" t="str">
        <x:v>QHL</x:v>
      </x:c>
      <x:c r="C778" s="13" t="str">
        <x:v>M85061</x:v>
      </x:c>
      <x:c r="D778" s="13" t="n">
        <x:v>155</x:v>
      </x:c>
      <x:c r="E778" s="30" t="n">
        <x:v>67.7</x:v>
      </x:c>
      <x:c r="F778" s="13" t="str">
        <x:v>I04 Table_1!P738/U738</x:v>
      </x:c>
      <x:c r="G778" s="13" t="str">
        <x:v>是</x:v>
      </x:c>
      <x:c r="H778" s="12"/>
      <x:c r="I778" s="12"/>
      <x:c r="J778" s="12"/>
      <x:c r="K778" s="12"/>
      <x:c r="L778" s="12"/>
      <x:c r="M778" s="12"/>
      <x:c r="N778" s="12"/>
      <x:c r="O778" s="12"/>
    </x:row>
    <x:row r="779" ht="24" customHeight="1">
      <x:c r="A779" s="13" t="str">
        <x:v>I04</x:v>
      </x:c>
      <x:c r="B779" s="13" t="str">
        <x:v>QHL</x:v>
      </x:c>
      <x:c r="C779" s="13" t="str">
        <x:v>M85062</x:v>
      </x:c>
      <x:c r="D779" s="13" t="n">
        <x:v>69</x:v>
      </x:c>
      <x:c r="E779" s="30" t="n">
        <x:v>69.6</x:v>
      </x:c>
      <x:c r="F779" s="13" t="str">
        <x:v>I04 Table_1!P739/U739</x:v>
      </x:c>
      <x:c r="G779" s="13" t="str">
        <x:v>是</x:v>
      </x:c>
      <x:c r="H779" s="12"/>
      <x:c r="I779" s="12"/>
      <x:c r="J779" s="12"/>
      <x:c r="K779" s="12"/>
      <x:c r="L779" s="12"/>
      <x:c r="M779" s="12"/>
      <x:c r="N779" s="12"/>
      <x:c r="O779" s="12"/>
    </x:row>
    <x:row r="780" ht="24" customHeight="1">
      <x:c r="A780" s="13" t="str">
        <x:v>I04</x:v>
      </x:c>
      <x:c r="B780" s="13" t="str">
        <x:v>QHL</x:v>
      </x:c>
      <x:c r="C780" s="13" t="str">
        <x:v>M85063</x:v>
      </x:c>
      <x:c r="D780" s="13" t="n">
        <x:v>640</x:v>
      </x:c>
      <x:c r="E780" s="30" t="n">
        <x:v>76.9</x:v>
      </x:c>
      <x:c r="F780" s="13" t="str">
        <x:v>I04 Table_1!P740/U740</x:v>
      </x:c>
      <x:c r="G780" s="13" t="str">
        <x:v>是</x:v>
      </x:c>
      <x:c r="H780" s="12"/>
      <x:c r="I780" s="12"/>
      <x:c r="J780" s="12"/>
      <x:c r="K780" s="12"/>
      <x:c r="L780" s="12"/>
      <x:c r="M780" s="12"/>
      <x:c r="N780" s="12"/>
      <x:c r="O780" s="12"/>
    </x:row>
    <x:row r="781" ht="24" customHeight="1">
      <x:c r="A781" s="13" t="str">
        <x:v>I04</x:v>
      </x:c>
      <x:c r="B781" s="13" t="str">
        <x:v>QHL</x:v>
      </x:c>
      <x:c r="C781" s="13" t="str">
        <x:v>M85065</x:v>
      </x:c>
      <x:c r="D781" s="13" t="n">
        <x:v>169</x:v>
      </x:c>
      <x:c r="E781" s="30" t="n">
        <x:v>77.5</x:v>
      </x:c>
      <x:c r="F781" s="13" t="str">
        <x:v>I04 Table_1!P741/U741</x:v>
      </x:c>
      <x:c r="G781" s="13" t="str">
        <x:v>是</x:v>
      </x:c>
      <x:c r="H781" s="12"/>
      <x:c r="I781" s="12"/>
      <x:c r="J781" s="12"/>
      <x:c r="K781" s="12"/>
      <x:c r="L781" s="12"/>
      <x:c r="M781" s="12"/>
      <x:c r="N781" s="12"/>
      <x:c r="O781" s="12"/>
    </x:row>
    <x:row r="782" ht="24" customHeight="1">
      <x:c r="A782" s="13" t="str">
        <x:v>I04</x:v>
      </x:c>
      <x:c r="B782" s="13" t="str">
        <x:v>QHL</x:v>
      </x:c>
      <x:c r="C782" s="13" t="str">
        <x:v>M85066</x:v>
      </x:c>
      <x:c r="D782" s="13" t="n">
        <x:v>104</x:v>
      </x:c>
      <x:c r="E782" s="30" t="n">
        <x:v>81.7</x:v>
      </x:c>
      <x:c r="F782" s="13" t="str">
        <x:v>I04 Table_1!P742/U742</x:v>
      </x:c>
      <x:c r="G782" s="13" t="str">
        <x:v>是</x:v>
      </x:c>
      <x:c r="H782" s="12"/>
      <x:c r="I782" s="12"/>
      <x:c r="J782" s="12"/>
      <x:c r="K782" s="12"/>
      <x:c r="L782" s="12"/>
      <x:c r="M782" s="12"/>
      <x:c r="N782" s="12"/>
      <x:c r="O782" s="12"/>
    </x:row>
    <x:row r="783" ht="24" customHeight="1">
      <x:c r="A783" s="13" t="str">
        <x:v>I04</x:v>
      </x:c>
      <x:c r="B783" s="13" t="str">
        <x:v>QHL</x:v>
      </x:c>
      <x:c r="C783" s="13" t="str">
        <x:v>M85069</x:v>
      </x:c>
      <x:c r="D783" s="13" t="n">
        <x:v>177</x:v>
      </x:c>
      <x:c r="E783" s="30" t="n">
        <x:v>79.1</x:v>
      </x:c>
      <x:c r="F783" s="13" t="str">
        <x:v>I04 Table_1!P743/U743</x:v>
      </x:c>
      <x:c r="G783" s="13" t="str">
        <x:v>否</x:v>
      </x:c>
      <x:c r="H783" s="12"/>
      <x:c r="I783" s="12"/>
      <x:c r="J783" s="12"/>
      <x:c r="K783" s="12"/>
      <x:c r="L783" s="12"/>
      <x:c r="M783" s="12"/>
      <x:c r="N783" s="12"/>
      <x:c r="O783" s="12"/>
    </x:row>
    <x:row r="784" ht="24" customHeight="1">
      <x:c r="A784" s="13" t="str">
        <x:v>I04</x:v>
      </x:c>
      <x:c r="B784" s="13" t="str">
        <x:v>QHL</x:v>
      </x:c>
      <x:c r="C784" s="13" t="str">
        <x:v>M85070</x:v>
      </x:c>
      <x:c r="D784" s="13" t="n">
        <x:v>204</x:v>
      </x:c>
      <x:c r="E784" s="30" t="n">
        <x:v>76.5</x:v>
      </x:c>
      <x:c r="F784" s="13" t="str">
        <x:v>I04 Table_1!P744/U744</x:v>
      </x:c>
      <x:c r="G784" s="13" t="str">
        <x:v>是</x:v>
      </x:c>
      <x:c r="H784" s="12"/>
      <x:c r="I784" s="12"/>
      <x:c r="J784" s="12"/>
      <x:c r="K784" s="12"/>
      <x:c r="L784" s="12"/>
      <x:c r="M784" s="12"/>
      <x:c r="N784" s="12"/>
      <x:c r="O784" s="12"/>
    </x:row>
    <x:row r="785" ht="24" customHeight="1">
      <x:c r="A785" s="13" t="str">
        <x:v>I04</x:v>
      </x:c>
      <x:c r="B785" s="13" t="str">
        <x:v>QHL</x:v>
      </x:c>
      <x:c r="C785" s="13" t="str">
        <x:v>M85071</x:v>
      </x:c>
      <x:c r="D785" s="13" t="n">
        <x:v>66</x:v>
      </x:c>
      <x:c r="E785" s="30" t="n">
        <x:v>83.3</x:v>
      </x:c>
      <x:c r="F785" s="13" t="str">
        <x:v>I04 Table_1!P745/U745</x:v>
      </x:c>
      <x:c r="G785" s="13" t="str">
        <x:v>是</x:v>
      </x:c>
      <x:c r="H785" s="12"/>
      <x:c r="I785" s="12"/>
      <x:c r="J785" s="12"/>
      <x:c r="K785" s="12"/>
      <x:c r="L785" s="12"/>
      <x:c r="M785" s="12"/>
      <x:c r="N785" s="12"/>
      <x:c r="O785" s="12"/>
    </x:row>
    <x:row r="786" ht="24" customHeight="1">
      <x:c r="A786" s="13" t="str">
        <x:v>I04</x:v>
      </x:c>
      <x:c r="B786" s="13" t="str">
        <x:v>QHL</x:v>
      </x:c>
      <x:c r="C786" s="13" t="str">
        <x:v>M85074</x:v>
      </x:c>
      <x:c r="D786" s="13" t="n">
        <x:v>60</x:v>
      </x:c>
      <x:c r="E786" s="30" t="n">
        <x:v>66.7</x:v>
      </x:c>
      <x:c r="F786" s="13" t="str">
        <x:v>I04 Table_1!P746/U746</x:v>
      </x:c>
      <x:c r="G786" s="13" t="str">
        <x:v>是</x:v>
      </x:c>
      <x:c r="H786" s="12"/>
      <x:c r="I786" s="12"/>
      <x:c r="J786" s="12"/>
      <x:c r="K786" s="12"/>
      <x:c r="L786" s="12"/>
      <x:c r="M786" s="12"/>
      <x:c r="N786" s="12"/>
      <x:c r="O786" s="12"/>
    </x:row>
    <x:row r="787" ht="24" customHeight="1">
      <x:c r="A787" s="13" t="str">
        <x:v>I04</x:v>
      </x:c>
      <x:c r="B787" s="13" t="str">
        <x:v>QHL</x:v>
      </x:c>
      <x:c r="C787" s="13" t="str">
        <x:v>M85076</x:v>
      </x:c>
      <x:c r="D787" s="13" t="n">
        <x:v>92</x:v>
      </x:c>
      <x:c r="E787" s="30" t="n">
        <x:v>79.3</x:v>
      </x:c>
      <x:c r="F787" s="13" t="str">
        <x:v>I04 Table_1!P747/U747</x:v>
      </x:c>
      <x:c r="G787" s="13" t="str">
        <x:v>是</x:v>
      </x:c>
      <x:c r="H787" s="12"/>
      <x:c r="I787" s="12"/>
      <x:c r="J787" s="12"/>
      <x:c r="K787" s="12"/>
      <x:c r="L787" s="12"/>
      <x:c r="M787" s="12"/>
      <x:c r="N787" s="12"/>
      <x:c r="O787" s="12"/>
    </x:row>
    <x:row r="788" ht="24" customHeight="1">
      <x:c r="A788" s="13" t="str">
        <x:v>I04</x:v>
      </x:c>
      <x:c r="B788" s="13" t="str">
        <x:v>QHL</x:v>
      </x:c>
      <x:c r="C788" s="13" t="str">
        <x:v>M85077</x:v>
      </x:c>
      <x:c r="D788" s="13" t="n">
        <x:v>92</x:v>
      </x:c>
      <x:c r="E788" s="30" t="n">
        <x:v>88</x:v>
      </x:c>
      <x:c r="F788" s="13" t="str">
        <x:v>I04 Table_1!P748/U748</x:v>
      </x:c>
      <x:c r="G788" s="13" t="str">
        <x:v>是</x:v>
      </x:c>
      <x:c r="H788" s="12"/>
      <x:c r="I788" s="12"/>
      <x:c r="J788" s="12"/>
      <x:c r="K788" s="12"/>
      <x:c r="L788" s="12"/>
      <x:c r="M788" s="12"/>
      <x:c r="N788" s="12"/>
      <x:c r="O788" s="12"/>
    </x:row>
    <x:row r="789" ht="24" customHeight="1">
      <x:c r="A789" s="13" t="str">
        <x:v>I04</x:v>
      </x:c>
      <x:c r="B789" s="13" t="str">
        <x:v>QHL</x:v>
      </x:c>
      <x:c r="C789" s="13" t="str">
        <x:v>M85078</x:v>
      </x:c>
      <x:c r="D789" s="13" t="n">
        <x:v>123</x:v>
      </x:c>
      <x:c r="E789" s="30" t="n">
        <x:v>78</x:v>
      </x:c>
      <x:c r="F789" s="13" t="str">
        <x:v>I04 Table_1!P749/U749</x:v>
      </x:c>
      <x:c r="G789" s="13" t="str">
        <x:v>是</x:v>
      </x:c>
      <x:c r="H789" s="12"/>
      <x:c r="I789" s="12"/>
      <x:c r="J789" s="12"/>
      <x:c r="K789" s="12"/>
      <x:c r="L789" s="12"/>
      <x:c r="M789" s="12"/>
      <x:c r="N789" s="12"/>
      <x:c r="O789" s="12"/>
    </x:row>
    <x:row r="790" ht="24" customHeight="1">
      <x:c r="A790" s="13" t="str">
        <x:v>I04</x:v>
      </x:c>
      <x:c r="B790" s="13" t="str">
        <x:v>QHL</x:v>
      </x:c>
      <x:c r="C790" s="13" t="str">
        <x:v>M85079</x:v>
      </x:c>
      <x:c r="D790" s="13" t="n">
        <x:v>117</x:v>
      </x:c>
      <x:c r="E790" s="30" t="n">
        <x:v>72.6</x:v>
      </x:c>
      <x:c r="F790" s="13" t="str">
        <x:v>I04 Table_1!P750/U750</x:v>
      </x:c>
      <x:c r="G790" s="13" t="str">
        <x:v>是</x:v>
      </x:c>
      <x:c r="H790" s="12"/>
      <x:c r="I790" s="12"/>
      <x:c r="J790" s="12"/>
      <x:c r="K790" s="12"/>
      <x:c r="L790" s="12"/>
      <x:c r="M790" s="12"/>
      <x:c r="N790" s="12"/>
      <x:c r="O790" s="12"/>
    </x:row>
    <x:row r="791" ht="24" customHeight="1">
      <x:c r="A791" s="13" t="str">
        <x:v>I04</x:v>
      </x:c>
      <x:c r="B791" s="13" t="str">
        <x:v>QHL</x:v>
      </x:c>
      <x:c r="C791" s="13" t="str">
        <x:v>M85081</x:v>
      </x:c>
      <x:c r="D791" s="13" t="n">
        <x:v>128</x:v>
      </x:c>
      <x:c r="E791" s="30" t="n">
        <x:v>78.9</x:v>
      </x:c>
      <x:c r="F791" s="13" t="str">
        <x:v>I04 Table_1!P751/U751</x:v>
      </x:c>
      <x:c r="G791" s="13" t="str">
        <x:v>是</x:v>
      </x:c>
      <x:c r="H791" s="12"/>
      <x:c r="I791" s="12"/>
      <x:c r="J791" s="12"/>
      <x:c r="K791" s="12"/>
      <x:c r="L791" s="12"/>
      <x:c r="M791" s="12"/>
      <x:c r="N791" s="12"/>
      <x:c r="O791" s="12"/>
    </x:row>
    <x:row r="792" ht="24" customHeight="1">
      <x:c r="A792" s="13" t="str">
        <x:v>I04</x:v>
      </x:c>
      <x:c r="B792" s="13" t="str">
        <x:v>QHL</x:v>
      </x:c>
      <x:c r="C792" s="13" t="str">
        <x:v>M85082</x:v>
      </x:c>
      <x:c r="D792" s="13" t="n">
        <x:v>58</x:v>
      </x:c>
      <x:c r="E792" s="30" t="n">
        <x:v>87.9</x:v>
      </x:c>
      <x:c r="F792" s="13" t="str">
        <x:v>I04 Table_1!P752/U752</x:v>
      </x:c>
      <x:c r="G792" s="13" t="str">
        <x:v>否</x:v>
      </x:c>
      <x:c r="H792" s="12"/>
      <x:c r="I792" s="12"/>
      <x:c r="J792" s="12"/>
      <x:c r="K792" s="12"/>
      <x:c r="L792" s="12"/>
      <x:c r="M792" s="12"/>
      <x:c r="N792" s="12"/>
      <x:c r="O792" s="12"/>
    </x:row>
    <x:row r="793" ht="24" customHeight="1">
      <x:c r="A793" s="13" t="str">
        <x:v>I04</x:v>
      </x:c>
      <x:c r="B793" s="13" t="str">
        <x:v>QHL</x:v>
      </x:c>
      <x:c r="C793" s="13" t="str">
        <x:v>M85084</x:v>
      </x:c>
      <x:c r="D793" s="13" t="n">
        <x:v>91</x:v>
      </x:c>
      <x:c r="E793" s="30" t="n">
        <x:v>61.5</x:v>
      </x:c>
      <x:c r="F793" s="13" t="str">
        <x:v>I04 Table_1!P753/U753</x:v>
      </x:c>
      <x:c r="G793" s="13" t="str">
        <x:v>是</x:v>
      </x:c>
      <x:c r="H793" s="12"/>
      <x:c r="I793" s="12"/>
      <x:c r="J793" s="12"/>
      <x:c r="K793" s="12"/>
      <x:c r="L793" s="12"/>
      <x:c r="M793" s="12"/>
      <x:c r="N793" s="12"/>
      <x:c r="O793" s="12"/>
    </x:row>
    <x:row r="794" ht="24" customHeight="1">
      <x:c r="A794" s="13" t="str">
        <x:v>I04</x:v>
      </x:c>
      <x:c r="B794" s="13" t="str">
        <x:v>QHL</x:v>
      </x:c>
      <x:c r="C794" s="13" t="str">
        <x:v>M85086</x:v>
      </x:c>
      <x:c r="D794" s="13" t="n">
        <x:v>118</x:v>
      </x:c>
      <x:c r="E794" s="30" t="n">
        <x:v>86.4</x:v>
      </x:c>
      <x:c r="F794" s="13" t="str">
        <x:v>I04 Table_1!P754/U754</x:v>
      </x:c>
      <x:c r="G794" s="13" t="str">
        <x:v>是</x:v>
      </x:c>
      <x:c r="H794" s="12"/>
      <x:c r="I794" s="12"/>
      <x:c r="J794" s="12"/>
      <x:c r="K794" s="12"/>
      <x:c r="L794" s="12"/>
      <x:c r="M794" s="12"/>
      <x:c r="N794" s="12"/>
      <x:c r="O794" s="12"/>
    </x:row>
    <x:row r="795" ht="24" customHeight="1">
      <x:c r="A795" s="13" t="str">
        <x:v>I04</x:v>
      </x:c>
      <x:c r="B795" s="13" t="str">
        <x:v>QHL</x:v>
      </x:c>
      <x:c r="C795" s="13" t="str">
        <x:v>M85087</x:v>
      </x:c>
      <x:c r="D795" s="13" t="n">
        <x:v>154</x:v>
      </x:c>
      <x:c r="E795" s="30" t="n">
        <x:v>81.2</x:v>
      </x:c>
      <x:c r="F795" s="13" t="str">
        <x:v>I04 Table_1!P755/U755</x:v>
      </x:c>
      <x:c r="G795" s="13" t="str">
        <x:v>是</x:v>
      </x:c>
      <x:c r="H795" s="12"/>
      <x:c r="I795" s="12"/>
      <x:c r="J795" s="12"/>
      <x:c r="K795" s="12"/>
      <x:c r="L795" s="12"/>
      <x:c r="M795" s="12"/>
      <x:c r="N795" s="12"/>
      <x:c r="O795" s="12"/>
    </x:row>
    <x:row r="796" ht="24" customHeight="1">
      <x:c r="A796" s="13" t="str">
        <x:v>I04</x:v>
      </x:c>
      <x:c r="B796" s="13" t="str">
        <x:v>QHL</x:v>
      </x:c>
      <x:c r="C796" s="13" t="str">
        <x:v>M85088</x:v>
      </x:c>
      <x:c r="D796" s="13" t="n">
        <x:v>169</x:v>
      </x:c>
      <x:c r="E796" s="30" t="n">
        <x:v>66.9</x:v>
      </x:c>
      <x:c r="F796" s="13" t="str">
        <x:v>I04 Table_1!P756/U756</x:v>
      </x:c>
      <x:c r="G796" s="13" t="str">
        <x:v>是</x:v>
      </x:c>
      <x:c r="H796" s="12"/>
      <x:c r="I796" s="12"/>
      <x:c r="J796" s="12"/>
      <x:c r="K796" s="12"/>
      <x:c r="L796" s="12"/>
      <x:c r="M796" s="12"/>
      <x:c r="N796" s="12"/>
      <x:c r="O796" s="12"/>
    </x:row>
    <x:row r="797" ht="24" customHeight="1">
      <x:c r="A797" s="13" t="str">
        <x:v>I04</x:v>
      </x:c>
      <x:c r="B797" s="13" t="str">
        <x:v>QHL</x:v>
      </x:c>
      <x:c r="C797" s="13" t="str">
        <x:v>M85094</x:v>
      </x:c>
      <x:c r="D797" s="13" t="n">
        <x:v>39</x:v>
      </x:c>
      <x:c r="E797" s="30" t="n">
        <x:v>79.5</x:v>
      </x:c>
      <x:c r="F797" s="13" t="str">
        <x:v>I04 Table_1!P757/U757</x:v>
      </x:c>
      <x:c r="G797" s="13" t="str">
        <x:v>是</x:v>
      </x:c>
      <x:c r="H797" s="12"/>
      <x:c r="I797" s="12"/>
      <x:c r="J797" s="12"/>
      <x:c r="K797" s="12"/>
      <x:c r="L797" s="12"/>
      <x:c r="M797" s="12"/>
      <x:c r="N797" s="12"/>
      <x:c r="O797" s="12"/>
    </x:row>
    <x:row r="798" ht="24" customHeight="1">
      <x:c r="A798" s="13" t="str">
        <x:v>I04</x:v>
      </x:c>
      <x:c r="B798" s="13" t="str">
        <x:v>QHL</x:v>
      </x:c>
      <x:c r="C798" s="13" t="str">
        <x:v>M85097</x:v>
      </x:c>
      <x:c r="D798" s="13" t="n">
        <x:v>28</x:v>
      </x:c>
      <x:c r="E798" s="30" t="n">
        <x:v>85.7</x:v>
      </x:c>
      <x:c r="F798" s="13" t="str">
        <x:v>I04 Table_1!P758/U758</x:v>
      </x:c>
      <x:c r="G798" s="13" t="str">
        <x:v>是</x:v>
      </x:c>
      <x:c r="H798" s="12"/>
      <x:c r="I798" s="12"/>
      <x:c r="J798" s="12"/>
      <x:c r="K798" s="12"/>
      <x:c r="L798" s="12"/>
      <x:c r="M798" s="12"/>
      <x:c r="N798" s="12"/>
      <x:c r="O798" s="12"/>
    </x:row>
    <x:row r="799" ht="24" customHeight="1">
      <x:c r="A799" s="13" t="str">
        <x:v>I04</x:v>
      </x:c>
      <x:c r="B799" s="13" t="str">
        <x:v>QHL</x:v>
      </x:c>
      <x:c r="C799" s="13" t="str">
        <x:v>M85098</x:v>
      </x:c>
      <x:c r="D799" s="13" t="n">
        <x:v>54</x:v>
      </x:c>
      <x:c r="E799" s="30" t="n">
        <x:v>88.9</x:v>
      </x:c>
      <x:c r="F799" s="13" t="str">
        <x:v>I04 Table_1!P759/U759</x:v>
      </x:c>
      <x:c r="G799" s="13" t="str">
        <x:v>否</x:v>
      </x:c>
      <x:c r="H799" s="12"/>
      <x:c r="I799" s="12"/>
      <x:c r="J799" s="12"/>
      <x:c r="K799" s="12"/>
      <x:c r="L799" s="12"/>
      <x:c r="M799" s="12"/>
      <x:c r="N799" s="12"/>
      <x:c r="O799" s="12"/>
    </x:row>
    <x:row r="800" ht="24" customHeight="1">
      <x:c r="A800" s="13" t="str">
        <x:v>I04</x:v>
      </x:c>
      <x:c r="B800" s="13" t="str">
        <x:v>QHL</x:v>
      </x:c>
      <x:c r="C800" s="13" t="str">
        <x:v>M85105</x:v>
      </x:c>
      <x:c r="D800" s="13" t="n">
        <x:v>70</x:v>
      </x:c>
      <x:c r="E800" s="30" t="n">
        <x:v>82.9</x:v>
      </x:c>
      <x:c r="F800" s="13" t="str">
        <x:v>I04 Table_1!P760/U760</x:v>
      </x:c>
      <x:c r="G800" s="13" t="str">
        <x:v>是</x:v>
      </x:c>
      <x:c r="H800" s="12"/>
      <x:c r="I800" s="12"/>
      <x:c r="J800" s="12"/>
      <x:c r="K800" s="12"/>
      <x:c r="L800" s="12"/>
      <x:c r="M800" s="12"/>
      <x:c r="N800" s="12"/>
      <x:c r="O800" s="12"/>
    </x:row>
    <x:row r="801" ht="24" customHeight="1">
      <x:c r="A801" s="13" t="str">
        <x:v>I04</x:v>
      </x:c>
      <x:c r="B801" s="13" t="str">
        <x:v>QHL</x:v>
      </x:c>
      <x:c r="C801" s="13" t="str">
        <x:v>M85107</x:v>
      </x:c>
      <x:c r="D801" s="13" t="n">
        <x:v>56</x:v>
      </x:c>
      <x:c r="E801" s="30" t="n">
        <x:v>67.9</x:v>
      </x:c>
      <x:c r="F801" s="13" t="str">
        <x:v>I04 Table_1!P761/U761</x:v>
      </x:c>
      <x:c r="G801" s="13" t="str">
        <x:v>是</x:v>
      </x:c>
      <x:c r="H801" s="12"/>
      <x:c r="I801" s="12"/>
      <x:c r="J801" s="12"/>
      <x:c r="K801" s="12"/>
      <x:c r="L801" s="12"/>
      <x:c r="M801" s="12"/>
      <x:c r="N801" s="12"/>
      <x:c r="O801" s="12"/>
    </x:row>
    <x:row r="802" ht="24" customHeight="1">
      <x:c r="A802" s="13" t="str">
        <x:v>I04</x:v>
      </x:c>
      <x:c r="B802" s="13" t="str">
        <x:v>QHL</x:v>
      </x:c>
      <x:c r="C802" s="13" t="str">
        <x:v>M85108</x:v>
      </x:c>
      <x:c r="D802" s="13" t="n">
        <x:v>70</x:v>
      </x:c>
      <x:c r="E802" s="30" t="n">
        <x:v>54.3</x:v>
      </x:c>
      <x:c r="F802" s="13" t="str">
        <x:v>I04 Table_1!P762/U762</x:v>
      </x:c>
      <x:c r="G802" s="13" t="str">
        <x:v>是</x:v>
      </x:c>
      <x:c r="H802" s="12"/>
      <x:c r="I802" s="12"/>
      <x:c r="J802" s="12"/>
      <x:c r="K802" s="12"/>
      <x:c r="L802" s="12"/>
      <x:c r="M802" s="12"/>
      <x:c r="N802" s="12"/>
      <x:c r="O802" s="12"/>
    </x:row>
    <x:row r="803" ht="24" customHeight="1">
      <x:c r="A803" s="13" t="str">
        <x:v>I04</x:v>
      </x:c>
      <x:c r="B803" s="13" t="str">
        <x:v>QHL</x:v>
      </x:c>
      <x:c r="C803" s="13" t="str">
        <x:v>M85110</x:v>
      </x:c>
      <x:c r="D803" s="13" t="n">
        <x:v>138</x:v>
      </x:c>
      <x:c r="E803" s="30" t="n">
        <x:v>74.6</x:v>
      </x:c>
      <x:c r="F803" s="13" t="str">
        <x:v>I04 Table_1!P763/U763</x:v>
      </x:c>
      <x:c r="G803" s="13" t="str">
        <x:v>是</x:v>
      </x:c>
      <x:c r="H803" s="12"/>
      <x:c r="I803" s="12"/>
      <x:c r="J803" s="12"/>
      <x:c r="K803" s="12"/>
      <x:c r="L803" s="12"/>
      <x:c r="M803" s="12"/>
      <x:c r="N803" s="12"/>
      <x:c r="O803" s="12"/>
    </x:row>
    <x:row r="804" ht="24" customHeight="1">
      <x:c r="A804" s="13" t="str">
        <x:v>I04</x:v>
      </x:c>
      <x:c r="B804" s="13" t="str">
        <x:v>QHL</x:v>
      </x:c>
      <x:c r="C804" s="13" t="str">
        <x:v>M85113</x:v>
      </x:c>
      <x:c r="D804" s="13" t="n">
        <x:v>77</x:v>
      </x:c>
      <x:c r="E804" s="30" t="n">
        <x:v>70.1</x:v>
      </x:c>
      <x:c r="F804" s="13" t="str">
        <x:v>I04 Table_1!P764/U764</x:v>
      </x:c>
      <x:c r="G804" s="13" t="str">
        <x:v>是</x:v>
      </x:c>
      <x:c r="H804" s="12"/>
      <x:c r="I804" s="12"/>
      <x:c r="J804" s="12"/>
      <x:c r="K804" s="12"/>
      <x:c r="L804" s="12"/>
      <x:c r="M804" s="12"/>
      <x:c r="N804" s="12"/>
      <x:c r="O804" s="12"/>
    </x:row>
    <x:row r="805" ht="24" customHeight="1">
      <x:c r="A805" s="13" t="str">
        <x:v>I04</x:v>
      </x:c>
      <x:c r="B805" s="13" t="str">
        <x:v>QHL</x:v>
      </x:c>
      <x:c r="C805" s="13" t="str">
        <x:v>M85115</x:v>
      </x:c>
      <x:c r="D805" s="13" t="n">
        <x:v>17</x:v>
      </x:c>
      <x:c r="E805" s="30" t="n">
        <x:v>70.6</x:v>
      </x:c>
      <x:c r="F805" s="13" t="str">
        <x:v>I04 Table_1!P765/U765</x:v>
      </x:c>
      <x:c r="G805" s="13" t="str">
        <x:v>是</x:v>
      </x:c>
      <x:c r="H805" s="12"/>
      <x:c r="I805" s="12"/>
      <x:c r="J805" s="12"/>
      <x:c r="K805" s="12"/>
      <x:c r="L805" s="12"/>
      <x:c r="M805" s="12"/>
      <x:c r="N805" s="12"/>
      <x:c r="O805" s="12"/>
    </x:row>
    <x:row r="806" ht="24" customHeight="1">
      <x:c r="A806" s="13" t="str">
        <x:v>I04</x:v>
      </x:c>
      <x:c r="B806" s="13" t="str">
        <x:v>QHL</x:v>
      </x:c>
      <x:c r="C806" s="13" t="str">
        <x:v>M85116</x:v>
      </x:c>
      <x:c r="D806" s="13" t="n">
        <x:v>125</x:v>
      </x:c>
      <x:c r="E806" s="30" t="n">
        <x:v>81.6</x:v>
      </x:c>
      <x:c r="F806" s="13" t="str">
        <x:v>I04 Table_1!P766/U766</x:v>
      </x:c>
      <x:c r="G806" s="13" t="str">
        <x:v>是</x:v>
      </x:c>
      <x:c r="H806" s="12"/>
      <x:c r="I806" s="12"/>
      <x:c r="J806" s="12"/>
      <x:c r="K806" s="12"/>
      <x:c r="L806" s="12"/>
      <x:c r="M806" s="12"/>
      <x:c r="N806" s="12"/>
      <x:c r="O806" s="12"/>
    </x:row>
    <x:row r="807" ht="24" customHeight="1">
      <x:c r="A807" s="13" t="str">
        <x:v>I04</x:v>
      </x:c>
      <x:c r="B807" s="13" t="str">
        <x:v>QHL</x:v>
      </x:c>
      <x:c r="C807" s="13" t="str">
        <x:v>M85117</x:v>
      </x:c>
      <x:c r="D807" s="13" t="n">
        <x:v>75</x:v>
      </x:c>
      <x:c r="E807" s="30" t="n">
        <x:v>80</x:v>
      </x:c>
      <x:c r="F807" s="13" t="str">
        <x:v>I04 Table_1!P767/U767</x:v>
      </x:c>
      <x:c r="G807" s="13" t="str">
        <x:v>是</x:v>
      </x:c>
      <x:c r="H807" s="12"/>
      <x:c r="I807" s="12"/>
      <x:c r="J807" s="12"/>
      <x:c r="K807" s="12"/>
      <x:c r="L807" s="12"/>
      <x:c r="M807" s="12"/>
      <x:c r="N807" s="12"/>
      <x:c r="O807" s="12"/>
    </x:row>
    <x:row r="808" ht="24" customHeight="1">
      <x:c r="A808" s="13" t="str">
        <x:v>I04</x:v>
      </x:c>
      <x:c r="B808" s="13" t="str">
        <x:v>QHL</x:v>
      </x:c>
      <x:c r="C808" s="13" t="str">
        <x:v>M85118</x:v>
      </x:c>
      <x:c r="D808" s="13" t="n">
        <x:v>42</x:v>
      </x:c>
      <x:c r="E808" s="30" t="n">
        <x:v>88.1</x:v>
      </x:c>
      <x:c r="F808" s="13" t="str">
        <x:v>I04 Table_1!P768/U768</x:v>
      </x:c>
      <x:c r="G808" s="13" t="str">
        <x:v>是</x:v>
      </x:c>
      <x:c r="H808" s="12"/>
      <x:c r="I808" s="12"/>
      <x:c r="J808" s="12"/>
      <x:c r="K808" s="12"/>
      <x:c r="L808" s="12"/>
      <x:c r="M808" s="12"/>
      <x:c r="N808" s="12"/>
      <x:c r="O808" s="12"/>
    </x:row>
    <x:row r="809" ht="24" customHeight="1">
      <x:c r="A809" s="13" t="str">
        <x:v>I04</x:v>
      </x:c>
      <x:c r="B809" s="13" t="str">
        <x:v>QHL</x:v>
      </x:c>
      <x:c r="C809" s="13" t="str">
        <x:v>M85123</x:v>
      </x:c>
      <x:c r="D809" s="13" t="n">
        <x:v>138</x:v>
      </x:c>
      <x:c r="E809" s="30" t="n">
        <x:v>76.8</x:v>
      </x:c>
      <x:c r="F809" s="13" t="str">
        <x:v>I04 Table_1!P769/U769</x:v>
      </x:c>
      <x:c r="G809" s="13" t="str">
        <x:v>是</x:v>
      </x:c>
      <x:c r="H809" s="12"/>
      <x:c r="I809" s="12"/>
      <x:c r="J809" s="12"/>
      <x:c r="K809" s="12"/>
      <x:c r="L809" s="12"/>
      <x:c r="M809" s="12"/>
      <x:c r="N809" s="12"/>
      <x:c r="O809" s="12"/>
    </x:row>
    <x:row r="810" ht="24" customHeight="1">
      <x:c r="A810" s="13" t="str">
        <x:v>I04</x:v>
      </x:c>
      <x:c r="B810" s="13" t="str">
        <x:v>QHL</x:v>
      </x:c>
      <x:c r="C810" s="13" t="str">
        <x:v>M85124</x:v>
      </x:c>
      <x:c r="D810" s="13" t="n">
        <x:v>105</x:v>
      </x:c>
      <x:c r="E810" s="30" t="n">
        <x:v>62.9</x:v>
      </x:c>
      <x:c r="F810" s="13" t="str">
        <x:v>I04 Table_1!P770/U770</x:v>
      </x:c>
      <x:c r="G810" s="13" t="str">
        <x:v>是</x:v>
      </x:c>
      <x:c r="H810" s="12"/>
      <x:c r="I810" s="12"/>
      <x:c r="J810" s="12"/>
      <x:c r="K810" s="12"/>
      <x:c r="L810" s="12"/>
      <x:c r="M810" s="12"/>
      <x:c r="N810" s="12"/>
      <x:c r="O810" s="12"/>
    </x:row>
    <x:row r="811" ht="24" customHeight="1">
      <x:c r="A811" s="13" t="str">
        <x:v>I04</x:v>
      </x:c>
      <x:c r="B811" s="13" t="str">
        <x:v>QHL</x:v>
      </x:c>
      <x:c r="C811" s="13" t="str">
        <x:v>M85128</x:v>
      </x:c>
      <x:c r="D811" s="13" t="n">
        <x:v>53</x:v>
      </x:c>
      <x:c r="E811" s="30" t="n">
        <x:v>88.7</x:v>
      </x:c>
      <x:c r="F811" s="13" t="str">
        <x:v>I04 Table_1!P771/U771</x:v>
      </x:c>
      <x:c r="G811" s="13" t="str">
        <x:v>是</x:v>
      </x:c>
      <x:c r="H811" s="12"/>
      <x:c r="I811" s="12"/>
      <x:c r="J811" s="12"/>
      <x:c r="K811" s="12"/>
      <x:c r="L811" s="12"/>
      <x:c r="M811" s="12"/>
      <x:c r="N811" s="12"/>
      <x:c r="O811" s="12"/>
    </x:row>
    <x:row r="812" ht="24" customHeight="1">
      <x:c r="A812" s="13" t="str">
        <x:v>I04</x:v>
      </x:c>
      <x:c r="B812" s="13" t="str">
        <x:v>QHL</x:v>
      </x:c>
      <x:c r="C812" s="13" t="str">
        <x:v>M85134</x:v>
      </x:c>
      <x:c r="D812" s="13" t="n">
        <x:v>43</x:v>
      </x:c>
      <x:c r="E812" s="30" t="n">
        <x:v>88.4</x:v>
      </x:c>
      <x:c r="F812" s="13" t="str">
        <x:v>I04 Table_1!P772/U772</x:v>
      </x:c>
      <x:c r="G812" s="13" t="str">
        <x:v>是</x:v>
      </x:c>
      <x:c r="H812" s="12"/>
      <x:c r="I812" s="12"/>
      <x:c r="J812" s="12"/>
      <x:c r="K812" s="12"/>
      <x:c r="L812" s="12"/>
      <x:c r="M812" s="12"/>
      <x:c r="N812" s="12"/>
      <x:c r="O812" s="12"/>
    </x:row>
    <x:row r="813" ht="24" customHeight="1">
      <x:c r="A813" s="13" t="str">
        <x:v>I04</x:v>
      </x:c>
      <x:c r="B813" s="13" t="str">
        <x:v>QHL</x:v>
      </x:c>
      <x:c r="C813" s="13" t="str">
        <x:v>M85136</x:v>
      </x:c>
      <x:c r="D813" s="13" t="n">
        <x:v>189</x:v>
      </x:c>
      <x:c r="E813" s="30" t="n">
        <x:v>74.1</x:v>
      </x:c>
      <x:c r="F813" s="13" t="str">
        <x:v>I04 Table_1!P773/U773</x:v>
      </x:c>
      <x:c r="G813" s="13" t="str">
        <x:v>是</x:v>
      </x:c>
      <x:c r="H813" s="12"/>
      <x:c r="I813" s="12"/>
      <x:c r="J813" s="12"/>
      <x:c r="K813" s="12"/>
      <x:c r="L813" s="12"/>
      <x:c r="M813" s="12"/>
      <x:c r="N813" s="12"/>
      <x:c r="O813" s="12"/>
    </x:row>
    <x:row r="814" ht="24" customHeight="1">
      <x:c r="A814" s="13" t="str">
        <x:v>I04</x:v>
      </x:c>
      <x:c r="B814" s="13" t="str">
        <x:v>QHL</x:v>
      </x:c>
      <x:c r="C814" s="13" t="str">
        <x:v>M85139</x:v>
      </x:c>
      <x:c r="D814" s="13" t="n">
        <x:v>88</x:v>
      </x:c>
      <x:c r="E814" s="30" t="n">
        <x:v>84.1</x:v>
      </x:c>
      <x:c r="F814" s="13" t="str">
        <x:v>I04 Table_1!P774/U774</x:v>
      </x:c>
      <x:c r="G814" s="13" t="str">
        <x:v>是</x:v>
      </x:c>
      <x:c r="H814" s="12"/>
      <x:c r="I814" s="12"/>
      <x:c r="J814" s="12"/>
      <x:c r="K814" s="12"/>
      <x:c r="L814" s="12"/>
      <x:c r="M814" s="12"/>
      <x:c r="N814" s="12"/>
      <x:c r="O814" s="12"/>
    </x:row>
    <x:row r="815" ht="24" customHeight="1">
      <x:c r="A815" s="13" t="str">
        <x:v>I04</x:v>
      </x:c>
      <x:c r="B815" s="13" t="str">
        <x:v>QHL</x:v>
      </x:c>
      <x:c r="C815" s="13" t="str">
        <x:v>M85141</x:v>
      </x:c>
      <x:c r="D815" s="13" t="n">
        <x:v>35</x:v>
      </x:c>
      <x:c r="E815" s="30" t="n">
        <x:v>74.3</x:v>
      </x:c>
      <x:c r="F815" s="13" t="str">
        <x:v>I04 Table_1!P775/U775</x:v>
      </x:c>
      <x:c r="G815" s="13" t="str">
        <x:v>是</x:v>
      </x:c>
      <x:c r="H815" s="12"/>
      <x:c r="I815" s="12"/>
      <x:c r="J815" s="12"/>
      <x:c r="K815" s="12"/>
      <x:c r="L815" s="12"/>
      <x:c r="M815" s="12"/>
      <x:c r="N815" s="12"/>
      <x:c r="O815" s="12"/>
    </x:row>
    <x:row r="816" ht="24" customHeight="1">
      <x:c r="A816" s="13" t="str">
        <x:v>I04</x:v>
      </x:c>
      <x:c r="B816" s="13" t="str">
        <x:v>QHL</x:v>
      </x:c>
      <x:c r="C816" s="13" t="str">
        <x:v>M85142</x:v>
      </x:c>
      <x:c r="D816" s="13" t="n">
        <x:v>15</x:v>
      </x:c>
      <x:c r="E816" s="30" t="n">
        <x:v>86.7</x:v>
      </x:c>
      <x:c r="F816" s="13" t="str">
        <x:v>I04 Table_1!P776/U776</x:v>
      </x:c>
      <x:c r="G816" s="13" t="str">
        <x:v>是</x:v>
      </x:c>
      <x:c r="H816" s="12"/>
      <x:c r="I816" s="12"/>
      <x:c r="J816" s="12"/>
      <x:c r="K816" s="12"/>
      <x:c r="L816" s="12"/>
      <x:c r="M816" s="12"/>
      <x:c r="N816" s="12"/>
      <x:c r="O816" s="12"/>
    </x:row>
    <x:row r="817" ht="24" customHeight="1">
      <x:c r="A817" s="13" t="str">
        <x:v>I04</x:v>
      </x:c>
      <x:c r="B817" s="13" t="str">
        <x:v>QHL</x:v>
      </x:c>
      <x:c r="C817" s="13" t="str">
        <x:v>M85143</x:v>
      </x:c>
      <x:c r="D817" s="13" t="n">
        <x:v>80</x:v>
      </x:c>
      <x:c r="E817" s="30" t="n">
        <x:v>70</x:v>
      </x:c>
      <x:c r="F817" s="13" t="str">
        <x:v>I04 Table_1!P777/U777</x:v>
      </x:c>
      <x:c r="G817" s="13" t="str">
        <x:v>是</x:v>
      </x:c>
      <x:c r="H817" s="12"/>
      <x:c r="I817" s="12"/>
      <x:c r="J817" s="12"/>
      <x:c r="K817" s="12"/>
      <x:c r="L817" s="12"/>
      <x:c r="M817" s="12"/>
      <x:c r="N817" s="12"/>
      <x:c r="O817" s="12"/>
    </x:row>
    <x:row r="818" ht="24" customHeight="1">
      <x:c r="A818" s="13" t="str">
        <x:v>I04</x:v>
      </x:c>
      <x:c r="B818" s="13" t="str">
        <x:v>QHL</x:v>
      </x:c>
      <x:c r="C818" s="13" t="str">
        <x:v>M85145</x:v>
      </x:c>
      <x:c r="D818" s="13" t="n">
        <x:v>105</x:v>
      </x:c>
      <x:c r="E818" s="30" t="n">
        <x:v>79</x:v>
      </x:c>
      <x:c r="F818" s="13" t="str">
        <x:v>I04 Table_1!P778/U778</x:v>
      </x:c>
      <x:c r="G818" s="13" t="str">
        <x:v>否</x:v>
      </x:c>
      <x:c r="H818" s="12"/>
      <x:c r="I818" s="12"/>
      <x:c r="J818" s="12"/>
      <x:c r="K818" s="12"/>
      <x:c r="L818" s="12"/>
      <x:c r="M818" s="12"/>
      <x:c r="N818" s="12"/>
      <x:c r="O818" s="12"/>
    </x:row>
    <x:row r="819" ht="24" customHeight="1">
      <x:c r="A819" s="13" t="str">
        <x:v>I04</x:v>
      </x:c>
      <x:c r="B819" s="13" t="str">
        <x:v>QHL</x:v>
      </x:c>
      <x:c r="C819" s="13" t="str">
        <x:v>M85146</x:v>
      </x:c>
      <x:c r="D819" s="13" t="n">
        <x:v>68</x:v>
      </x:c>
      <x:c r="E819" s="30" t="n">
        <x:v>64.7</x:v>
      </x:c>
      <x:c r="F819" s="13" t="str">
        <x:v>I04 Table_1!P779/U779</x:v>
      </x:c>
      <x:c r="G819" s="13" t="str">
        <x:v>是</x:v>
      </x:c>
      <x:c r="H819" s="12"/>
      <x:c r="I819" s="12"/>
      <x:c r="J819" s="12"/>
      <x:c r="K819" s="12"/>
      <x:c r="L819" s="12"/>
      <x:c r="M819" s="12"/>
      <x:c r="N819" s="12"/>
      <x:c r="O819" s="12"/>
    </x:row>
    <x:row r="820" ht="24" customHeight="1">
      <x:c r="A820" s="13" t="str">
        <x:v>I04</x:v>
      </x:c>
      <x:c r="B820" s="13" t="str">
        <x:v>QHL</x:v>
      </x:c>
      <x:c r="C820" s="13" t="str">
        <x:v>M85149</x:v>
      </x:c>
      <x:c r="D820" s="13" t="n">
        <x:v>66</x:v>
      </x:c>
      <x:c r="E820" s="30" t="n">
        <x:v>78.8</x:v>
      </x:c>
      <x:c r="F820" s="13" t="str">
        <x:v>I04 Table_1!P780/U780</x:v>
      </x:c>
      <x:c r="G820" s="13" t="str">
        <x:v>是</x:v>
      </x:c>
      <x:c r="H820" s="12"/>
      <x:c r="I820" s="12"/>
      <x:c r="J820" s="12"/>
      <x:c r="K820" s="12"/>
      <x:c r="L820" s="12"/>
      <x:c r="M820" s="12"/>
      <x:c r="N820" s="12"/>
      <x:c r="O820" s="12"/>
    </x:row>
    <x:row r="821" ht="24" customHeight="1">
      <x:c r="A821" s="13" t="str">
        <x:v>I04</x:v>
      </x:c>
      <x:c r="B821" s="13" t="str">
        <x:v>QHL</x:v>
      </x:c>
      <x:c r="C821" s="13" t="str">
        <x:v>M85153</x:v>
      </x:c>
      <x:c r="D821" s="13" t="n">
        <x:v>48</x:v>
      </x:c>
      <x:c r="E821" s="30" t="n">
        <x:v>70.8</x:v>
      </x:c>
      <x:c r="F821" s="13" t="str">
        <x:v>I04 Table_1!P781/U781</x:v>
      </x:c>
      <x:c r="G821" s="13" t="str">
        <x:v>是</x:v>
      </x:c>
      <x:c r="H821" s="12"/>
      <x:c r="I821" s="12"/>
      <x:c r="J821" s="12"/>
      <x:c r="K821" s="12"/>
      <x:c r="L821" s="12"/>
      <x:c r="M821" s="12"/>
      <x:c r="N821" s="12"/>
      <x:c r="O821" s="12"/>
    </x:row>
    <x:row r="822" ht="24" customHeight="1">
      <x:c r="A822" s="13" t="str">
        <x:v>I04</x:v>
      </x:c>
      <x:c r="B822" s="13" t="str">
        <x:v>QHL</x:v>
      </x:c>
      <x:c r="C822" s="13" t="str">
        <x:v>M85154</x:v>
      </x:c>
      <x:c r="D822" s="13" t="n">
        <x:v>60</x:v>
      </x:c>
      <x:c r="E822" s="30" t="n">
        <x:v>95</x:v>
      </x:c>
      <x:c r="F822" s="13" t="str">
        <x:v>I04 Table_1!P782/U782</x:v>
      </x:c>
      <x:c r="G822" s="13" t="str">
        <x:v>是</x:v>
      </x:c>
      <x:c r="H822" s="12"/>
      <x:c r="I822" s="12"/>
      <x:c r="J822" s="12"/>
      <x:c r="K822" s="12"/>
      <x:c r="L822" s="12"/>
      <x:c r="M822" s="12"/>
      <x:c r="N822" s="12"/>
      <x:c r="O822" s="12"/>
    </x:row>
    <x:row r="823" ht="24" customHeight="1">
      <x:c r="A823" s="13" t="str">
        <x:v>I04</x:v>
      </x:c>
      <x:c r="B823" s="13" t="str">
        <x:v>QHL</x:v>
      </x:c>
      <x:c r="C823" s="13" t="str">
        <x:v>M85155</x:v>
      </x:c>
      <x:c r="D823" s="13" t="n">
        <x:v>114</x:v>
      </x:c>
      <x:c r="E823" s="30" t="n">
        <x:v>88.6</x:v>
      </x:c>
      <x:c r="F823" s="13" t="str">
        <x:v>I04 Table_1!P783/U783</x:v>
      </x:c>
      <x:c r="G823" s="13" t="str">
        <x:v>是</x:v>
      </x:c>
      <x:c r="H823" s="12"/>
      <x:c r="I823" s="12"/>
      <x:c r="J823" s="12"/>
      <x:c r="K823" s="12"/>
      <x:c r="L823" s="12"/>
      <x:c r="M823" s="12"/>
      <x:c r="N823" s="12"/>
      <x:c r="O823" s="12"/>
    </x:row>
    <x:row r="824" ht="24" customHeight="1">
      <x:c r="A824" s="13" t="str">
        <x:v>I04</x:v>
      </x:c>
      <x:c r="B824" s="13" t="str">
        <x:v>QHL</x:v>
      </x:c>
      <x:c r="C824" s="13" t="str">
        <x:v>M85156</x:v>
      </x:c>
      <x:c r="D824" s="13" t="n">
        <x:v>114</x:v>
      </x:c>
      <x:c r="E824" s="30" t="n">
        <x:v>78.1</x:v>
      </x:c>
      <x:c r="F824" s="13" t="str">
        <x:v>I04 Table_1!P784/U784</x:v>
      </x:c>
      <x:c r="G824" s="13" t="str">
        <x:v>是</x:v>
      </x:c>
      <x:c r="H824" s="12"/>
      <x:c r="I824" s="12"/>
      <x:c r="J824" s="12"/>
      <x:c r="K824" s="12"/>
      <x:c r="L824" s="12"/>
      <x:c r="M824" s="12"/>
      <x:c r="N824" s="12"/>
      <x:c r="O824" s="12"/>
    </x:row>
    <x:row r="825" ht="24" customHeight="1">
      <x:c r="A825" s="13" t="str">
        <x:v>I04</x:v>
      </x:c>
      <x:c r="B825" s="13" t="str">
        <x:v>QHL</x:v>
      </x:c>
      <x:c r="C825" s="13" t="str">
        <x:v>M85158</x:v>
      </x:c>
      <x:c r="D825" s="13" t="n">
        <x:v>26</x:v>
      </x:c>
      <x:c r="E825" s="30" t="n">
        <x:v>88.5</x:v>
      </x:c>
      <x:c r="F825" s="13" t="str">
        <x:v>I04 Table_1!P785/U785</x:v>
      </x:c>
      <x:c r="G825" s="13" t="str">
        <x:v>是</x:v>
      </x:c>
      <x:c r="H825" s="12"/>
      <x:c r="I825" s="12"/>
      <x:c r="J825" s="12"/>
      <x:c r="K825" s="12"/>
      <x:c r="L825" s="12"/>
      <x:c r="M825" s="12"/>
      <x:c r="N825" s="12"/>
      <x:c r="O825" s="12"/>
    </x:row>
    <x:row r="826" ht="24" customHeight="1">
      <x:c r="A826" s="13" t="str">
        <x:v>I04</x:v>
      </x:c>
      <x:c r="B826" s="13" t="str">
        <x:v>QHL</x:v>
      </x:c>
      <x:c r="C826" s="13" t="str">
        <x:v>M85164</x:v>
      </x:c>
      <x:c r="D826" s="13" t="n">
        <x:v>188</x:v>
      </x:c>
      <x:c r="E826" s="30" t="n">
        <x:v>69.1</x:v>
      </x:c>
      <x:c r="F826" s="13" t="str">
        <x:v>I04 Table_1!P786/U786</x:v>
      </x:c>
      <x:c r="G826" s="13" t="str">
        <x:v>是</x:v>
      </x:c>
      <x:c r="H826" s="12"/>
      <x:c r="I826" s="12"/>
      <x:c r="J826" s="12"/>
      <x:c r="K826" s="12"/>
      <x:c r="L826" s="12"/>
      <x:c r="M826" s="12"/>
      <x:c r="N826" s="12"/>
      <x:c r="O826" s="12"/>
    </x:row>
    <x:row r="827" ht="24" customHeight="1">
      <x:c r="A827" s="13" t="str">
        <x:v>I04</x:v>
      </x:c>
      <x:c r="B827" s="13" t="str">
        <x:v>QHL</x:v>
      </x:c>
      <x:c r="C827" s="13" t="str">
        <x:v>M85167</x:v>
      </x:c>
      <x:c r="D827" s="13" t="n">
        <x:v>44</x:v>
      </x:c>
      <x:c r="E827" s="30" t="n">
        <x:v>61.4</x:v>
      </x:c>
      <x:c r="F827" s="13" t="str">
        <x:v>I04 Table_1!P787/U787</x:v>
      </x:c>
      <x:c r="G827" s="13" t="str">
        <x:v>是</x:v>
      </x:c>
      <x:c r="H827" s="12"/>
      <x:c r="I827" s="12"/>
      <x:c r="J827" s="12"/>
      <x:c r="K827" s="12"/>
      <x:c r="L827" s="12"/>
      <x:c r="M827" s="12"/>
      <x:c r="N827" s="12"/>
      <x:c r="O827" s="12"/>
    </x:row>
    <x:row r="828" ht="24" customHeight="1">
      <x:c r="A828" s="13" t="str">
        <x:v>I04</x:v>
      </x:c>
      <x:c r="B828" s="13" t="str">
        <x:v>QHL</x:v>
      </x:c>
      <x:c r="C828" s="13" t="str">
        <x:v>M85170</x:v>
      </x:c>
      <x:c r="D828" s="13" t="n">
        <x:v>89</x:v>
      </x:c>
      <x:c r="E828" s="30" t="n">
        <x:v>77.5</x:v>
      </x:c>
      <x:c r="F828" s="13" t="str">
        <x:v>I04 Table_1!P788/U788</x:v>
      </x:c>
      <x:c r="G828" s="13" t="str">
        <x:v>是</x:v>
      </x:c>
      <x:c r="H828" s="12"/>
      <x:c r="I828" s="12"/>
      <x:c r="J828" s="12"/>
      <x:c r="K828" s="12"/>
      <x:c r="L828" s="12"/>
      <x:c r="M828" s="12"/>
      <x:c r="N828" s="12"/>
      <x:c r="O828" s="12"/>
    </x:row>
    <x:row r="829" ht="24" customHeight="1">
      <x:c r="A829" s="13" t="str">
        <x:v>I04</x:v>
      </x:c>
      <x:c r="B829" s="13" t="str">
        <x:v>QHL</x:v>
      </x:c>
      <x:c r="C829" s="13" t="str">
        <x:v>M85171</x:v>
      </x:c>
      <x:c r="D829" s="13" t="n">
        <x:v>36</x:v>
      </x:c>
      <x:c r="E829" s="30" t="n">
        <x:v>86.1</x:v>
      </x:c>
      <x:c r="F829" s="13" t="str">
        <x:v>I04 Table_1!P789/U789</x:v>
      </x:c>
      <x:c r="G829" s="13" t="str">
        <x:v>是</x:v>
      </x:c>
      <x:c r="H829" s="12"/>
      <x:c r="I829" s="12"/>
      <x:c r="J829" s="12"/>
      <x:c r="K829" s="12"/>
      <x:c r="L829" s="12"/>
      <x:c r="M829" s="12"/>
      <x:c r="N829" s="12"/>
      <x:c r="O829" s="12"/>
    </x:row>
    <x:row r="830" ht="24" customHeight="1">
      <x:c r="A830" s="13" t="str">
        <x:v>I04</x:v>
      </x:c>
      <x:c r="B830" s="13" t="str">
        <x:v>QHL</x:v>
      </x:c>
      <x:c r="C830" s="13" t="str">
        <x:v>M85172</x:v>
      </x:c>
      <x:c r="D830" s="13" t="n">
        <x:v>161</x:v>
      </x:c>
      <x:c r="E830" s="30" t="n">
        <x:v>82</x:v>
      </x:c>
      <x:c r="F830" s="13" t="str">
        <x:v>I04 Table_1!P790/U790</x:v>
      </x:c>
      <x:c r="G830" s="13" t="str">
        <x:v>是</x:v>
      </x:c>
      <x:c r="H830" s="12"/>
      <x:c r="I830" s="12"/>
      <x:c r="J830" s="12"/>
      <x:c r="K830" s="12"/>
      <x:c r="L830" s="12"/>
      <x:c r="M830" s="12"/>
      <x:c r="N830" s="12"/>
      <x:c r="O830" s="12"/>
    </x:row>
    <x:row r="831" ht="24" customHeight="1">
      <x:c r="A831" s="13" t="str">
        <x:v>I04</x:v>
      </x:c>
      <x:c r="B831" s="13" t="str">
        <x:v>QHL</x:v>
      </x:c>
      <x:c r="C831" s="13" t="str">
        <x:v>M85174</x:v>
      </x:c>
      <x:c r="D831" s="13" t="n">
        <x:v>58</x:v>
      </x:c>
      <x:c r="E831" s="30" t="n">
        <x:v>63.8</x:v>
      </x:c>
      <x:c r="F831" s="13" t="str">
        <x:v>I04 Table_1!P791/U791</x:v>
      </x:c>
      <x:c r="G831" s="13" t="str">
        <x:v>是</x:v>
      </x:c>
      <x:c r="H831" s="12"/>
      <x:c r="I831" s="12"/>
      <x:c r="J831" s="12"/>
      <x:c r="K831" s="12"/>
      <x:c r="L831" s="12"/>
      <x:c r="M831" s="12"/>
      <x:c r="N831" s="12"/>
      <x:c r="O831" s="12"/>
    </x:row>
    <x:row r="832" ht="24" customHeight="1">
      <x:c r="A832" s="13" t="str">
        <x:v>I04</x:v>
      </x:c>
      <x:c r="B832" s="13" t="str">
        <x:v>QHL</x:v>
      </x:c>
      <x:c r="C832" s="13" t="str">
        <x:v>M85175</x:v>
      </x:c>
      <x:c r="D832" s="13" t="n">
        <x:v>86</x:v>
      </x:c>
      <x:c r="E832" s="30" t="n">
        <x:v>89.5</x:v>
      </x:c>
      <x:c r="F832" s="13" t="str">
        <x:v>I04 Table_1!P792/U792</x:v>
      </x:c>
      <x:c r="G832" s="13" t="str">
        <x:v>是</x:v>
      </x:c>
      <x:c r="H832" s="12"/>
      <x:c r="I832" s="12"/>
      <x:c r="J832" s="12"/>
      <x:c r="K832" s="12"/>
      <x:c r="L832" s="12"/>
      <x:c r="M832" s="12"/>
      <x:c r="N832" s="12"/>
      <x:c r="O832" s="12"/>
    </x:row>
    <x:row r="833" ht="24" customHeight="1">
      <x:c r="A833" s="13" t="str">
        <x:v>I04</x:v>
      </x:c>
      <x:c r="B833" s="13" t="str">
        <x:v>QHL</x:v>
      </x:c>
      <x:c r="C833" s="13" t="str">
        <x:v>M85176</x:v>
      </x:c>
      <x:c r="D833" s="13" t="n">
        <x:v>71</x:v>
      </x:c>
      <x:c r="E833" s="30" t="n">
        <x:v>80.3</x:v>
      </x:c>
      <x:c r="F833" s="13" t="str">
        <x:v>I04 Table_1!P793/U793</x:v>
      </x:c>
      <x:c r="G833" s="13" t="str">
        <x:v>否</x:v>
      </x:c>
      <x:c r="H833" s="12"/>
      <x:c r="I833" s="12"/>
      <x:c r="J833" s="12"/>
      <x:c r="K833" s="12"/>
      <x:c r="L833" s="12"/>
      <x:c r="M833" s="12"/>
      <x:c r="N833" s="12"/>
      <x:c r="O833" s="12"/>
    </x:row>
    <x:row r="834" ht="24" customHeight="1">
      <x:c r="A834" s="13" t="str">
        <x:v>I04</x:v>
      </x:c>
      <x:c r="B834" s="13" t="str">
        <x:v>QHL</x:v>
      </x:c>
      <x:c r="C834" s="13" t="str">
        <x:v>M85177</x:v>
      </x:c>
      <x:c r="D834" s="13" t="n">
        <x:v>75</x:v>
      </x:c>
      <x:c r="E834" s="30" t="n">
        <x:v>80</x:v>
      </x:c>
      <x:c r="F834" s="13" t="str">
        <x:v>I04 Table_1!P794/U794</x:v>
      </x:c>
      <x:c r="G834" s="13" t="str">
        <x:v>是</x:v>
      </x:c>
      <x:c r="H834" s="12"/>
      <x:c r="I834" s="12"/>
      <x:c r="J834" s="12"/>
      <x:c r="K834" s="12"/>
      <x:c r="L834" s="12"/>
      <x:c r="M834" s="12"/>
      <x:c r="N834" s="12"/>
      <x:c r="O834" s="12"/>
    </x:row>
    <x:row r="835" ht="24" customHeight="1">
      <x:c r="A835" s="13" t="str">
        <x:v>I04</x:v>
      </x:c>
      <x:c r="B835" s="13" t="str">
        <x:v>QHL</x:v>
      </x:c>
      <x:c r="C835" s="13" t="str">
        <x:v>M85178</x:v>
      </x:c>
      <x:c r="D835" s="13" t="n">
        <x:v>128</x:v>
      </x:c>
      <x:c r="E835" s="30" t="n">
        <x:v>69.5</x:v>
      </x:c>
      <x:c r="F835" s="13" t="str">
        <x:v>I04 Table_1!P795/U795</x:v>
      </x:c>
      <x:c r="G835" s="13" t="str">
        <x:v>否</x:v>
      </x:c>
      <x:c r="H835" s="12"/>
      <x:c r="I835" s="12"/>
      <x:c r="J835" s="12"/>
      <x:c r="K835" s="12"/>
      <x:c r="L835" s="12"/>
      <x:c r="M835" s="12"/>
      <x:c r="N835" s="12"/>
      <x:c r="O835" s="12"/>
    </x:row>
    <x:row r="836" ht="24" customHeight="1">
      <x:c r="A836" s="13" t="str">
        <x:v>I04</x:v>
      </x:c>
      <x:c r="B836" s="13" t="str">
        <x:v>QHL</x:v>
      </x:c>
      <x:c r="C836" s="13" t="str">
        <x:v>M85179</x:v>
      </x:c>
      <x:c r="D836" s="13" t="n">
        <x:v>65</x:v>
      </x:c>
      <x:c r="E836" s="30" t="n">
        <x:v>87.7</x:v>
      </x:c>
      <x:c r="F836" s="13" t="str">
        <x:v>I04 Table_1!P796/U796</x:v>
      </x:c>
      <x:c r="G836" s="13" t="str">
        <x:v>是</x:v>
      </x:c>
      <x:c r="H836" s="12"/>
      <x:c r="I836" s="12"/>
      <x:c r="J836" s="12"/>
      <x:c r="K836" s="12"/>
      <x:c r="L836" s="12"/>
      <x:c r="M836" s="12"/>
      <x:c r="N836" s="12"/>
      <x:c r="O836" s="12"/>
    </x:row>
    <x:row r="837" ht="24" customHeight="1">
      <x:c r="A837" s="13" t="str">
        <x:v>I04</x:v>
      </x:c>
      <x:c r="B837" s="13" t="str">
        <x:v>QHL</x:v>
      </x:c>
      <x:c r="C837" s="13" t="str">
        <x:v>M85600</x:v>
      </x:c>
      <x:c r="D837" s="13" t="n">
        <x:v>183</x:v>
      </x:c>
      <x:c r="E837" s="30" t="n">
        <x:v>85.8</x:v>
      </x:c>
      <x:c r="F837" s="13" t="str">
        <x:v>I04 Table_1!P797/U797</x:v>
      </x:c>
      <x:c r="G837" s="13" t="str">
        <x:v>是</x:v>
      </x:c>
      <x:c r="H837" s="12"/>
      <x:c r="I837" s="12"/>
      <x:c r="J837" s="12"/>
      <x:c r="K837" s="12"/>
      <x:c r="L837" s="12"/>
      <x:c r="M837" s="12"/>
      <x:c r="N837" s="12"/>
      <x:c r="O837" s="12"/>
    </x:row>
    <x:row r="838" ht="24" customHeight="1">
      <x:c r="A838" s="13" t="str">
        <x:v>I04</x:v>
      </x:c>
      <x:c r="B838" s="13" t="str">
        <x:v>QHL</x:v>
      </x:c>
      <x:c r="C838" s="13" t="str">
        <x:v>M85624</x:v>
      </x:c>
      <x:c r="D838" s="13" t="n">
        <x:v>83</x:v>
      </x:c>
      <x:c r="E838" s="30" t="n">
        <x:v>79.5</x:v>
      </x:c>
      <x:c r="F838" s="13" t="str">
        <x:v>I04 Table_1!P798/U798</x:v>
      </x:c>
      <x:c r="G838" s="13" t="str">
        <x:v>是</x:v>
      </x:c>
      <x:c r="H838" s="12"/>
      <x:c r="I838" s="12"/>
      <x:c r="J838" s="12"/>
      <x:c r="K838" s="12"/>
      <x:c r="L838" s="12"/>
      <x:c r="M838" s="12"/>
      <x:c r="N838" s="12"/>
      <x:c r="O838" s="12"/>
    </x:row>
    <x:row r="839" ht="24" customHeight="1">
      <x:c r="A839" s="13" t="str">
        <x:v>I04</x:v>
      </x:c>
      <x:c r="B839" s="13" t="str">
        <x:v>QHL</x:v>
      </x:c>
      <x:c r="C839" s="13" t="str">
        <x:v>M85634</x:v>
      </x:c>
      <x:c r="D839" s="13" t="n">
        <x:v>126</x:v>
      </x:c>
      <x:c r="E839" s="30" t="n">
        <x:v>81.7</x:v>
      </x:c>
      <x:c r="F839" s="13" t="str">
        <x:v>I04 Table_1!P799/U799</x:v>
      </x:c>
      <x:c r="G839" s="13" t="str">
        <x:v>否</x:v>
      </x:c>
      <x:c r="H839" s="12"/>
      <x:c r="I839" s="12"/>
      <x:c r="J839" s="12"/>
      <x:c r="K839" s="12"/>
      <x:c r="L839" s="12"/>
      <x:c r="M839" s="12"/>
      <x:c r="N839" s="12"/>
      <x:c r="O839" s="12"/>
    </x:row>
    <x:row r="840" ht="24" customHeight="1">
      <x:c r="A840" s="13" t="str">
        <x:v>I04</x:v>
      </x:c>
      <x:c r="B840" s="13" t="str">
        <x:v>QHL</x:v>
      </x:c>
      <x:c r="C840" s="13" t="str">
        <x:v>M85642</x:v>
      </x:c>
      <x:c r="D840" s="13" t="n">
        <x:v>71</x:v>
      </x:c>
      <x:c r="E840" s="30" t="n">
        <x:v>74.6</x:v>
      </x:c>
      <x:c r="F840" s="13" t="str">
        <x:v>I04 Table_1!P800/U800</x:v>
      </x:c>
      <x:c r="G840" s="13" t="str">
        <x:v>是</x:v>
      </x:c>
      <x:c r="H840" s="12"/>
      <x:c r="I840" s="12"/>
      <x:c r="J840" s="12"/>
      <x:c r="K840" s="12"/>
      <x:c r="L840" s="12"/>
      <x:c r="M840" s="12"/>
      <x:c r="N840" s="12"/>
      <x:c r="O840" s="12"/>
    </x:row>
    <x:row r="841" ht="24" customHeight="1">
      <x:c r="A841" s="13" t="str">
        <x:v>I04</x:v>
      </x:c>
      <x:c r="B841" s="13" t="str">
        <x:v>QHL</x:v>
      </x:c>
      <x:c r="C841" s="13" t="str">
        <x:v>M85669</x:v>
      </x:c>
      <x:c r="D841" s="13" t="n">
        <x:v>93</x:v>
      </x:c>
      <x:c r="E841" s="30" t="n">
        <x:v>77.4</x:v>
      </x:c>
      <x:c r="F841" s="13" t="str">
        <x:v>I04 Table_1!P801/U801</x:v>
      </x:c>
      <x:c r="G841" s="13" t="str">
        <x:v>是</x:v>
      </x:c>
      <x:c r="H841" s="12"/>
      <x:c r="I841" s="12"/>
      <x:c r="J841" s="12"/>
      <x:c r="K841" s="12"/>
      <x:c r="L841" s="12"/>
      <x:c r="M841" s="12"/>
      <x:c r="N841" s="12"/>
      <x:c r="O841" s="12"/>
    </x:row>
    <x:row r="842" ht="24" customHeight="1">
      <x:c r="A842" s="13" t="str">
        <x:v>I04</x:v>
      </x:c>
      <x:c r="B842" s="13" t="str">
        <x:v>QHL</x:v>
      </x:c>
      <x:c r="C842" s="13" t="str">
        <x:v>M85670</x:v>
      </x:c>
      <x:c r="D842" s="13" t="n">
        <x:v>59</x:v>
      </x:c>
      <x:c r="E842" s="30" t="n">
        <x:v>71.2</x:v>
      </x:c>
      <x:c r="F842" s="13" t="str">
        <x:v>I04 Table_1!P802/U802</x:v>
      </x:c>
      <x:c r="G842" s="13" t="str">
        <x:v>是</x:v>
      </x:c>
      <x:c r="H842" s="12"/>
      <x:c r="I842" s="12"/>
      <x:c r="J842" s="12"/>
      <x:c r="K842" s="12"/>
      <x:c r="L842" s="12"/>
      <x:c r="M842" s="12"/>
      <x:c r="N842" s="12"/>
      <x:c r="O842" s="12"/>
    </x:row>
    <x:row r="843" ht="24" customHeight="1">
      <x:c r="A843" s="13" t="str">
        <x:v>I04</x:v>
      </x:c>
      <x:c r="B843" s="13" t="str">
        <x:v>QHL</x:v>
      </x:c>
      <x:c r="C843" s="13" t="str">
        <x:v>M85676</x:v>
      </x:c>
      <x:c r="D843" s="13" t="n">
        <x:v>92</x:v>
      </x:c>
      <x:c r="E843" s="30" t="n">
        <x:v>72.8</x:v>
      </x:c>
      <x:c r="F843" s="13" t="str">
        <x:v>I04 Table_1!P803/U803</x:v>
      </x:c>
      <x:c r="G843" s="13" t="str">
        <x:v>否</x:v>
      </x:c>
      <x:c r="H843" s="12"/>
      <x:c r="I843" s="12"/>
      <x:c r="J843" s="12"/>
      <x:c r="K843" s="12"/>
      <x:c r="L843" s="12"/>
      <x:c r="M843" s="12"/>
      <x:c r="N843" s="12"/>
      <x:c r="O843" s="12"/>
    </x:row>
    <x:row r="844" ht="24" customHeight="1">
      <x:c r="A844" s="13" t="str">
        <x:v>I04</x:v>
      </x:c>
      <x:c r="B844" s="13" t="str">
        <x:v>QHL</x:v>
      </x:c>
      <x:c r="C844" s="13" t="str">
        <x:v>M85679</x:v>
      </x:c>
      <x:c r="D844" s="13" t="n">
        <x:v>83</x:v>
      </x:c>
      <x:c r="E844" s="30" t="n">
        <x:v>75.9</x:v>
      </x:c>
      <x:c r="F844" s="13" t="str">
        <x:v>I04 Table_1!P804/U804</x:v>
      </x:c>
      <x:c r="G844" s="13" t="str">
        <x:v>是</x:v>
      </x:c>
      <x:c r="H844" s="12"/>
      <x:c r="I844" s="12"/>
      <x:c r="J844" s="12"/>
      <x:c r="K844" s="12"/>
      <x:c r="L844" s="12"/>
      <x:c r="M844" s="12"/>
      <x:c r="N844" s="12"/>
      <x:c r="O844" s="12"/>
    </x:row>
    <x:row r="845" ht="24" customHeight="1">
      <x:c r="A845" s="13" t="str">
        <x:v>I04</x:v>
      </x:c>
      <x:c r="B845" s="13" t="str">
        <x:v>QHL</x:v>
      </x:c>
      <x:c r="C845" s="13" t="str">
        <x:v>M85680</x:v>
      </x:c>
      <x:c r="D845" s="13" t="n">
        <x:v>44</x:v>
      </x:c>
      <x:c r="E845" s="30" t="n">
        <x:v>52.3</x:v>
      </x:c>
      <x:c r="F845" s="13" t="str">
        <x:v>I04 Table_1!P805/U805</x:v>
      </x:c>
      <x:c r="G845" s="13" t="str">
        <x:v>是</x:v>
      </x:c>
      <x:c r="H845" s="12"/>
      <x:c r="I845" s="12"/>
      <x:c r="J845" s="12"/>
      <x:c r="K845" s="12"/>
      <x:c r="L845" s="12"/>
      <x:c r="M845" s="12"/>
      <x:c r="N845" s="12"/>
      <x:c r="O845" s="12"/>
    </x:row>
    <x:row r="846" ht="24" customHeight="1">
      <x:c r="A846" s="13" t="str">
        <x:v>I04</x:v>
      </x:c>
      <x:c r="B846" s="13" t="str">
        <x:v>QHL</x:v>
      </x:c>
      <x:c r="C846" s="13" t="str">
        <x:v>M85684</x:v>
      </x:c>
      <x:c r="D846" s="13" t="n">
        <x:v>42</x:v>
      </x:c>
      <x:c r="E846" s="30" t="n">
        <x:v>83.3</x:v>
      </x:c>
      <x:c r="F846" s="13" t="str">
        <x:v>I04 Table_1!P806/U806</x:v>
      </x:c>
      <x:c r="G846" s="13" t="str">
        <x:v>否</x:v>
      </x:c>
      <x:c r="H846" s="12"/>
      <x:c r="I846" s="12"/>
      <x:c r="J846" s="12"/>
      <x:c r="K846" s="12"/>
      <x:c r="L846" s="12"/>
      <x:c r="M846" s="12"/>
      <x:c r="N846" s="12"/>
      <x:c r="O846" s="12"/>
    </x:row>
    <x:row r="847" ht="24" customHeight="1">
      <x:c r="A847" s="13" t="str">
        <x:v>I04</x:v>
      </x:c>
      <x:c r="B847" s="13" t="str">
        <x:v>QHL</x:v>
      </x:c>
      <x:c r="C847" s="13" t="str">
        <x:v>M85686</x:v>
      </x:c>
      <x:c r="D847" s="13" t="n">
        <x:v>11</x:v>
      </x:c>
      <x:c r="E847" s="30" t="n">
        <x:v>45.5</x:v>
      </x:c>
      <x:c r="F847" s="13" t="str">
        <x:v>I04 Table_1!P807/U807</x:v>
      </x:c>
      <x:c r="G847" s="13" t="str">
        <x:v>是</x:v>
      </x:c>
      <x:c r="H847" s="12"/>
      <x:c r="I847" s="12"/>
      <x:c r="J847" s="12"/>
      <x:c r="K847" s="12"/>
      <x:c r="L847" s="12"/>
      <x:c r="M847" s="12"/>
      <x:c r="N847" s="12"/>
      <x:c r="O847" s="12"/>
    </x:row>
    <x:row r="848" ht="24" customHeight="1">
      <x:c r="A848" s="13" t="str">
        <x:v>I04</x:v>
      </x:c>
      <x:c r="B848" s="13" t="str">
        <x:v>QHL</x:v>
      </x:c>
      <x:c r="C848" s="13" t="str">
        <x:v>M85693</x:v>
      </x:c>
      <x:c r="D848" s="13" t="n">
        <x:v>27</x:v>
      </x:c>
      <x:c r="E848" s="30" t="n">
        <x:v>81.5</x:v>
      </x:c>
      <x:c r="F848" s="13" t="str">
        <x:v>I04 Table_1!P808/U808</x:v>
      </x:c>
      <x:c r="G848" s="13" t="str">
        <x:v>是</x:v>
      </x:c>
      <x:c r="H848" s="12"/>
      <x:c r="I848" s="12"/>
      <x:c r="J848" s="12"/>
      <x:c r="K848" s="12"/>
      <x:c r="L848" s="12"/>
      <x:c r="M848" s="12"/>
      <x:c r="N848" s="12"/>
      <x:c r="O848" s="12"/>
    </x:row>
    <x:row r="849" ht="24" customHeight="1">
      <x:c r="A849" s="13" t="str">
        <x:v>I04</x:v>
      </x:c>
      <x:c r="B849" s="13" t="str">
        <x:v>QHL</x:v>
      </x:c>
      <x:c r="C849" s="13" t="str">
        <x:v>M85694</x:v>
      </x:c>
      <x:c r="D849" s="13" t="n">
        <x:v>52</x:v>
      </x:c>
      <x:c r="E849" s="30" t="n">
        <x:v>88.5</x:v>
      </x:c>
      <x:c r="F849" s="13" t="str">
        <x:v>I04 Table_1!P809/U809</x:v>
      </x:c>
      <x:c r="G849" s="13" t="str">
        <x:v>是</x:v>
      </x:c>
      <x:c r="H849" s="12"/>
      <x:c r="I849" s="12"/>
      <x:c r="J849" s="12"/>
      <x:c r="K849" s="12"/>
      <x:c r="L849" s="12"/>
      <x:c r="M849" s="12"/>
      <x:c r="N849" s="12"/>
      <x:c r="O849" s="12"/>
    </x:row>
    <x:row r="850" ht="24" customHeight="1">
      <x:c r="A850" s="13" t="str">
        <x:v>I04</x:v>
      </x:c>
      <x:c r="B850" s="13" t="str">
        <x:v>QHL</x:v>
      </x:c>
      <x:c r="C850" s="13" t="str">
        <x:v>M85697</x:v>
      </x:c>
      <x:c r="D850" s="13" t="n">
        <x:v>55</x:v>
      </x:c>
      <x:c r="E850" s="30" t="n">
        <x:v>76.4</x:v>
      </x:c>
      <x:c r="F850" s="13" t="str">
        <x:v>I04 Table_1!P810/U810</x:v>
      </x:c>
      <x:c r="G850" s="13" t="str">
        <x:v>否</x:v>
      </x:c>
      <x:c r="H850" s="12"/>
      <x:c r="I850" s="12"/>
      <x:c r="J850" s="12"/>
      <x:c r="K850" s="12"/>
      <x:c r="L850" s="12"/>
      <x:c r="M850" s="12"/>
      <x:c r="N850" s="12"/>
      <x:c r="O850" s="12"/>
    </x:row>
    <x:row r="851" ht="24" customHeight="1">
      <x:c r="A851" s="13" t="str">
        <x:v>I04</x:v>
      </x:c>
      <x:c r="B851" s="13" t="str">
        <x:v>QHL</x:v>
      </x:c>
      <x:c r="C851" s="13" t="str">
        <x:v>M85699</x:v>
      </x:c>
      <x:c r="D851" s="13" t="n">
        <x:v>68</x:v>
      </x:c>
      <x:c r="E851" s="30" t="n">
        <x:v>80.9</x:v>
      </x:c>
      <x:c r="F851" s="13" t="str">
        <x:v>I04 Table_1!P811/U811</x:v>
      </x:c>
      <x:c r="G851" s="13" t="str">
        <x:v>是</x:v>
      </x:c>
      <x:c r="H851" s="12"/>
      <x:c r="I851" s="12"/>
      <x:c r="J851" s="12"/>
      <x:c r="K851" s="12"/>
      <x:c r="L851" s="12"/>
      <x:c r="M851" s="12"/>
      <x:c r="N851" s="12"/>
      <x:c r="O851" s="12"/>
    </x:row>
    <x:row r="852" ht="24" customHeight="1">
      <x:c r="A852" s="13" t="str">
        <x:v>I04</x:v>
      </x:c>
      <x:c r="B852" s="13" t="str">
        <x:v>QHL</x:v>
      </x:c>
      <x:c r="C852" s="13" t="str">
        <x:v>M85701</x:v>
      </x:c>
      <x:c r="D852" s="13" t="n">
        <x:v>52</x:v>
      </x:c>
      <x:c r="E852" s="30" t="n">
        <x:v>80.8</x:v>
      </x:c>
      <x:c r="F852" s="13" t="str">
        <x:v>I04 Table_1!P812/U812</x:v>
      </x:c>
      <x:c r="G852" s="13" t="str">
        <x:v>是</x:v>
      </x:c>
      <x:c r="H852" s="12"/>
      <x:c r="I852" s="12"/>
      <x:c r="J852" s="12"/>
      <x:c r="K852" s="12"/>
      <x:c r="L852" s="12"/>
      <x:c r="M852" s="12"/>
      <x:c r="N852" s="12"/>
      <x:c r="O852" s="12"/>
    </x:row>
    <x:row r="853" ht="24" customHeight="1">
      <x:c r="A853" s="13" t="str">
        <x:v>I04</x:v>
      </x:c>
      <x:c r="B853" s="13" t="str">
        <x:v>QHL</x:v>
      </x:c>
      <x:c r="C853" s="13" t="str">
        <x:v>M85706</x:v>
      </x:c>
      <x:c r="D853" s="13" t="n">
        <x:v>186</x:v>
      </x:c>
      <x:c r="E853" s="30" t="n">
        <x:v>82.3</x:v>
      </x:c>
      <x:c r="F853" s="13" t="str">
        <x:v>I04 Table_1!P813/U813</x:v>
      </x:c>
      <x:c r="G853" s="13" t="str">
        <x:v>是</x:v>
      </x:c>
      <x:c r="H853" s="12"/>
      <x:c r="I853" s="12"/>
      <x:c r="J853" s="12"/>
      <x:c r="K853" s="12"/>
      <x:c r="L853" s="12"/>
      <x:c r="M853" s="12"/>
      <x:c r="N853" s="12"/>
      <x:c r="O853" s="12"/>
    </x:row>
    <x:row r="854" ht="24" customHeight="1">
      <x:c r="A854" s="13" t="str">
        <x:v>I04</x:v>
      </x:c>
      <x:c r="B854" s="13" t="str">
        <x:v>QHL</x:v>
      </x:c>
      <x:c r="C854" s="13" t="str">
        <x:v>M85711</x:v>
      </x:c>
      <x:c r="D854" s="13" t="n">
        <x:v>43</x:v>
      </x:c>
      <x:c r="E854" s="30" t="n">
        <x:v>67.4</x:v>
      </x:c>
      <x:c r="F854" s="13" t="str">
        <x:v>I04 Table_1!P814/U814</x:v>
      </x:c>
      <x:c r="G854" s="13" t="str">
        <x:v>是</x:v>
      </x:c>
      <x:c r="H854" s="12"/>
      <x:c r="I854" s="12"/>
      <x:c r="J854" s="12"/>
      <x:c r="K854" s="12"/>
      <x:c r="L854" s="12"/>
      <x:c r="M854" s="12"/>
      <x:c r="N854" s="12"/>
      <x:c r="O854" s="12"/>
    </x:row>
    <x:row r="855" ht="24" customHeight="1">
      <x:c r="A855" s="13" t="str">
        <x:v>I04</x:v>
      </x:c>
      <x:c r="B855" s="13" t="str">
        <x:v>QHL</x:v>
      </x:c>
      <x:c r="C855" s="13" t="str">
        <x:v>M85713</x:v>
      </x:c>
      <x:c r="D855" s="13" t="n">
        <x:v>71</x:v>
      </x:c>
      <x:c r="E855" s="30" t="n">
        <x:v>81.7</x:v>
      </x:c>
      <x:c r="F855" s="13" t="str">
        <x:v>I04 Table_1!P815/U815</x:v>
      </x:c>
      <x:c r="G855" s="13" t="str">
        <x:v>是</x:v>
      </x:c>
      <x:c r="H855" s="12"/>
      <x:c r="I855" s="12"/>
      <x:c r="J855" s="12"/>
      <x:c r="K855" s="12"/>
      <x:c r="L855" s="12"/>
      <x:c r="M855" s="12"/>
      <x:c r="N855" s="12"/>
      <x:c r="O855" s="12"/>
    </x:row>
    <x:row r="856" ht="24" customHeight="1">
      <x:c r="A856" s="13" t="str">
        <x:v>I04</x:v>
      </x:c>
      <x:c r="B856" s="13" t="str">
        <x:v>QHL</x:v>
      </x:c>
      <x:c r="C856" s="13" t="str">
        <x:v>M85715</x:v>
      </x:c>
      <x:c r="D856" s="13" t="n">
        <x:v>158</x:v>
      </x:c>
      <x:c r="E856" s="30" t="n">
        <x:v>74.7</x:v>
      </x:c>
      <x:c r="F856" s="13" t="str">
        <x:v>I04 Table_1!P816/U816</x:v>
      </x:c>
      <x:c r="G856" s="13" t="str">
        <x:v>否</x:v>
      </x:c>
      <x:c r="H856" s="12"/>
      <x:c r="I856" s="12"/>
      <x:c r="J856" s="12"/>
      <x:c r="K856" s="12"/>
      <x:c r="L856" s="12"/>
      <x:c r="M856" s="12"/>
      <x:c r="N856" s="12"/>
      <x:c r="O856" s="12"/>
    </x:row>
    <x:row r="857" ht="24" customHeight="1">
      <x:c r="A857" s="13" t="str">
        <x:v>I04</x:v>
      </x:c>
      <x:c r="B857" s="13" t="str">
        <x:v>QHL</x:v>
      </x:c>
      <x:c r="C857" s="13" t="str">
        <x:v>M85716</x:v>
      </x:c>
      <x:c r="D857" s="13" t="n">
        <x:v>63</x:v>
      </x:c>
      <x:c r="E857" s="30" t="n">
        <x:v>68.3</x:v>
      </x:c>
      <x:c r="F857" s="13" t="str">
        <x:v>I04 Table_1!P817/U817</x:v>
      </x:c>
      <x:c r="G857" s="13" t="str">
        <x:v>是</x:v>
      </x:c>
      <x:c r="H857" s="12"/>
      <x:c r="I857" s="12"/>
      <x:c r="J857" s="12"/>
      <x:c r="K857" s="12"/>
      <x:c r="L857" s="12"/>
      <x:c r="M857" s="12"/>
      <x:c r="N857" s="12"/>
      <x:c r="O857" s="12"/>
    </x:row>
    <x:row r="858" ht="24" customHeight="1">
      <x:c r="A858" s="13" t="str">
        <x:v>I04</x:v>
      </x:c>
      <x:c r="B858" s="13" t="str">
        <x:v>QHL</x:v>
      </x:c>
      <x:c r="C858" s="13" t="str">
        <x:v>M85717</x:v>
      </x:c>
      <x:c r="D858" s="13" t="n">
        <x:v>62</x:v>
      </x:c>
      <x:c r="E858" s="30" t="n">
        <x:v>75.8</x:v>
      </x:c>
      <x:c r="F858" s="13" t="str">
        <x:v>I04 Table_1!P818/U818</x:v>
      </x:c>
      <x:c r="G858" s="13" t="str">
        <x:v>是</x:v>
      </x:c>
      <x:c r="H858" s="12"/>
      <x:c r="I858" s="12"/>
      <x:c r="J858" s="12"/>
      <x:c r="K858" s="12"/>
      <x:c r="L858" s="12"/>
      <x:c r="M858" s="12"/>
      <x:c r="N858" s="12"/>
      <x:c r="O858" s="12"/>
    </x:row>
    <x:row r="859" ht="24" customHeight="1">
      <x:c r="A859" s="13" t="str">
        <x:v>I04</x:v>
      </x:c>
      <x:c r="B859" s="13" t="str">
        <x:v>QHL</x:v>
      </x:c>
      <x:c r="C859" s="13" t="str">
        <x:v>M85721</x:v>
      </x:c>
      <x:c r="D859" s="13" t="n">
        <x:v>88</x:v>
      </x:c>
      <x:c r="E859" s="30" t="n">
        <x:v>79.5</x:v>
      </x:c>
      <x:c r="F859" s="13" t="str">
        <x:v>I04 Table_1!P819/U819</x:v>
      </x:c>
      <x:c r="G859" s="13" t="str">
        <x:v>否</x:v>
      </x:c>
      <x:c r="H859" s="12"/>
      <x:c r="I859" s="12"/>
      <x:c r="J859" s="12"/>
      <x:c r="K859" s="12"/>
      <x:c r="L859" s="12"/>
      <x:c r="M859" s="12"/>
      <x:c r="N859" s="12"/>
      <x:c r="O859" s="12"/>
    </x:row>
    <x:row r="860" ht="24" customHeight="1">
      <x:c r="A860" s="13" t="str">
        <x:v>I04</x:v>
      </x:c>
      <x:c r="B860" s="13" t="str">
        <x:v>QHL</x:v>
      </x:c>
      <x:c r="C860" s="13" t="str">
        <x:v>M85722</x:v>
      </x:c>
      <x:c r="D860" s="13" t="n">
        <x:v>80</x:v>
      </x:c>
      <x:c r="E860" s="30" t="n">
        <x:v>28.7</x:v>
      </x:c>
      <x:c r="F860" s="13" t="str">
        <x:v>I04 Table_1!P820/U820</x:v>
      </x:c>
      <x:c r="G860" s="13" t="str">
        <x:v>是</x:v>
      </x:c>
      <x:c r="H860" s="12"/>
      <x:c r="I860" s="12"/>
      <x:c r="J860" s="12"/>
      <x:c r="K860" s="12"/>
      <x:c r="L860" s="12"/>
      <x:c r="M860" s="12"/>
      <x:c r="N860" s="12"/>
      <x:c r="O860" s="12"/>
    </x:row>
    <x:row r="861" ht="24" customHeight="1">
      <x:c r="A861" s="13" t="str">
        <x:v>I04</x:v>
      </x:c>
      <x:c r="B861" s="13" t="str">
        <x:v>QHL</x:v>
      </x:c>
      <x:c r="C861" s="13" t="str">
        <x:v>M85730</x:v>
      </x:c>
      <x:c r="D861" s="13" t="n">
        <x:v>74</x:v>
      </x:c>
      <x:c r="E861" s="30" t="n">
        <x:v>83.8</x:v>
      </x:c>
      <x:c r="F861" s="13" t="str">
        <x:v>I04 Table_1!P821/U821</x:v>
      </x:c>
      <x:c r="G861" s="13" t="str">
        <x:v>是</x:v>
      </x:c>
      <x:c r="H861" s="12"/>
      <x:c r="I861" s="12"/>
      <x:c r="J861" s="12"/>
      <x:c r="K861" s="12"/>
      <x:c r="L861" s="12"/>
      <x:c r="M861" s="12"/>
      <x:c r="N861" s="12"/>
      <x:c r="O861" s="12"/>
    </x:row>
    <x:row r="862" ht="24" customHeight="1">
      <x:c r="A862" s="13" t="str">
        <x:v>I04</x:v>
      </x:c>
      <x:c r="B862" s="13" t="str">
        <x:v>QHL</x:v>
      </x:c>
      <x:c r="C862" s="13" t="str">
        <x:v>M85732</x:v>
      </x:c>
      <x:c r="D862" s="13" t="n">
        <x:v>14</x:v>
      </x:c>
      <x:c r="E862" s="30" t="n">
        <x:v>42.9</x:v>
      </x:c>
      <x:c r="F862" s="13" t="str">
        <x:v>I04 Table_1!P822/U822</x:v>
      </x:c>
      <x:c r="G862" s="13" t="str">
        <x:v>是</x:v>
      </x:c>
      <x:c r="H862" s="12"/>
      <x:c r="I862" s="12"/>
      <x:c r="J862" s="12"/>
      <x:c r="K862" s="12"/>
      <x:c r="L862" s="12"/>
      <x:c r="M862" s="12"/>
      <x:c r="N862" s="12"/>
      <x:c r="O862" s="12"/>
    </x:row>
    <x:row r="863" ht="24" customHeight="1">
      <x:c r="A863" s="13" t="str">
        <x:v>I04</x:v>
      </x:c>
      <x:c r="B863" s="13" t="str">
        <x:v>QHL</x:v>
      </x:c>
      <x:c r="C863" s="13" t="str">
        <x:v>M85733</x:v>
      </x:c>
      <x:c r="D863" s="13" t="n">
        <x:v>91</x:v>
      </x:c>
      <x:c r="E863" s="30" t="n">
        <x:v>79.1</x:v>
      </x:c>
      <x:c r="F863" s="13" t="str">
        <x:v>I04 Table_1!P823/U823</x:v>
      </x:c>
      <x:c r="G863" s="13" t="str">
        <x:v>是</x:v>
      </x:c>
      <x:c r="H863" s="12"/>
      <x:c r="I863" s="12"/>
      <x:c r="J863" s="12"/>
      <x:c r="K863" s="12"/>
      <x:c r="L863" s="12"/>
      <x:c r="M863" s="12"/>
      <x:c r="N863" s="12"/>
      <x:c r="O863" s="12"/>
    </x:row>
    <x:row r="864" ht="24" customHeight="1">
      <x:c r="A864" s="13" t="str">
        <x:v>I04</x:v>
      </x:c>
      <x:c r="B864" s="13" t="str">
        <x:v>QHL</x:v>
      </x:c>
      <x:c r="C864" s="13" t="str">
        <x:v>M85735</x:v>
      </x:c>
      <x:c r="D864" s="13" t="n">
        <x:v>101</x:v>
      </x:c>
      <x:c r="E864" s="30" t="n">
        <x:v>77.2</x:v>
      </x:c>
      <x:c r="F864" s="13" t="str">
        <x:v>I04 Table_1!P824/U824</x:v>
      </x:c>
      <x:c r="G864" s="13" t="str">
        <x:v>是</x:v>
      </x:c>
      <x:c r="H864" s="12"/>
      <x:c r="I864" s="12"/>
      <x:c r="J864" s="12"/>
      <x:c r="K864" s="12"/>
      <x:c r="L864" s="12"/>
      <x:c r="M864" s="12"/>
      <x:c r="N864" s="12"/>
      <x:c r="O864" s="12"/>
    </x:row>
    <x:row r="865" ht="24" customHeight="1">
      <x:c r="A865" s="13" t="str">
        <x:v>I04</x:v>
      </x:c>
      <x:c r="B865" s="13" t="str">
        <x:v>QHL</x:v>
      </x:c>
      <x:c r="C865" s="13" t="str">
        <x:v>M85736</x:v>
      </x:c>
      <x:c r="D865" s="13" t="n">
        <x:v>80</x:v>
      </x:c>
      <x:c r="E865" s="30" t="n">
        <x:v>70</x:v>
      </x:c>
      <x:c r="F865" s="13" t="str">
        <x:v>I04 Table_1!P825/U825</x:v>
      </x:c>
      <x:c r="G865" s="13" t="str">
        <x:v>是</x:v>
      </x:c>
      <x:c r="H865" s="12"/>
      <x:c r="I865" s="12"/>
      <x:c r="J865" s="12"/>
      <x:c r="K865" s="12"/>
      <x:c r="L865" s="12"/>
      <x:c r="M865" s="12"/>
      <x:c r="N865" s="12"/>
      <x:c r="O865" s="12"/>
    </x:row>
    <x:row r="866" ht="24" customHeight="1">
      <x:c r="A866" s="13" t="str">
        <x:v>I04</x:v>
      </x:c>
      <x:c r="B866" s="13" t="str">
        <x:v>QHL</x:v>
      </x:c>
      <x:c r="C866" s="13" t="str">
        <x:v>M85739</x:v>
      </x:c>
      <x:c r="D866" s="13" t="n">
        <x:v>71</x:v>
      </x:c>
      <x:c r="E866" s="30" t="n">
        <x:v>62</x:v>
      </x:c>
      <x:c r="F866" s="13" t="str">
        <x:v>I04 Table_1!P826/U826</x:v>
      </x:c>
      <x:c r="G866" s="13" t="str">
        <x:v>是</x:v>
      </x:c>
      <x:c r="H866" s="12"/>
      <x:c r="I866" s="12"/>
      <x:c r="J866" s="12"/>
      <x:c r="K866" s="12"/>
      <x:c r="L866" s="12"/>
      <x:c r="M866" s="12"/>
      <x:c r="N866" s="12"/>
      <x:c r="O866" s="12"/>
    </x:row>
    <x:row r="867" ht="24" customHeight="1">
      <x:c r="A867" s="13" t="str">
        <x:v>I04</x:v>
      </x:c>
      <x:c r="B867" s="13" t="str">
        <x:v>QHL</x:v>
      </x:c>
      <x:c r="C867" s="13" t="str">
        <x:v>M85746</x:v>
      </x:c>
      <x:c r="D867" s="13" t="n">
        <x:v>77</x:v>
      </x:c>
      <x:c r="E867" s="30" t="n">
        <x:v>77.9</x:v>
      </x:c>
      <x:c r="F867" s="13" t="str">
        <x:v>I04 Table_1!P827/U827</x:v>
      </x:c>
      <x:c r="G867" s="13" t="str">
        <x:v>是</x:v>
      </x:c>
      <x:c r="H867" s="12"/>
      <x:c r="I867" s="12"/>
      <x:c r="J867" s="12"/>
      <x:c r="K867" s="12"/>
      <x:c r="L867" s="12"/>
      <x:c r="M867" s="12"/>
      <x:c r="N867" s="12"/>
      <x:c r="O867" s="12"/>
    </x:row>
    <x:row r="868" ht="24" customHeight="1">
      <x:c r="A868" s="13" t="str">
        <x:v>I04</x:v>
      </x:c>
      <x:c r="B868" s="13" t="str">
        <x:v>QHL</x:v>
      </x:c>
      <x:c r="C868" s="13" t="str">
        <x:v>M85749</x:v>
      </x:c>
      <x:c r="D868" s="13" t="n">
        <x:v>43</x:v>
      </x:c>
      <x:c r="E868" s="30" t="n">
        <x:v>83.7</x:v>
      </x:c>
      <x:c r="F868" s="13" t="str">
        <x:v>I04 Table_1!P828/U828</x:v>
      </x:c>
      <x:c r="G868" s="13" t="str">
        <x:v>是</x:v>
      </x:c>
      <x:c r="H868" s="12"/>
      <x:c r="I868" s="12"/>
      <x:c r="J868" s="12"/>
      <x:c r="K868" s="12"/>
      <x:c r="L868" s="12"/>
      <x:c r="M868" s="12"/>
      <x:c r="N868" s="12"/>
      <x:c r="O868" s="12"/>
    </x:row>
    <x:row r="869" ht="24" customHeight="1">
      <x:c r="A869" s="13" t="str">
        <x:v>I04</x:v>
      </x:c>
      <x:c r="B869" s="13" t="str">
        <x:v>QHL</x:v>
      </x:c>
      <x:c r="C869" s="13" t="str">
        <x:v>M85756</x:v>
      </x:c>
      <x:c r="D869" s="13" t="n">
        <x:v>25</x:v>
      </x:c>
      <x:c r="E869" s="30" t="n">
        <x:v>80</x:v>
      </x:c>
      <x:c r="F869" s="13" t="str">
        <x:v>I04 Table_1!P829/U829</x:v>
      </x:c>
      <x:c r="G869" s="13" t="str">
        <x:v>是</x:v>
      </x:c>
      <x:c r="H869" s="12"/>
      <x:c r="I869" s="12"/>
      <x:c r="J869" s="12"/>
      <x:c r="K869" s="12"/>
      <x:c r="L869" s="12"/>
      <x:c r="M869" s="12"/>
      <x:c r="N869" s="12"/>
      <x:c r="O869" s="12"/>
    </x:row>
    <x:row r="870" ht="24" customHeight="1">
      <x:c r="A870" s="13" t="str">
        <x:v>I04</x:v>
      </x:c>
      <x:c r="B870" s="13" t="str">
        <x:v>QHL</x:v>
      </x:c>
      <x:c r="C870" s="13" t="str">
        <x:v>M85757</x:v>
      </x:c>
      <x:c r="D870" s="13" t="n">
        <x:v>62</x:v>
      </x:c>
      <x:c r="E870" s="30" t="n">
        <x:v>72.6</x:v>
      </x:c>
      <x:c r="F870" s="13" t="str">
        <x:v>I04 Table_1!P830/U830</x:v>
      </x:c>
      <x:c r="G870" s="13" t="str">
        <x:v>否</x:v>
      </x:c>
      <x:c r="H870" s="12"/>
      <x:c r="I870" s="12"/>
      <x:c r="J870" s="12"/>
      <x:c r="K870" s="12"/>
      <x:c r="L870" s="12"/>
      <x:c r="M870" s="12"/>
      <x:c r="N870" s="12"/>
      <x:c r="O870" s="12"/>
    </x:row>
    <x:row r="871" ht="24" customHeight="1">
      <x:c r="A871" s="13" t="str">
        <x:v>I04</x:v>
      </x:c>
      <x:c r="B871" s="13" t="str">
        <x:v>QHL</x:v>
      </x:c>
      <x:c r="C871" s="13" t="str">
        <x:v>M85759</x:v>
      </x:c>
      <x:c r="D871" s="13" t="n">
        <x:v>106</x:v>
      </x:c>
      <x:c r="E871" s="30" t="n">
        <x:v>50.9</x:v>
      </x:c>
      <x:c r="F871" s="13" t="str">
        <x:v>I04 Table_1!P831/U831</x:v>
      </x:c>
      <x:c r="G871" s="13" t="str">
        <x:v>是</x:v>
      </x:c>
      <x:c r="H871" s="12"/>
      <x:c r="I871" s="12"/>
      <x:c r="J871" s="12"/>
      <x:c r="K871" s="12"/>
      <x:c r="L871" s="12"/>
      <x:c r="M871" s="12"/>
      <x:c r="N871" s="12"/>
      <x:c r="O871" s="12"/>
    </x:row>
    <x:row r="872" ht="24" customHeight="1">
      <x:c r="A872" s="13" t="str">
        <x:v>I04</x:v>
      </x:c>
      <x:c r="B872" s="13" t="str">
        <x:v>QHL</x:v>
      </x:c>
      <x:c r="C872" s="13" t="str">
        <x:v>M85766</x:v>
      </x:c>
      <x:c r="D872" s="13" t="n">
        <x:v>54</x:v>
      </x:c>
      <x:c r="E872" s="30" t="n">
        <x:v>85.2</x:v>
      </x:c>
      <x:c r="F872" s="13" t="str">
        <x:v>I04 Table_1!P832/U832</x:v>
      </x:c>
      <x:c r="G872" s="13" t="str">
        <x:v>是</x:v>
      </x:c>
      <x:c r="H872" s="12"/>
      <x:c r="I872" s="12"/>
      <x:c r="J872" s="12"/>
      <x:c r="K872" s="12"/>
      <x:c r="L872" s="12"/>
      <x:c r="M872" s="12"/>
      <x:c r="N872" s="12"/>
      <x:c r="O872" s="12"/>
    </x:row>
    <x:row r="873" ht="24" customHeight="1">
      <x:c r="A873" s="13" t="str">
        <x:v>I04</x:v>
      </x:c>
      <x:c r="B873" s="13" t="str">
        <x:v>QHL</x:v>
      </x:c>
      <x:c r="C873" s="13" t="str">
        <x:v>M85770</x:v>
      </x:c>
      <x:c r="D873" s="13" t="n">
        <x:v>29</x:v>
      </x:c>
      <x:c r="E873" s="30" t="n">
        <x:v>93.1</x:v>
      </x:c>
      <x:c r="F873" s="13" t="str">
        <x:v>I04 Table_1!P833/U833</x:v>
      </x:c>
      <x:c r="G873" s="13" t="str">
        <x:v>是</x:v>
      </x:c>
      <x:c r="H873" s="12"/>
      <x:c r="I873" s="12"/>
      <x:c r="J873" s="12"/>
      <x:c r="K873" s="12"/>
      <x:c r="L873" s="12"/>
      <x:c r="M873" s="12"/>
      <x:c r="N873" s="12"/>
      <x:c r="O873" s="12"/>
    </x:row>
    <x:row r="874" ht="24" customHeight="1">
      <x:c r="A874" s="13" t="str">
        <x:v>I04</x:v>
      </x:c>
      <x:c r="B874" s="13" t="str">
        <x:v>QHL</x:v>
      </x:c>
      <x:c r="C874" s="13" t="str">
        <x:v>M85774</x:v>
      </x:c>
      <x:c r="D874" s="13" t="n">
        <x:v>113</x:v>
      </x:c>
      <x:c r="E874" s="30" t="n">
        <x:v>69.9</x:v>
      </x:c>
      <x:c r="F874" s="13" t="str">
        <x:v>I04 Table_1!P834/U834</x:v>
      </x:c>
      <x:c r="G874" s="13" t="str">
        <x:v>是</x:v>
      </x:c>
      <x:c r="H874" s="12"/>
      <x:c r="I874" s="12"/>
      <x:c r="J874" s="12"/>
      <x:c r="K874" s="12"/>
      <x:c r="L874" s="12"/>
      <x:c r="M874" s="12"/>
      <x:c r="N874" s="12"/>
      <x:c r="O874" s="12"/>
    </x:row>
    <x:row r="875" ht="24" customHeight="1">
      <x:c r="A875" s="13" t="str">
        <x:v>I04</x:v>
      </x:c>
      <x:c r="B875" s="13" t="str">
        <x:v>QHL</x:v>
      </x:c>
      <x:c r="C875" s="13" t="str">
        <x:v>M85778</x:v>
      </x:c>
      <x:c r="D875" s="13" t="n">
        <x:v>64</x:v>
      </x:c>
      <x:c r="E875" s="30" t="n">
        <x:v>67.2</x:v>
      </x:c>
      <x:c r="F875" s="13" t="str">
        <x:v>I04 Table_1!P835/U835</x:v>
      </x:c>
      <x:c r="G875" s="13" t="str">
        <x:v>否</x:v>
      </x:c>
      <x:c r="H875" s="12"/>
      <x:c r="I875" s="12"/>
      <x:c r="J875" s="12"/>
      <x:c r="K875" s="12"/>
      <x:c r="L875" s="12"/>
      <x:c r="M875" s="12"/>
      <x:c r="N875" s="12"/>
      <x:c r="O875" s="12"/>
    </x:row>
    <x:row r="876" ht="24" customHeight="1">
      <x:c r="A876" s="13" t="str">
        <x:v>I04</x:v>
      </x:c>
      <x:c r="B876" s="13" t="str">
        <x:v>QHL</x:v>
      </x:c>
      <x:c r="C876" s="13" t="str">
        <x:v>M85779</x:v>
      </x:c>
      <x:c r="D876" s="13" t="n">
        <x:v>40</x:v>
      </x:c>
      <x:c r="E876" s="30" t="n">
        <x:v>80</x:v>
      </x:c>
      <x:c r="F876" s="13" t="str">
        <x:v>I04 Table_1!P836/U836</x:v>
      </x:c>
      <x:c r="G876" s="13" t="str">
        <x:v>是</x:v>
      </x:c>
      <x:c r="H876" s="12"/>
      <x:c r="I876" s="12"/>
      <x:c r="J876" s="12"/>
      <x:c r="K876" s="12"/>
      <x:c r="L876" s="12"/>
      <x:c r="M876" s="12"/>
      <x:c r="N876" s="12"/>
      <x:c r="O876" s="12"/>
    </x:row>
    <x:row r="877" ht="24" customHeight="1">
      <x:c r="A877" s="13" t="str">
        <x:v>I04</x:v>
      </x:c>
      <x:c r="B877" s="13" t="str">
        <x:v>QHL</x:v>
      </x:c>
      <x:c r="C877" s="13" t="str">
        <x:v>M85781</x:v>
      </x:c>
      <x:c r="D877" s="13" t="n">
        <x:v>53</x:v>
      </x:c>
      <x:c r="E877" s="30" t="n">
        <x:v>83</x:v>
      </x:c>
      <x:c r="F877" s="13" t="str">
        <x:v>I04 Table_1!P837/U837</x:v>
      </x:c>
      <x:c r="G877" s="13" t="str">
        <x:v>是</x:v>
      </x:c>
      <x:c r="H877" s="12"/>
      <x:c r="I877" s="12"/>
      <x:c r="J877" s="12"/>
      <x:c r="K877" s="12"/>
      <x:c r="L877" s="12"/>
      <x:c r="M877" s="12"/>
      <x:c r="N877" s="12"/>
      <x:c r="O877" s="12"/>
    </x:row>
    <x:row r="878" ht="24" customHeight="1">
      <x:c r="A878" s="13" t="str">
        <x:v>I04</x:v>
      </x:c>
      <x:c r="B878" s="13" t="str">
        <x:v>QHL</x:v>
      </x:c>
      <x:c r="C878" s="13" t="str">
        <x:v>M85783</x:v>
      </x:c>
      <x:c r="D878" s="13" t="n">
        <x:v>76</x:v>
      </x:c>
      <x:c r="E878" s="30" t="n">
        <x:v>89.5</x:v>
      </x:c>
      <x:c r="F878" s="13" t="str">
        <x:v>I04 Table_1!P838/U838</x:v>
      </x:c>
      <x:c r="G878" s="13" t="str">
        <x:v>是</x:v>
      </x:c>
      <x:c r="H878" s="12"/>
      <x:c r="I878" s="12"/>
      <x:c r="J878" s="12"/>
      <x:c r="K878" s="12"/>
      <x:c r="L878" s="12"/>
      <x:c r="M878" s="12"/>
      <x:c r="N878" s="12"/>
      <x:c r="O878" s="12"/>
    </x:row>
    <x:row r="879" ht="24" customHeight="1">
      <x:c r="A879" s="13" t="str">
        <x:v>I04</x:v>
      </x:c>
      <x:c r="B879" s="13" t="str">
        <x:v>QHL</x:v>
      </x:c>
      <x:c r="C879" s="13" t="str">
        <x:v>M85792</x:v>
      </x:c>
      <x:c r="D879" s="13" t="n">
        <x:v>42</x:v>
      </x:c>
      <x:c r="E879" s="30" t="n">
        <x:v>85.7</x:v>
      </x:c>
      <x:c r="F879" s="13" t="str">
        <x:v>I04 Table_1!P839/U839</x:v>
      </x:c>
      <x:c r="G879" s="13" t="str">
        <x:v>是</x:v>
      </x:c>
      <x:c r="H879" s="12"/>
      <x:c r="I879" s="12"/>
      <x:c r="J879" s="12"/>
      <x:c r="K879" s="12"/>
      <x:c r="L879" s="12"/>
      <x:c r="M879" s="12"/>
      <x:c r="N879" s="12"/>
      <x:c r="O879" s="12"/>
    </x:row>
    <x:row r="880" ht="24" customHeight="1">
      <x:c r="A880" s="13" t="str">
        <x:v>I04</x:v>
      </x:c>
      <x:c r="B880" s="13" t="str">
        <x:v>QHL</x:v>
      </x:c>
      <x:c r="C880" s="13" t="str">
        <x:v>M85794</x:v>
      </x:c>
      <x:c r="D880" s="13" t="n">
        <x:v>49</x:v>
      </x:c>
      <x:c r="E880" s="30" t="n">
        <x:v>67.3</x:v>
      </x:c>
      <x:c r="F880" s="13" t="str">
        <x:v>I04 Table_1!P840/U840</x:v>
      </x:c>
      <x:c r="G880" s="13" t="str">
        <x:v>是</x:v>
      </x:c>
      <x:c r="H880" s="12"/>
      <x:c r="I880" s="12"/>
      <x:c r="J880" s="12"/>
      <x:c r="K880" s="12"/>
      <x:c r="L880" s="12"/>
      <x:c r="M880" s="12"/>
      <x:c r="N880" s="12"/>
      <x:c r="O880" s="12"/>
    </x:row>
    <x:row r="881" ht="24" customHeight="1">
      <x:c r="A881" s="13" t="str">
        <x:v>I04</x:v>
      </x:c>
      <x:c r="B881" s="13" t="str">
        <x:v>QHL</x:v>
      </x:c>
      <x:c r="C881" s="13" t="str">
        <x:v>M85797</x:v>
      </x:c>
      <x:c r="D881" s="13" t="n">
        <x:v>105</x:v>
      </x:c>
      <x:c r="E881" s="30" t="n">
        <x:v>52.4</x:v>
      </x:c>
      <x:c r="F881" s="13" t="str">
        <x:v>I04 Table_1!P841/U841</x:v>
      </x:c>
      <x:c r="G881" s="13" t="str">
        <x:v>否</x:v>
      </x:c>
      <x:c r="H881" s="12"/>
      <x:c r="I881" s="12"/>
      <x:c r="J881" s="12"/>
      <x:c r="K881" s="12"/>
      <x:c r="L881" s="12"/>
      <x:c r="M881" s="12"/>
      <x:c r="N881" s="12"/>
      <x:c r="O881" s="12"/>
    </x:row>
    <x:row r="882" ht="24" customHeight="1">
      <x:c r="A882" s="13" t="str">
        <x:v>I04</x:v>
      </x:c>
      <x:c r="B882" s="13" t="str">
        <x:v>QHL</x:v>
      </x:c>
      <x:c r="C882" s="13" t="str">
        <x:v>M85803</x:v>
      </x:c>
      <x:c r="D882" s="13" t="n">
        <x:v>157</x:v>
      </x:c>
      <x:c r="E882" s="30" t="n">
        <x:v>80.3</x:v>
      </x:c>
      <x:c r="F882" s="13" t="str">
        <x:v>I04 Table_1!P842/U842</x:v>
      </x:c>
      <x:c r="G882" s="13" t="str">
        <x:v>是</x:v>
      </x:c>
      <x:c r="H882" s="12"/>
      <x:c r="I882" s="12"/>
      <x:c r="J882" s="12"/>
      <x:c r="K882" s="12"/>
      <x:c r="L882" s="12"/>
      <x:c r="M882" s="12"/>
      <x:c r="N882" s="12"/>
      <x:c r="O882" s="12"/>
    </x:row>
    <x:row r="883" ht="24" customHeight="1">
      <x:c r="A883" s="13" t="str">
        <x:v>I04</x:v>
      </x:c>
      <x:c r="B883" s="13" t="str">
        <x:v>QHL</x:v>
      </x:c>
      <x:c r="C883" s="13" t="str">
        <x:v>M88020</x:v>
      </x:c>
      <x:c r="D883" s="13" t="n">
        <x:v>120</x:v>
      </x:c>
      <x:c r="E883" s="30" t="n">
        <x:v>84.2</x:v>
      </x:c>
      <x:c r="F883" s="13" t="str">
        <x:v>I04 Table_1!P843/U843</x:v>
      </x:c>
      <x:c r="G883" s="13" t="str">
        <x:v>是</x:v>
      </x:c>
      <x:c r="H883" s="12"/>
      <x:c r="I883" s="12"/>
      <x:c r="J883" s="12"/>
      <x:c r="K883" s="12"/>
      <x:c r="L883" s="12"/>
      <x:c r="M883" s="12"/>
      <x:c r="N883" s="12"/>
      <x:c r="O883" s="12"/>
    </x:row>
    <x:row r="884" ht="24" customHeight="1">
      <x:c r="A884" s="13" t="str">
        <x:v>I04</x:v>
      </x:c>
      <x:c r="B884" s="13" t="str">
        <x:v>QHL</x:v>
      </x:c>
      <x:c r="C884" s="13" t="str">
        <x:v>M89001</x:v>
      </x:c>
      <x:c r="D884" s="13" t="n">
        <x:v>39</x:v>
      </x:c>
      <x:c r="E884" s="30" t="n">
        <x:v>94.9</x:v>
      </x:c>
      <x:c r="F884" s="13" t="str">
        <x:v>I04 Table_1!P844/U844</x:v>
      </x:c>
      <x:c r="G884" s="13" t="str">
        <x:v>是</x:v>
      </x:c>
      <x:c r="H884" s="12"/>
      <x:c r="I884" s="12"/>
      <x:c r="J884" s="12"/>
      <x:c r="K884" s="12"/>
      <x:c r="L884" s="12"/>
      <x:c r="M884" s="12"/>
      <x:c r="N884" s="12"/>
      <x:c r="O884" s="12"/>
    </x:row>
    <x:row r="885" ht="24" customHeight="1">
      <x:c r="A885" s="13" t="str">
        <x:v>I04</x:v>
      </x:c>
      <x:c r="B885" s="13" t="str">
        <x:v>QHL</x:v>
      </x:c>
      <x:c r="C885" s="13" t="str">
        <x:v>M89002</x:v>
      </x:c>
      <x:c r="D885" s="13" t="n">
        <x:v>82</x:v>
      </x:c>
      <x:c r="E885" s="30" t="n">
        <x:v>93.9</x:v>
      </x:c>
      <x:c r="F885" s="13" t="str">
        <x:v>I04 Table_1!P845/U845</x:v>
      </x:c>
      <x:c r="G885" s="13" t="str">
        <x:v>是</x:v>
      </x:c>
      <x:c r="H885" s="12"/>
      <x:c r="I885" s="12"/>
      <x:c r="J885" s="12"/>
      <x:c r="K885" s="12"/>
      <x:c r="L885" s="12"/>
      <x:c r="M885" s="12"/>
      <x:c r="N885" s="12"/>
      <x:c r="O885" s="12"/>
    </x:row>
    <x:row r="886" ht="24" customHeight="1">
      <x:c r="A886" s="13" t="str">
        <x:v>I04</x:v>
      </x:c>
      <x:c r="B886" s="13" t="str">
        <x:v>QHL</x:v>
      </x:c>
      <x:c r="C886" s="13" t="str">
        <x:v>M89003</x:v>
      </x:c>
      <x:c r="D886" s="13" t="n">
        <x:v>397</x:v>
      </x:c>
      <x:c r="E886" s="30" t="n">
        <x:v>90.9</x:v>
      </x:c>
      <x:c r="F886" s="13" t="str">
        <x:v>I04 Table_1!P846/U846</x:v>
      </x:c>
      <x:c r="G886" s="13" t="str">
        <x:v>是</x:v>
      </x:c>
      <x:c r="H886" s="12"/>
      <x:c r="I886" s="12"/>
      <x:c r="J886" s="12"/>
      <x:c r="K886" s="12"/>
      <x:c r="L886" s="12"/>
      <x:c r="M886" s="12"/>
      <x:c r="N886" s="12"/>
      <x:c r="O886" s="12"/>
    </x:row>
    <x:row r="887" ht="24" customHeight="1">
      <x:c r="A887" s="13" t="str">
        <x:v>I04</x:v>
      </x:c>
      <x:c r="B887" s="13" t="str">
        <x:v>QHL</x:v>
      </x:c>
      <x:c r="C887" s="13" t="str">
        <x:v>M89005</x:v>
      </x:c>
      <x:c r="D887" s="13" t="n">
        <x:v>91</x:v>
      </x:c>
      <x:c r="E887" s="30" t="n">
        <x:v>85.7</x:v>
      </x:c>
      <x:c r="F887" s="13" t="str">
        <x:v>I04 Table_1!P847/U847</x:v>
      </x:c>
      <x:c r="G887" s="13" t="str">
        <x:v>是</x:v>
      </x:c>
      <x:c r="H887" s="12"/>
      <x:c r="I887" s="12"/>
      <x:c r="J887" s="12"/>
      <x:c r="K887" s="12"/>
      <x:c r="L887" s="12"/>
      <x:c r="M887" s="12"/>
      <x:c r="N887" s="12"/>
      <x:c r="O887" s="12"/>
    </x:row>
    <x:row r="888" ht="24" customHeight="1">
      <x:c r="A888" s="13" t="str">
        <x:v>I04</x:v>
      </x:c>
      <x:c r="B888" s="13" t="str">
        <x:v>QHL</x:v>
      </x:c>
      <x:c r="C888" s="13" t="str">
        <x:v>M89007</x:v>
      </x:c>
      <x:c r="D888" s="13" t="n">
        <x:v>90</x:v>
      </x:c>
      <x:c r="E888" s="30" t="n">
        <x:v>84.4</x:v>
      </x:c>
      <x:c r="F888" s="13" t="str">
        <x:v>I04 Table_1!P848/U848</x:v>
      </x:c>
      <x:c r="G888" s="13" t="str">
        <x:v>是</x:v>
      </x:c>
      <x:c r="H888" s="12"/>
      <x:c r="I888" s="12"/>
      <x:c r="J888" s="12"/>
      <x:c r="K888" s="12"/>
      <x:c r="L888" s="12"/>
      <x:c r="M888" s="12"/>
      <x:c r="N888" s="12"/>
      <x:c r="O888" s="12"/>
    </x:row>
    <x:row r="889" ht="24" customHeight="1">
      <x:c r="A889" s="13" t="str">
        <x:v>I04</x:v>
      </x:c>
      <x:c r="B889" s="13" t="str">
        <x:v>QHL</x:v>
      </x:c>
      <x:c r="C889" s="13" t="str">
        <x:v>M89008</x:v>
      </x:c>
      <x:c r="D889" s="13" t="n">
        <x:v>165</x:v>
      </x:c>
      <x:c r="E889" s="30" t="n">
        <x:v>77.6</x:v>
      </x:c>
      <x:c r="F889" s="13" t="str">
        <x:v>I04 Table_1!P849/U849</x:v>
      </x:c>
      <x:c r="G889" s="13" t="str">
        <x:v>是</x:v>
      </x:c>
      <x:c r="H889" s="12"/>
      <x:c r="I889" s="12"/>
      <x:c r="J889" s="12"/>
      <x:c r="K889" s="12"/>
      <x:c r="L889" s="12"/>
      <x:c r="M889" s="12"/>
      <x:c r="N889" s="12"/>
      <x:c r="O889" s="12"/>
    </x:row>
    <x:row r="890" ht="24" customHeight="1">
      <x:c r="A890" s="13" t="str">
        <x:v>I04</x:v>
      </x:c>
      <x:c r="B890" s="13" t="str">
        <x:v>QHL</x:v>
      </x:c>
      <x:c r="C890" s="13" t="str">
        <x:v>M89009</x:v>
      </x:c>
      <x:c r="D890" s="13" t="n">
        <x:v>139</x:v>
      </x:c>
      <x:c r="E890" s="30" t="n">
        <x:v>82.7</x:v>
      </x:c>
      <x:c r="F890" s="13" t="str">
        <x:v>I04 Table_1!P850/U850</x:v>
      </x:c>
      <x:c r="G890" s="13" t="str">
        <x:v>是</x:v>
      </x:c>
      <x:c r="H890" s="12"/>
      <x:c r="I890" s="12"/>
      <x:c r="J890" s="12"/>
      <x:c r="K890" s="12"/>
      <x:c r="L890" s="12"/>
      <x:c r="M890" s="12"/>
      <x:c r="N890" s="12"/>
      <x:c r="O890" s="12"/>
    </x:row>
    <x:row r="891" ht="24" customHeight="1">
      <x:c r="A891" s="13" t="str">
        <x:v>I04</x:v>
      </x:c>
      <x:c r="B891" s="13" t="str">
        <x:v>QHL</x:v>
      </x:c>
      <x:c r="C891" s="13" t="str">
        <x:v>M89010</x:v>
      </x:c>
      <x:c r="D891" s="13" t="n">
        <x:v>108</x:v>
      </x:c>
      <x:c r="E891" s="30" t="n">
        <x:v>93.5</x:v>
      </x:c>
      <x:c r="F891" s="13" t="str">
        <x:v>I04 Table_1!P851/U851</x:v>
      </x:c>
      <x:c r="G891" s="13" t="str">
        <x:v>是</x:v>
      </x:c>
      <x:c r="H891" s="12"/>
      <x:c r="I891" s="12"/>
      <x:c r="J891" s="12"/>
      <x:c r="K891" s="12"/>
      <x:c r="L891" s="12"/>
      <x:c r="M891" s="12"/>
      <x:c r="N891" s="12"/>
      <x:c r="O891" s="12"/>
    </x:row>
    <x:row r="892" ht="24" customHeight="1">
      <x:c r="A892" s="13" t="str">
        <x:v>I04</x:v>
      </x:c>
      <x:c r="B892" s="13" t="str">
        <x:v>QHL</x:v>
      </x:c>
      <x:c r="C892" s="13" t="str">
        <x:v>M89012</x:v>
      </x:c>
      <x:c r="D892" s="13" t="n">
        <x:v>150</x:v>
      </x:c>
      <x:c r="E892" s="30" t="n">
        <x:v>82.7</x:v>
      </x:c>
      <x:c r="F892" s="13" t="str">
        <x:v>I04 Table_1!P852/U852</x:v>
      </x:c>
      <x:c r="G892" s="13" t="str">
        <x:v>是</x:v>
      </x:c>
      <x:c r="H892" s="12"/>
      <x:c r="I892" s="12"/>
      <x:c r="J892" s="12"/>
      <x:c r="K892" s="12"/>
      <x:c r="L892" s="12"/>
      <x:c r="M892" s="12"/>
      <x:c r="N892" s="12"/>
      <x:c r="O892" s="12"/>
    </x:row>
    <x:row r="893" ht="24" customHeight="1">
      <x:c r="A893" s="13" t="str">
        <x:v>I04</x:v>
      </x:c>
      <x:c r="B893" s="13" t="str">
        <x:v>QHL</x:v>
      </x:c>
      <x:c r="C893" s="13" t="str">
        <x:v>M89013</x:v>
      </x:c>
      <x:c r="D893" s="13" t="n">
        <x:v>88</x:v>
      </x:c>
      <x:c r="E893" s="30" t="n">
        <x:v>72.7</x:v>
      </x:c>
      <x:c r="F893" s="13" t="str">
        <x:v>I04 Table_1!P853/U853</x:v>
      </x:c>
      <x:c r="G893" s="13" t="str">
        <x:v>是</x:v>
      </x:c>
      <x:c r="H893" s="12"/>
      <x:c r="I893" s="12"/>
      <x:c r="J893" s="12"/>
      <x:c r="K893" s="12"/>
      <x:c r="L893" s="12"/>
      <x:c r="M893" s="12"/>
      <x:c r="N893" s="12"/>
      <x:c r="O893" s="12"/>
    </x:row>
    <x:row r="894" ht="24" customHeight="1">
      <x:c r="A894" s="13" t="str">
        <x:v>I04</x:v>
      </x:c>
      <x:c r="B894" s="13" t="str">
        <x:v>QHL</x:v>
      </x:c>
      <x:c r="C894" s="13" t="str">
        <x:v>M89015</x:v>
      </x:c>
      <x:c r="D894" s="13" t="n">
        <x:v>140</x:v>
      </x:c>
      <x:c r="E894" s="30" t="n">
        <x:v>90.7</x:v>
      </x:c>
      <x:c r="F894" s="13" t="str">
        <x:v>I04 Table_1!P854/U854</x:v>
      </x:c>
      <x:c r="G894" s="13" t="str">
        <x:v>是</x:v>
      </x:c>
      <x:c r="H894" s="12"/>
      <x:c r="I894" s="12"/>
      <x:c r="J894" s="12"/>
      <x:c r="K894" s="12"/>
      <x:c r="L894" s="12"/>
      <x:c r="M894" s="12"/>
      <x:c r="N894" s="12"/>
      <x:c r="O894" s="12"/>
    </x:row>
    <x:row r="895" ht="24" customHeight="1">
      <x:c r="A895" s="13" t="str">
        <x:v>I04</x:v>
      </x:c>
      <x:c r="B895" s="13" t="str">
        <x:v>QHL</x:v>
      </x:c>
      <x:c r="C895" s="13" t="str">
        <x:v>M89016</x:v>
      </x:c>
      <x:c r="D895" s="13" t="n">
        <x:v>127</x:v>
      </x:c>
      <x:c r="E895" s="30" t="n">
        <x:v>87.4</x:v>
      </x:c>
      <x:c r="F895" s="13" t="str">
        <x:v>I04 Table_1!P855/U855</x:v>
      </x:c>
      <x:c r="G895" s="13" t="str">
        <x:v>是</x:v>
      </x:c>
      <x:c r="H895" s="12"/>
      <x:c r="I895" s="12"/>
      <x:c r="J895" s="12"/>
      <x:c r="K895" s="12"/>
      <x:c r="L895" s="12"/>
      <x:c r="M895" s="12"/>
      <x:c r="N895" s="12"/>
      <x:c r="O895" s="12"/>
    </x:row>
    <x:row r="896" ht="24" customHeight="1">
      <x:c r="A896" s="13" t="str">
        <x:v>I04</x:v>
      </x:c>
      <x:c r="B896" s="13" t="str">
        <x:v>QHL</x:v>
      </x:c>
      <x:c r="C896" s="13" t="str">
        <x:v>M89017</x:v>
      </x:c>
      <x:c r="D896" s="13" t="n">
        <x:v>593</x:v>
      </x:c>
      <x:c r="E896" s="30" t="n">
        <x:v>87.2</x:v>
      </x:c>
      <x:c r="F896" s="13" t="str">
        <x:v>I04 Table_1!P856/U856</x:v>
      </x:c>
      <x:c r="G896" s="13" t="str">
        <x:v>是</x:v>
      </x:c>
      <x:c r="H896" s="12"/>
      <x:c r="I896" s="12"/>
      <x:c r="J896" s="12"/>
      <x:c r="K896" s="12"/>
      <x:c r="L896" s="12"/>
      <x:c r="M896" s="12"/>
      <x:c r="N896" s="12"/>
      <x:c r="O896" s="12"/>
    </x:row>
    <x:row r="897" ht="24" customHeight="1">
      <x:c r="A897" s="13" t="str">
        <x:v>I04</x:v>
      </x:c>
      <x:c r="B897" s="13" t="str">
        <x:v>QHL</x:v>
      </x:c>
      <x:c r="C897" s="13" t="str">
        <x:v>M89019</x:v>
      </x:c>
      <x:c r="D897" s="13" t="n">
        <x:v>115</x:v>
      </x:c>
      <x:c r="E897" s="30" t="n">
        <x:v>81.7</x:v>
      </x:c>
      <x:c r="F897" s="13" t="str">
        <x:v>I04 Table_1!P857/U857</x:v>
      </x:c>
      <x:c r="G897" s="13" t="str">
        <x:v>是</x:v>
      </x:c>
      <x:c r="H897" s="12"/>
      <x:c r="I897" s="12"/>
      <x:c r="J897" s="12"/>
      <x:c r="K897" s="12"/>
      <x:c r="L897" s="12"/>
      <x:c r="M897" s="12"/>
      <x:c r="N897" s="12"/>
      <x:c r="O897" s="12"/>
    </x:row>
    <x:row r="898" ht="24" customHeight="1">
      <x:c r="A898" s="13" t="str">
        <x:v>I04</x:v>
      </x:c>
      <x:c r="B898" s="13" t="str">
        <x:v>QHL</x:v>
      </x:c>
      <x:c r="C898" s="13" t="str">
        <x:v>M89021</x:v>
      </x:c>
      <x:c r="D898" s="13" t="n">
        <x:v>54</x:v>
      </x:c>
      <x:c r="E898" s="30" t="n">
        <x:v>85.2</x:v>
      </x:c>
      <x:c r="F898" s="13" t="str">
        <x:v>I04 Table_1!P858/U858</x:v>
      </x:c>
      <x:c r="G898" s="13" t="str">
        <x:v>是</x:v>
      </x:c>
      <x:c r="H898" s="12"/>
      <x:c r="I898" s="12"/>
      <x:c r="J898" s="12"/>
      <x:c r="K898" s="12"/>
      <x:c r="L898" s="12"/>
      <x:c r="M898" s="12"/>
      <x:c r="N898" s="12"/>
      <x:c r="O898" s="12"/>
    </x:row>
    <x:row r="899" ht="24" customHeight="1">
      <x:c r="A899" s="13" t="str">
        <x:v>I04</x:v>
      </x:c>
      <x:c r="B899" s="13" t="str">
        <x:v>QHL</x:v>
      </x:c>
      <x:c r="C899" s="13" t="str">
        <x:v>M89024</x:v>
      </x:c>
      <x:c r="D899" s="13" t="n">
        <x:v>41</x:v>
      </x:c>
      <x:c r="E899" s="30" t="n">
        <x:v>85.4</x:v>
      </x:c>
      <x:c r="F899" s="13" t="str">
        <x:v>I04 Table_1!P859/U859</x:v>
      </x:c>
      <x:c r="G899" s="13" t="str">
        <x:v>是</x:v>
      </x:c>
      <x:c r="H899" s="12"/>
      <x:c r="I899" s="12"/>
      <x:c r="J899" s="12"/>
      <x:c r="K899" s="12"/>
      <x:c r="L899" s="12"/>
      <x:c r="M899" s="12"/>
      <x:c r="N899" s="12"/>
      <x:c r="O899" s="12"/>
    </x:row>
    <x:row r="900" ht="24" customHeight="1">
      <x:c r="A900" s="13" t="str">
        <x:v>I04</x:v>
      </x:c>
      <x:c r="B900" s="13" t="str">
        <x:v>QHL</x:v>
      </x:c>
      <x:c r="C900" s="13" t="str">
        <x:v>M89026</x:v>
      </x:c>
      <x:c r="D900" s="13" t="n">
        <x:v>106</x:v>
      </x:c>
      <x:c r="E900" s="30" t="n">
        <x:v>86.8</x:v>
      </x:c>
      <x:c r="F900" s="13" t="str">
        <x:v>I04 Table_1!P860/U860</x:v>
      </x:c>
      <x:c r="G900" s="13" t="str">
        <x:v>是</x:v>
      </x:c>
      <x:c r="H900" s="12"/>
      <x:c r="I900" s="12"/>
      <x:c r="J900" s="12"/>
      <x:c r="K900" s="12"/>
      <x:c r="L900" s="12"/>
      <x:c r="M900" s="12"/>
      <x:c r="N900" s="12"/>
      <x:c r="O900" s="12"/>
    </x:row>
    <x:row r="901" ht="24" customHeight="1">
      <x:c r="A901" s="13" t="str">
        <x:v>I04</x:v>
      </x:c>
      <x:c r="B901" s="13" t="str">
        <x:v>QHL</x:v>
      </x:c>
      <x:c r="C901" s="13" t="str">
        <x:v>M89027</x:v>
      </x:c>
      <x:c r="D901" s="13" t="n">
        <x:v>117</x:v>
      </x:c>
      <x:c r="E901" s="30" t="n">
        <x:v>76.1</x:v>
      </x:c>
      <x:c r="F901" s="13" t="str">
        <x:v>I04 Table_1!P861/U861</x:v>
      </x:c>
      <x:c r="G901" s="13" t="str">
        <x:v>是</x:v>
      </x:c>
      <x:c r="H901" s="12"/>
      <x:c r="I901" s="12"/>
      <x:c r="J901" s="12"/>
      <x:c r="K901" s="12"/>
      <x:c r="L901" s="12"/>
      <x:c r="M901" s="12"/>
      <x:c r="N901" s="12"/>
      <x:c r="O901" s="12"/>
    </x:row>
    <x:row r="902" ht="24" customHeight="1">
      <x:c r="A902" s="13" t="str">
        <x:v>I04</x:v>
      </x:c>
      <x:c r="B902" s="13" t="str">
        <x:v>QHL</x:v>
      </x:c>
      <x:c r="C902" s="13" t="str">
        <x:v>M89030</x:v>
      </x:c>
      <x:c r="D902" s="13" t="n">
        <x:v>44</x:v>
      </x:c>
      <x:c r="E902" s="30" t="n">
        <x:v>90.9</x:v>
      </x:c>
      <x:c r="F902" s="13" t="str">
        <x:v>I04 Table_1!P862/U862</x:v>
      </x:c>
      <x:c r="G902" s="13" t="str">
        <x:v>是</x:v>
      </x:c>
      <x:c r="H902" s="12"/>
      <x:c r="I902" s="12"/>
      <x:c r="J902" s="12"/>
      <x:c r="K902" s="12"/>
      <x:c r="L902" s="12"/>
      <x:c r="M902" s="12"/>
      <x:c r="N902" s="12"/>
      <x:c r="O902" s="12"/>
    </x:row>
    <x:row r="903" ht="24" customHeight="1">
      <x:c r="A903" s="13" t="str">
        <x:v>I04</x:v>
      </x:c>
      <x:c r="B903" s="13" t="str">
        <x:v>QHL</x:v>
      </x:c>
      <x:c r="C903" s="13" t="str">
        <x:v>M89608</x:v>
      </x:c>
      <x:c r="D903" s="13" t="n">
        <x:v>39</x:v>
      </x:c>
      <x:c r="E903" s="30" t="n">
        <x:v>74.4</x:v>
      </x:c>
      <x:c r="F903" s="13" t="str">
        <x:v>I04 Table_1!P863/U863</x:v>
      </x:c>
      <x:c r="G903" s="13" t="str">
        <x:v>是</x:v>
      </x:c>
      <x:c r="H903" s="12"/>
      <x:c r="I903" s="12"/>
      <x:c r="J903" s="12"/>
      <x:c r="K903" s="12"/>
      <x:c r="L903" s="12"/>
      <x:c r="M903" s="12"/>
      <x:c r="N903" s="12"/>
      <x:c r="O903" s="12"/>
    </x:row>
    <x:row r="904" ht="24" customHeight="1">
      <x:c r="A904" s="13" t="str">
        <x:v>I04</x:v>
      </x:c>
      <x:c r="B904" s="13" t="str">
        <x:v>QHL</x:v>
      </x:c>
      <x:c r="C904" s="13" t="str">
        <x:v>M91642</x:v>
      </x:c>
      <x:c r="D904" s="13" t="n">
        <x:v>22</x:v>
      </x:c>
      <x:c r="E904" s="30" t="n">
        <x:v>77.3</x:v>
      </x:c>
      <x:c r="F904" s="13" t="str">
        <x:v>I04 Table_1!P864/U864</x:v>
      </x:c>
      <x:c r="G904" s="13" t="str">
        <x:v>是</x:v>
      </x:c>
      <x:c r="H904" s="12"/>
      <x:c r="I904" s="12"/>
      <x:c r="J904" s="12"/>
      <x:c r="K904" s="12"/>
      <x:c r="L904" s="12"/>
      <x:c r="M904" s="12"/>
      <x:c r="N904" s="12"/>
      <x:c r="O904" s="12"/>
    </x:row>
    <x:row r="905" ht="24" customHeight="1">
      <x:c r="A905" s="13" t="str">
        <x:v>I04</x:v>
      </x:c>
      <x:c r="B905" s="13" t="str">
        <x:v>QHL</x:v>
      </x:c>
      <x:c r="C905" s="13" t="str">
        <x:v>V81999</x:v>
      </x:c>
      <x:c r="D905" s="13" t="n">
        <x:v>897</x:v>
      </x:c>
      <x:c r="E905" s="30" t="n">
        <x:v>13.9</x:v>
      </x:c>
      <x:c r="F905" s="13" t="str">
        <x:v>I04 Table_1!P865/U865</x:v>
      </x:c>
      <x:c r="G905" s="13" t="str">
        <x:v>否</x:v>
      </x:c>
      <x:c r="H905" s="12"/>
      <x:c r="I905" s="12"/>
      <x:c r="J905" s="12"/>
      <x:c r="K905" s="12"/>
      <x:c r="L905" s="12"/>
      <x:c r="M905" s="12"/>
      <x:c r="N905" s="12"/>
      <x:c r="O905" s="12"/>
    </x:row>
    <x:row r="906" ht="24" customHeight="1">
      <x:c r="A906" s="13" t="str">
        <x:v>I04</x:v>
      </x:c>
      <x:c r="B906" s="13" t="str">
        <x:v>QHL</x:v>
      </x:c>
      <x:c r="C906" s="13" t="str">
        <x:v>Y00159</x:v>
      </x:c>
      <x:c r="D906" s="13" t="n">
        <x:v>389</x:v>
      </x:c>
      <x:c r="E906" s="30" t="n">
        <x:v>79.9</x:v>
      </x:c>
      <x:c r="F906" s="13" t="str">
        <x:v>I04 Table_1!P866/U866</x:v>
      </x:c>
      <x:c r="G906" s="13" t="str">
        <x:v>是</x:v>
      </x:c>
      <x:c r="H906" s="12"/>
      <x:c r="I906" s="12"/>
      <x:c r="J906" s="12"/>
      <x:c r="K906" s="12"/>
      <x:c r="L906" s="12"/>
      <x:c r="M906" s="12"/>
      <x:c r="N906" s="12"/>
      <x:c r="O906" s="12"/>
    </x:row>
    <x:row r="907" ht="24" customHeight="1">
      <x:c r="A907" s="13" t="str">
        <x:v>I04</x:v>
      </x:c>
      <x:c r="B907" s="13" t="str">
        <x:v>QHL</x:v>
      </x:c>
      <x:c r="C907" s="13" t="str">
        <x:v>Y00412</x:v>
      </x:c>
      <x:c r="D907" s="13" t="n">
        <x:v>68</x:v>
      </x:c>
      <x:c r="E907" s="30" t="n">
        <x:v>77.9</x:v>
      </x:c>
      <x:c r="F907" s="13" t="str">
        <x:v>I04 Table_1!P867/U867</x:v>
      </x:c>
      <x:c r="G907" s="13" t="str">
        <x:v>否</x:v>
      </x:c>
      <x:c r="H907" s="12"/>
      <x:c r="I907" s="12"/>
      <x:c r="J907" s="12"/>
      <x:c r="K907" s="12"/>
      <x:c r="L907" s="12"/>
      <x:c r="M907" s="12"/>
      <x:c r="N907" s="12"/>
      <x:c r="O907" s="12"/>
    </x:row>
    <x:row r="908" ht="24" customHeight="1">
      <x:c r="A908" s="13" t="str">
        <x:v>I04</x:v>
      </x:c>
      <x:c r="B908" s="13" t="str">
        <x:v>QHL</x:v>
      </x:c>
      <x:c r="C908" s="13" t="str">
        <x:v>Y00471</x:v>
      </x:c>
      <x:c r="D908" s="13" t="n">
        <x:v>81</x:v>
      </x:c>
      <x:c r="E908" s="30" t="n">
        <x:v>70.4</x:v>
      </x:c>
      <x:c r="F908" s="13" t="str">
        <x:v>I04 Table_1!P868/U868</x:v>
      </x:c>
      <x:c r="G908" s="13" t="str">
        <x:v>否</x:v>
      </x:c>
      <x:c r="H908" s="12"/>
      <x:c r="I908" s="12"/>
      <x:c r="J908" s="12"/>
      <x:c r="K908" s="12"/>
      <x:c r="L908" s="12"/>
      <x:c r="M908" s="12"/>
      <x:c r="N908" s="12"/>
      <x:c r="O908" s="12"/>
    </x:row>
    <x:row r="909" ht="24" customHeight="1">
      <x:c r="A909" s="13" t="str">
        <x:v>I04</x:v>
      </x:c>
      <x:c r="B909" s="13" t="str">
        <x:v>QHL</x:v>
      </x:c>
      <x:c r="C909" s="13" t="str">
        <x:v>Y00492</x:v>
      </x:c>
      <x:c r="D909" s="13" t="n">
        <x:v>149</x:v>
      </x:c>
      <x:c r="E909" s="30" t="n">
        <x:v>69.8</x:v>
      </x:c>
      <x:c r="F909" s="13" t="str">
        <x:v>I04 Table_1!P869/U869</x:v>
      </x:c>
      <x:c r="G909" s="13" t="str">
        <x:v>否</x:v>
      </x:c>
      <x:c r="H909" s="12"/>
      <x:c r="I909" s="12"/>
      <x:c r="J909" s="12"/>
      <x:c r="K909" s="12"/>
      <x:c r="L909" s="12"/>
      <x:c r="M909" s="12"/>
      <x:c r="N909" s="12"/>
      <x:c r="O909" s="12"/>
    </x:row>
    <x:row r="910" ht="24" customHeight="1">
      <x:c r="A910" s="13" t="str">
        <x:v>I04</x:v>
      </x:c>
      <x:c r="B910" s="13" t="str">
        <x:v>QHL</x:v>
      </x:c>
      <x:c r="C910" s="13" t="str">
        <x:v>Y01068</x:v>
      </x:c>
      <x:c r="D910" s="13" t="n">
        <x:v>84</x:v>
      </x:c>
      <x:c r="E910" s="30" t="n">
        <x:v>72.6</x:v>
      </x:c>
      <x:c r="F910" s="13" t="str">
        <x:v>I04 Table_1!P870/U870</x:v>
      </x:c>
      <x:c r="G910" s="13" t="str">
        <x:v>是</x:v>
      </x:c>
      <x:c r="H910" s="12"/>
      <x:c r="I910" s="12"/>
      <x:c r="J910" s="12"/>
      <x:c r="K910" s="12"/>
      <x:c r="L910" s="12"/>
      <x:c r="M910" s="12"/>
      <x:c r="N910" s="12"/>
      <x:c r="O910" s="12"/>
    </x:row>
    <x:row r="911" ht="24" customHeight="1">
      <x:c r="A911" s="13" t="str">
        <x:v>I04</x:v>
      </x:c>
      <x:c r="B911" s="13" t="str">
        <x:v>QHL</x:v>
      </x:c>
      <x:c r="C911" s="13" t="str">
        <x:v>Y02567</x:v>
      </x:c>
      <x:c r="D911" s="13" t="n">
        <x:v>115</x:v>
      </x:c>
      <x:c r="E911" s="30" t="n">
        <x:v>75.7</x:v>
      </x:c>
      <x:c r="F911" s="13" t="str">
        <x:v>I04 Table_1!P871/U871</x:v>
      </x:c>
      <x:c r="G911" s="13" t="str">
        <x:v>是</x:v>
      </x:c>
      <x:c r="H911" s="12"/>
      <x:c r="I911" s="12"/>
      <x:c r="J911" s="12"/>
      <x:c r="K911" s="12"/>
      <x:c r="L911" s="12"/>
      <x:c r="M911" s="12"/>
      <x:c r="N911" s="12"/>
      <x:c r="O911" s="12"/>
    </x:row>
    <x:row r="912" ht="24" customHeight="1">
      <x:c r="A912" s="13" t="str">
        <x:v>I04</x:v>
      </x:c>
      <x:c r="B912" s="13" t="str">
        <x:v>QHL</x:v>
      </x:c>
      <x:c r="C912" s="13" t="str">
        <x:v>Y02571</x:v>
      </x:c>
      <x:c r="D912" s="13" t="n">
        <x:v>149</x:v>
      </x:c>
      <x:c r="E912" s="30" t="n">
        <x:v>78.5</x:v>
      </x:c>
      <x:c r="F912" s="13" t="str">
        <x:v>I04 Table_1!P872/U872</x:v>
      </x:c>
      <x:c r="G912" s="13" t="str">
        <x:v>是</x:v>
      </x:c>
      <x:c r="H912" s="12"/>
      <x:c r="I912" s="12"/>
      <x:c r="J912" s="12"/>
      <x:c r="K912" s="12"/>
      <x:c r="L912" s="12"/>
      <x:c r="M912" s="12"/>
      <x:c r="N912" s="12"/>
      <x:c r="O912" s="12"/>
    </x:row>
    <x:row r="913" ht="24" customHeight="1">
      <x:c r="A913" s="13" t="str">
        <x:v>I04</x:v>
      </x:c>
      <x:c r="B913" s="13" t="str">
        <x:v>QHL</x:v>
      </x:c>
      <x:c r="C913" s="13" t="str">
        <x:v>Y02794</x:v>
      </x:c>
      <x:c r="D913" s="13" t="n">
        <x:v>257</x:v>
      </x:c>
      <x:c r="E913" s="30" t="n">
        <x:v>64.2</x:v>
      </x:c>
      <x:c r="F913" s="13" t="str">
        <x:v>I04 Table_1!P873/U873</x:v>
      </x:c>
      <x:c r="G913" s="13" t="str">
        <x:v>是</x:v>
      </x:c>
      <x:c r="H913" s="12"/>
      <x:c r="I913" s="12"/>
      <x:c r="J913" s="12"/>
      <x:c r="K913" s="12"/>
      <x:c r="L913" s="12"/>
      <x:c r="M913" s="12"/>
      <x:c r="N913" s="12"/>
      <x:c r="O913" s="12"/>
    </x:row>
    <x:row r="914" ht="24" customHeight="1">
      <x:c r="A914" s="13" t="str">
        <x:v>I04</x:v>
      </x:c>
      <x:c r="B914" s="13" t="str">
        <x:v>QHL</x:v>
      </x:c>
      <x:c r="C914" s="13" t="str">
        <x:v>Y02893</x:v>
      </x:c>
      <x:c r="D914" s="13" t="n">
        <x:v>370</x:v>
      </x:c>
      <x:c r="E914" s="30" t="n">
        <x:v>80.5</x:v>
      </x:c>
      <x:c r="F914" s="13" t="str">
        <x:v>I04 Table_1!P874/U874</x:v>
      </x:c>
      <x:c r="G914" s="13" t="str">
        <x:v>是</x:v>
      </x:c>
      <x:c r="H914" s="12"/>
      <x:c r="I914" s="12"/>
      <x:c r="J914" s="12"/>
      <x:c r="K914" s="12"/>
      <x:c r="L914" s="12"/>
      <x:c r="M914" s="12"/>
      <x:c r="N914" s="12"/>
      <x:c r="O914" s="12"/>
    </x:row>
    <x:row r="915" ht="24" customHeight="1">
      <x:c r="A915" s="13" t="str">
        <x:v>I04</x:v>
      </x:c>
      <x:c r="B915" s="13" t="str">
        <x:v>QHL</x:v>
      </x:c>
      <x:c r="C915" s="13" t="str">
        <x:v>Y03597</x:v>
      </x:c>
      <x:c r="D915" s="13" t="n">
        <x:v>118</x:v>
      </x:c>
      <x:c r="E915" s="30" t="n">
        <x:v>67.8</x:v>
      </x:c>
      <x:c r="F915" s="13" t="str">
        <x:v>I04 Table_1!P875/U875</x:v>
      </x:c>
      <x:c r="G915" s="13" t="str">
        <x:v>是</x:v>
      </x:c>
      <x:c r="H915" s="12"/>
      <x:c r="I915" s="12"/>
      <x:c r="J915" s="12"/>
      <x:c r="K915" s="12"/>
      <x:c r="L915" s="12"/>
      <x:c r="M915" s="12"/>
      <x:c r="N915" s="12"/>
      <x:c r="O915" s="12"/>
    </x:row>
    <x:row r="916" ht="24" customHeight="1">
      <x:c r="A916" s="13" t="str">
        <x:v>I04</x:v>
      </x:c>
      <x:c r="B916" s="13" t="str">
        <x:v>QHL</x:v>
      </x:c>
      <x:c r="C916" s="13" t="str">
        <x:v>Y05826</x:v>
      </x:c>
      <x:c r="D916" s="13" t="n">
        <x:v>124</x:v>
      </x:c>
      <x:c r="E916" s="30" t="n">
        <x:v>70.2</x:v>
      </x:c>
      <x:c r="F916" s="13" t="str">
        <x:v>I04 Table_1!P876/U876</x:v>
      </x:c>
      <x:c r="G916" s="13" t="str">
        <x:v>是</x:v>
      </x:c>
      <x:c r="H916" s="12"/>
      <x:c r="I916" s="12"/>
      <x:c r="J916" s="12"/>
      <x:c r="K916" s="12"/>
      <x:c r="L916" s="12"/>
      <x:c r="M916" s="12"/>
      <x:c r="N916" s="12"/>
      <x:c r="O916" s="12"/>
    </x:row>
    <x:row r="917" ht="24" customHeight="1">
      <x:c r="A917" s="13" t="str">
        <x:v>I04</x:v>
      </x:c>
      <x:c r="B917" s="13" t="str">
        <x:v>QHL</x:v>
      </x:c>
      <x:c r="C917" s="13" t="str">
        <x:v>Y06378</x:v>
      </x:c>
      <x:c r="D917" s="13" t="n">
        <x:v>131</x:v>
      </x:c>
      <x:c r="E917" s="30" t="n">
        <x:v>59.5</x:v>
      </x:c>
      <x:c r="F917" s="13" t="str">
        <x:v>I04 Table_1!P877/U877</x:v>
      </x:c>
      <x:c r="G917" s="13" t="str">
        <x:v>否</x:v>
      </x:c>
      <x:c r="H917" s="12"/>
      <x:c r="I917" s="12"/>
      <x:c r="J917" s="12"/>
      <x:c r="K917" s="12"/>
      <x:c r="L917" s="12"/>
      <x:c r="M917" s="12"/>
      <x:c r="N917" s="12"/>
      <x:c r="O917" s="12"/>
    </x:row>
    <x:row r="918" ht="24" customHeight="1">
      <x:c r="A918" s="13" t="str">
        <x:v>I04</x:v>
      </x:c>
      <x:c r="B918" s="13" t="str">
        <x:v>QUA</x:v>
      </x:c>
      <x:c r="C918" s="13" t="str">
        <x:v>M87001</x:v>
      </x:c>
      <x:c r="D918" s="13" t="n">
        <x:v>45</x:v>
      </x:c>
      <x:c r="E918" s="30" t="n">
        <x:v>95.6</x:v>
      </x:c>
      <x:c r="F918" s="13" t="str">
        <x:v>I04 Table_1!P4908/U4908</x:v>
      </x:c>
      <x:c r="G918" s="13" t="str">
        <x:v>是</x:v>
      </x:c>
      <x:c r="H918" s="12"/>
      <x:c r="I918" s="12"/>
      <x:c r="J918" s="12"/>
      <x:c r="K918" s="12"/>
      <x:c r="L918" s="12"/>
      <x:c r="M918" s="12"/>
      <x:c r="N918" s="12"/>
      <x:c r="O918" s="12"/>
    </x:row>
    <x:row r="919" ht="24" customHeight="1">
      <x:c r="A919" s="13" t="str">
        <x:v>I04</x:v>
      </x:c>
      <x:c r="B919" s="13" t="str">
        <x:v>QUA</x:v>
      </x:c>
      <x:c r="C919" s="13" t="str">
        <x:v>M87003</x:v>
      </x:c>
      <x:c r="D919" s="13" t="n">
        <x:v>152</x:v>
      </x:c>
      <x:c r="E919" s="30" t="n">
        <x:v>95.4</x:v>
      </x:c>
      <x:c r="F919" s="13" t="str">
        <x:v>I04 Table_1!P4909/U4909</x:v>
      </x:c>
      <x:c r="G919" s="13" t="str">
        <x:v>是</x:v>
      </x:c>
      <x:c r="H919" s="12"/>
      <x:c r="I919" s="12"/>
      <x:c r="J919" s="12"/>
      <x:c r="K919" s="12"/>
      <x:c r="L919" s="12"/>
      <x:c r="M919" s="12"/>
      <x:c r="N919" s="12"/>
      <x:c r="O919" s="12"/>
    </x:row>
    <x:row r="920" ht="24" customHeight="1">
      <x:c r="A920" s="13" t="str">
        <x:v>I04</x:v>
      </x:c>
      <x:c r="B920" s="13" t="str">
        <x:v>QUA</x:v>
      </x:c>
      <x:c r="C920" s="13" t="str">
        <x:v>M87005</x:v>
      </x:c>
      <x:c r="D920" s="13" t="n">
        <x:v>136</x:v>
      </x:c>
      <x:c r="E920" s="30" t="n">
        <x:v>91.2</x:v>
      </x:c>
      <x:c r="F920" s="13" t="str">
        <x:v>I04 Table_1!P4910/U4910</x:v>
      </x:c>
      <x:c r="G920" s="13" t="str">
        <x:v>是</x:v>
      </x:c>
      <x:c r="H920" s="12"/>
      <x:c r="I920" s="12"/>
      <x:c r="J920" s="12"/>
      <x:c r="K920" s="12"/>
      <x:c r="L920" s="12"/>
      <x:c r="M920" s="12"/>
      <x:c r="N920" s="12"/>
      <x:c r="O920" s="12"/>
    </x:row>
    <x:row r="921" ht="24" customHeight="1">
      <x:c r="A921" s="13" t="str">
        <x:v>I04</x:v>
      </x:c>
      <x:c r="B921" s="13" t="str">
        <x:v>QUA</x:v>
      </x:c>
      <x:c r="C921" s="13" t="str">
        <x:v>M87006</x:v>
      </x:c>
      <x:c r="D921" s="13" t="n">
        <x:v>106</x:v>
      </x:c>
      <x:c r="E921" s="30" t="n">
        <x:v>88.7</x:v>
      </x:c>
      <x:c r="F921" s="13" t="str">
        <x:v>I04 Table_1!P4911/U4911</x:v>
      </x:c>
      <x:c r="G921" s="13" t="str">
        <x:v>是</x:v>
      </x:c>
      <x:c r="H921" s="12"/>
      <x:c r="I921" s="12"/>
      <x:c r="J921" s="12"/>
      <x:c r="K921" s="12"/>
      <x:c r="L921" s="12"/>
      <x:c r="M921" s="12"/>
      <x:c r="N921" s="12"/>
      <x:c r="O921" s="12"/>
    </x:row>
    <x:row r="922" ht="24" customHeight="1">
      <x:c r="A922" s="13" t="str">
        <x:v>I04</x:v>
      </x:c>
      <x:c r="B922" s="13" t="str">
        <x:v>QUA</x:v>
      </x:c>
      <x:c r="C922" s="13" t="str">
        <x:v>M87007</x:v>
      </x:c>
      <x:c r="D922" s="13" t="n">
        <x:v>113</x:v>
      </x:c>
      <x:c r="E922" s="30" t="n">
        <x:v>95.6</x:v>
      </x:c>
      <x:c r="F922" s="13" t="str">
        <x:v>I04 Table_1!P4912/U4912</x:v>
      </x:c>
      <x:c r="G922" s="13" t="str">
        <x:v>是</x:v>
      </x:c>
      <x:c r="H922" s="12"/>
      <x:c r="I922" s="12"/>
      <x:c r="J922" s="12"/>
      <x:c r="K922" s="12"/>
      <x:c r="L922" s="12"/>
      <x:c r="M922" s="12"/>
      <x:c r="N922" s="12"/>
      <x:c r="O922" s="12"/>
    </x:row>
    <x:row r="923" ht="24" customHeight="1">
      <x:c r="A923" s="13" t="str">
        <x:v>I04</x:v>
      </x:c>
      <x:c r="B923" s="13" t="str">
        <x:v>QUA</x:v>
      </x:c>
      <x:c r="C923" s="13" t="str">
        <x:v>M87008</x:v>
      </x:c>
      <x:c r="D923" s="13" t="n">
        <x:v>81</x:v>
      </x:c>
      <x:c r="E923" s="30" t="n">
        <x:v>93.8</x:v>
      </x:c>
      <x:c r="F923" s="13" t="str">
        <x:v>I04 Table_1!P4913/U4913</x:v>
      </x:c>
      <x:c r="G923" s="13" t="str">
        <x:v>是</x:v>
      </x:c>
      <x:c r="H923" s="12"/>
      <x:c r="I923" s="12"/>
      <x:c r="J923" s="12"/>
      <x:c r="K923" s="12"/>
      <x:c r="L923" s="12"/>
      <x:c r="M923" s="12"/>
      <x:c r="N923" s="12"/>
      <x:c r="O923" s="12"/>
    </x:row>
    <x:row r="924" ht="24" customHeight="1">
      <x:c r="A924" s="13" t="str">
        <x:v>I04</x:v>
      </x:c>
      <x:c r="B924" s="13" t="str">
        <x:v>QUA</x:v>
      </x:c>
      <x:c r="C924" s="13" t="str">
        <x:v>M87009</x:v>
      </x:c>
      <x:c r="D924" s="13" t="n">
        <x:v>178</x:v>
      </x:c>
      <x:c r="E924" s="30" t="n">
        <x:v>90.4</x:v>
      </x:c>
      <x:c r="F924" s="13" t="str">
        <x:v>I04 Table_1!P4914/U4914</x:v>
      </x:c>
      <x:c r="G924" s="13" t="str">
        <x:v>是</x:v>
      </x:c>
      <x:c r="H924" s="12"/>
      <x:c r="I924" s="12"/>
      <x:c r="J924" s="12"/>
      <x:c r="K924" s="12"/>
      <x:c r="L924" s="12"/>
      <x:c r="M924" s="12"/>
      <x:c r="N924" s="12"/>
      <x:c r="O924" s="12"/>
    </x:row>
    <x:row r="925" ht="24" customHeight="1">
      <x:c r="A925" s="13" t="str">
        <x:v>I04</x:v>
      </x:c>
      <x:c r="B925" s="13" t="str">
        <x:v>QUA</x:v>
      </x:c>
      <x:c r="C925" s="13" t="str">
        <x:v>M87010</x:v>
      </x:c>
      <x:c r="D925" s="13" t="n">
        <x:v>101</x:v>
      </x:c>
      <x:c r="E925" s="30" t="n">
        <x:v>87.1</x:v>
      </x:c>
      <x:c r="F925" s="13" t="str">
        <x:v>I04 Table_1!P4915/U4915</x:v>
      </x:c>
      <x:c r="G925" s="13" t="str">
        <x:v>是</x:v>
      </x:c>
      <x:c r="H925" s="12"/>
      <x:c r="I925" s="12"/>
      <x:c r="J925" s="12"/>
      <x:c r="K925" s="12"/>
      <x:c r="L925" s="12"/>
      <x:c r="M925" s="12"/>
      <x:c r="N925" s="12"/>
      <x:c r="O925" s="12"/>
    </x:row>
    <x:row r="926" ht="24" customHeight="1">
      <x:c r="A926" s="13" t="str">
        <x:v>I04</x:v>
      </x:c>
      <x:c r="B926" s="13" t="str">
        <x:v>QUA</x:v>
      </x:c>
      <x:c r="C926" s="13" t="str">
        <x:v>M87011</x:v>
      </x:c>
      <x:c r="D926" s="13" t="n">
        <x:v>248</x:v>
      </x:c>
      <x:c r="E926" s="30" t="n">
        <x:v>94.8</x:v>
      </x:c>
      <x:c r="F926" s="13" t="str">
        <x:v>I04 Table_1!P4916/U4916</x:v>
      </x:c>
      <x:c r="G926" s="13" t="str">
        <x:v>是</x:v>
      </x:c>
      <x:c r="H926" s="12"/>
      <x:c r="I926" s="12"/>
      <x:c r="J926" s="12"/>
      <x:c r="K926" s="12"/>
      <x:c r="L926" s="12"/>
      <x:c r="M926" s="12"/>
      <x:c r="N926" s="12"/>
      <x:c r="O926" s="12"/>
    </x:row>
    <x:row r="927" ht="24" customHeight="1">
      <x:c r="A927" s="13" t="str">
        <x:v>I04</x:v>
      </x:c>
      <x:c r="B927" s="13" t="str">
        <x:v>QUA</x:v>
      </x:c>
      <x:c r="C927" s="13" t="str">
        <x:v>M87012</x:v>
      </x:c>
      <x:c r="D927" s="13" t="n">
        <x:v>97</x:v>
      </x:c>
      <x:c r="E927" s="30" t="n">
        <x:v>84.5</x:v>
      </x:c>
      <x:c r="F927" s="13" t="str">
        <x:v>I04 Table_1!P4917/U4917</x:v>
      </x:c>
      <x:c r="G927" s="13" t="str">
        <x:v>是</x:v>
      </x:c>
      <x:c r="H927" s="12"/>
      <x:c r="I927" s="12"/>
      <x:c r="J927" s="12"/>
      <x:c r="K927" s="12"/>
      <x:c r="L927" s="12"/>
      <x:c r="M927" s="12"/>
      <x:c r="N927" s="12"/>
      <x:c r="O927" s="12"/>
    </x:row>
    <x:row r="928" ht="24" customHeight="1">
      <x:c r="A928" s="13" t="str">
        <x:v>I04</x:v>
      </x:c>
      <x:c r="B928" s="13" t="str">
        <x:v>QUA</x:v>
      </x:c>
      <x:c r="C928" s="13" t="str">
        <x:v>M87013</x:v>
      </x:c>
      <x:c r="D928" s="13" t="n">
        <x:v>121</x:v>
      </x:c>
      <x:c r="E928" s="30" t="n">
        <x:v>85.1</x:v>
      </x:c>
      <x:c r="F928" s="13" t="str">
        <x:v>I04 Table_1!P4918/U4918</x:v>
      </x:c>
      <x:c r="G928" s="13" t="str">
        <x:v>是</x:v>
      </x:c>
      <x:c r="H928" s="12"/>
      <x:c r="I928" s="12"/>
      <x:c r="J928" s="12"/>
      <x:c r="K928" s="12"/>
      <x:c r="L928" s="12"/>
      <x:c r="M928" s="12"/>
      <x:c r="N928" s="12"/>
      <x:c r="O928" s="12"/>
    </x:row>
    <x:row r="929" ht="24" customHeight="1">
      <x:c r="A929" s="13" t="str">
        <x:v>I04</x:v>
      </x:c>
      <x:c r="B929" s="13" t="str">
        <x:v>QUA</x:v>
      </x:c>
      <x:c r="C929" s="13" t="str">
        <x:v>M87014</x:v>
      </x:c>
      <x:c r="D929" s="13" t="n">
        <x:v>80</x:v>
      </x:c>
      <x:c r="E929" s="30" t="n">
        <x:v>92.5</x:v>
      </x:c>
      <x:c r="F929" s="13" t="str">
        <x:v>I04 Table_1!P4919/U4919</x:v>
      </x:c>
      <x:c r="G929" s="13" t="str">
        <x:v>是</x:v>
      </x:c>
      <x:c r="H929" s="12"/>
      <x:c r="I929" s="12"/>
      <x:c r="J929" s="12"/>
      <x:c r="K929" s="12"/>
      <x:c r="L929" s="12"/>
      <x:c r="M929" s="12"/>
      <x:c r="N929" s="12"/>
      <x:c r="O929" s="12"/>
    </x:row>
    <x:row r="930" ht="24" customHeight="1">
      <x:c r="A930" s="13" t="str">
        <x:v>I04</x:v>
      </x:c>
      <x:c r="B930" s="13" t="str">
        <x:v>QUA</x:v>
      </x:c>
      <x:c r="C930" s="13" t="str">
        <x:v>M87015</x:v>
      </x:c>
      <x:c r="D930" s="13" t="n">
        <x:v>81</x:v>
      </x:c>
      <x:c r="E930" s="30" t="n">
        <x:v>84</x:v>
      </x:c>
      <x:c r="F930" s="13" t="str">
        <x:v>I04 Table_1!P4920/U4920</x:v>
      </x:c>
      <x:c r="G930" s="13" t="str">
        <x:v>是</x:v>
      </x:c>
      <x:c r="H930" s="12"/>
      <x:c r="I930" s="12"/>
      <x:c r="J930" s="12"/>
      <x:c r="K930" s="12"/>
      <x:c r="L930" s="12"/>
      <x:c r="M930" s="12"/>
      <x:c r="N930" s="12"/>
      <x:c r="O930" s="12"/>
    </x:row>
    <x:row r="931" ht="24" customHeight="1">
      <x:c r="A931" s="13" t="str">
        <x:v>I04</x:v>
      </x:c>
      <x:c r="B931" s="13" t="str">
        <x:v>QUA</x:v>
      </x:c>
      <x:c r="C931" s="13" t="str">
        <x:v>M87016</x:v>
      </x:c>
      <x:c r="D931" s="13" t="n">
        <x:v>81</x:v>
      </x:c>
      <x:c r="E931" s="30" t="n">
        <x:v>88.9</x:v>
      </x:c>
      <x:c r="F931" s="13" t="str">
        <x:v>I04 Table_1!P4921/U4921</x:v>
      </x:c>
      <x:c r="G931" s="13" t="str">
        <x:v>是</x:v>
      </x:c>
      <x:c r="H931" s="12"/>
      <x:c r="I931" s="12"/>
      <x:c r="J931" s="12"/>
      <x:c r="K931" s="12"/>
      <x:c r="L931" s="12"/>
      <x:c r="M931" s="12"/>
      <x:c r="N931" s="12"/>
      <x:c r="O931" s="12"/>
    </x:row>
    <x:row r="932" ht="24" customHeight="1">
      <x:c r="A932" s="13" t="str">
        <x:v>I04</x:v>
      </x:c>
      <x:c r="B932" s="13" t="str">
        <x:v>QUA</x:v>
      </x:c>
      <x:c r="C932" s="13" t="str">
        <x:v>M87017</x:v>
      </x:c>
      <x:c r="D932" s="13" t="n">
        <x:v>113</x:v>
      </x:c>
      <x:c r="E932" s="30" t="n">
        <x:v>82.3</x:v>
      </x:c>
      <x:c r="F932" s="13" t="str">
        <x:v>I04 Table_1!P4922/U4922</x:v>
      </x:c>
      <x:c r="G932" s="13" t="str">
        <x:v>是</x:v>
      </x:c>
      <x:c r="H932" s="12"/>
      <x:c r="I932" s="12"/>
      <x:c r="J932" s="12"/>
      <x:c r="K932" s="12"/>
      <x:c r="L932" s="12"/>
      <x:c r="M932" s="12"/>
      <x:c r="N932" s="12"/>
      <x:c r="O932" s="12"/>
    </x:row>
    <x:row r="933" ht="24" customHeight="1">
      <x:c r="A933" s="13" t="str">
        <x:v>I04</x:v>
      </x:c>
      <x:c r="B933" s="13" t="str">
        <x:v>QUA</x:v>
      </x:c>
      <x:c r="C933" s="13" t="str">
        <x:v>M87018</x:v>
      </x:c>
      <x:c r="D933" s="13" t="n">
        <x:v>68</x:v>
      </x:c>
      <x:c r="E933" s="30" t="n">
        <x:v>97.1</x:v>
      </x:c>
      <x:c r="F933" s="13" t="str">
        <x:v>I04 Table_1!P4923/U4923</x:v>
      </x:c>
      <x:c r="G933" s="13" t="str">
        <x:v>是</x:v>
      </x:c>
      <x:c r="H933" s="12"/>
      <x:c r="I933" s="12"/>
      <x:c r="J933" s="12"/>
      <x:c r="K933" s="12"/>
      <x:c r="L933" s="12"/>
      <x:c r="M933" s="12"/>
      <x:c r="N933" s="12"/>
      <x:c r="O933" s="12"/>
    </x:row>
    <x:row r="934" ht="24" customHeight="1">
      <x:c r="A934" s="13" t="str">
        <x:v>I04</x:v>
      </x:c>
      <x:c r="B934" s="13" t="str">
        <x:v>QUA</x:v>
      </x:c>
      <x:c r="C934" s="13" t="str">
        <x:v>M87019</x:v>
      </x:c>
      <x:c r="D934" s="13" t="n">
        <x:v>66</x:v>
      </x:c>
      <x:c r="E934" s="30" t="n">
        <x:v>86.4</x:v>
      </x:c>
      <x:c r="F934" s="13" t="str">
        <x:v>I04 Table_1!P4924/U4924</x:v>
      </x:c>
      <x:c r="G934" s="13" t="str">
        <x:v>是</x:v>
      </x:c>
      <x:c r="H934" s="12"/>
      <x:c r="I934" s="12"/>
      <x:c r="J934" s="12"/>
      <x:c r="K934" s="12"/>
      <x:c r="L934" s="12"/>
      <x:c r="M934" s="12"/>
      <x:c r="N934" s="12"/>
      <x:c r="O934" s="12"/>
    </x:row>
    <x:row r="935" ht="24" customHeight="1">
      <x:c r="A935" s="13" t="str">
        <x:v>I04</x:v>
      </x:c>
      <x:c r="B935" s="13" t="str">
        <x:v>QUA</x:v>
      </x:c>
      <x:c r="C935" s="13" t="str">
        <x:v>M87020</x:v>
      </x:c>
      <x:c r="D935" s="13" t="n">
        <x:v>80</x:v>
      </x:c>
      <x:c r="E935" s="30" t="n">
        <x:v>85</x:v>
      </x:c>
      <x:c r="F935" s="13" t="str">
        <x:v>I04 Table_1!P4925/U4925</x:v>
      </x:c>
      <x:c r="G935" s="13" t="str">
        <x:v>是</x:v>
      </x:c>
      <x:c r="H935" s="12"/>
      <x:c r="I935" s="12"/>
      <x:c r="J935" s="12"/>
      <x:c r="K935" s="12"/>
      <x:c r="L935" s="12"/>
      <x:c r="M935" s="12"/>
      <x:c r="N935" s="12"/>
      <x:c r="O935" s="12"/>
    </x:row>
    <x:row r="936" ht="24" customHeight="1">
      <x:c r="A936" s="13" t="str">
        <x:v>I04</x:v>
      </x:c>
      <x:c r="B936" s="13" t="str">
        <x:v>QUA</x:v>
      </x:c>
      <x:c r="C936" s="13" t="str">
        <x:v>M87021</x:v>
      </x:c>
      <x:c r="D936" s="13" t="n">
        <x:v>112</x:v>
      </x:c>
      <x:c r="E936" s="30" t="n">
        <x:v>83</x:v>
      </x:c>
      <x:c r="F936" s="13" t="str">
        <x:v>I04 Table_1!P4926/U4926</x:v>
      </x:c>
      <x:c r="G936" s="13" t="str">
        <x:v>是</x:v>
      </x:c>
      <x:c r="H936" s="12"/>
      <x:c r="I936" s="12"/>
      <x:c r="J936" s="12"/>
      <x:c r="K936" s="12"/>
      <x:c r="L936" s="12"/>
      <x:c r="M936" s="12"/>
      <x:c r="N936" s="12"/>
      <x:c r="O936" s="12"/>
    </x:row>
    <x:row r="937" ht="24" customHeight="1">
      <x:c r="A937" s="13" t="str">
        <x:v>I04</x:v>
      </x:c>
      <x:c r="B937" s="13" t="str">
        <x:v>QUA</x:v>
      </x:c>
      <x:c r="C937" s="13" t="str">
        <x:v>M87023</x:v>
      </x:c>
      <x:c r="D937" s="13" t="n">
        <x:v>100</x:v>
      </x:c>
      <x:c r="E937" s="30" t="n">
        <x:v>93</x:v>
      </x:c>
      <x:c r="F937" s="13" t="str">
        <x:v>I04 Table_1!P4927/U4927</x:v>
      </x:c>
      <x:c r="G937" s="13" t="str">
        <x:v>是</x:v>
      </x:c>
      <x:c r="H937" s="12"/>
      <x:c r="I937" s="12"/>
      <x:c r="J937" s="12"/>
      <x:c r="K937" s="12"/>
      <x:c r="L937" s="12"/>
      <x:c r="M937" s="12"/>
      <x:c r="N937" s="12"/>
      <x:c r="O937" s="12"/>
    </x:row>
    <x:row r="938" ht="24" customHeight="1">
      <x:c r="A938" s="13" t="str">
        <x:v>I04</x:v>
      </x:c>
      <x:c r="B938" s="13" t="str">
        <x:v>QUA</x:v>
      </x:c>
      <x:c r="C938" s="13" t="str">
        <x:v>M87024</x:v>
      </x:c>
      <x:c r="D938" s="13" t="n">
        <x:v>223</x:v>
      </x:c>
      <x:c r="E938" s="30" t="n">
        <x:v>89.7</x:v>
      </x:c>
      <x:c r="F938" s="13" t="str">
        <x:v>I04 Table_1!P4928/U4928</x:v>
      </x:c>
      <x:c r="G938" s="13" t="str">
        <x:v>是</x:v>
      </x:c>
      <x:c r="H938" s="12"/>
      <x:c r="I938" s="12"/>
      <x:c r="J938" s="12"/>
      <x:c r="K938" s="12"/>
      <x:c r="L938" s="12"/>
      <x:c r="M938" s="12"/>
      <x:c r="N938" s="12"/>
      <x:c r="O938" s="12"/>
    </x:row>
    <x:row r="939" ht="24" customHeight="1">
      <x:c r="A939" s="13" t="str">
        <x:v>I04</x:v>
      </x:c>
      <x:c r="B939" s="13" t="str">
        <x:v>QUA</x:v>
      </x:c>
      <x:c r="C939" s="13" t="str">
        <x:v>M87025</x:v>
      </x:c>
      <x:c r="D939" s="13" t="n">
        <x:v>68</x:v>
      </x:c>
      <x:c r="E939" s="30" t="n">
        <x:v>76.5</x:v>
      </x:c>
      <x:c r="F939" s="13" t="str">
        <x:v>I04 Table_1!P4929/U4929</x:v>
      </x:c>
      <x:c r="G939" s="13" t="str">
        <x:v>是</x:v>
      </x:c>
      <x:c r="H939" s="12"/>
      <x:c r="I939" s="12"/>
      <x:c r="J939" s="12"/>
      <x:c r="K939" s="12"/>
      <x:c r="L939" s="12"/>
      <x:c r="M939" s="12"/>
      <x:c r="N939" s="12"/>
      <x:c r="O939" s="12"/>
    </x:row>
    <x:row r="940" ht="24" customHeight="1">
      <x:c r="A940" s="13" t="str">
        <x:v>I04</x:v>
      </x:c>
      <x:c r="B940" s="13" t="str">
        <x:v>QUA</x:v>
      </x:c>
      <x:c r="C940" s="13" t="str">
        <x:v>M87026</x:v>
      </x:c>
      <x:c r="D940" s="13" t="n">
        <x:v>68</x:v>
      </x:c>
      <x:c r="E940" s="30" t="n">
        <x:v>82.4</x:v>
      </x:c>
      <x:c r="F940" s="13" t="str">
        <x:v>I04 Table_1!P4930/U4930</x:v>
      </x:c>
      <x:c r="G940" s="13" t="str">
        <x:v>是</x:v>
      </x:c>
      <x:c r="H940" s="12"/>
      <x:c r="I940" s="12"/>
      <x:c r="J940" s="12"/>
      <x:c r="K940" s="12"/>
      <x:c r="L940" s="12"/>
      <x:c r="M940" s="12"/>
      <x:c r="N940" s="12"/>
      <x:c r="O940" s="12"/>
    </x:row>
    <x:row r="941" ht="24" customHeight="1">
      <x:c r="A941" s="13" t="str">
        <x:v>I04</x:v>
      </x:c>
      <x:c r="B941" s="13" t="str">
        <x:v>QUA</x:v>
      </x:c>
      <x:c r="C941" s="13" t="str">
        <x:v>M87027</x:v>
      </x:c>
      <x:c r="D941" s="13" t="n">
        <x:v>53</x:v>
      </x:c>
      <x:c r="E941" s="30" t="n">
        <x:v>83</x:v>
      </x:c>
      <x:c r="F941" s="13" t="str">
        <x:v>I04 Table_1!P4931/U4931</x:v>
      </x:c>
      <x:c r="G941" s="13" t="str">
        <x:v>是</x:v>
      </x:c>
      <x:c r="H941" s="12"/>
      <x:c r="I941" s="12"/>
      <x:c r="J941" s="12"/>
      <x:c r="K941" s="12"/>
      <x:c r="L941" s="12"/>
      <x:c r="M941" s="12"/>
      <x:c r="N941" s="12"/>
      <x:c r="O941" s="12"/>
    </x:row>
    <x:row r="942" ht="24" customHeight="1">
      <x:c r="A942" s="13" t="str">
        <x:v>I04</x:v>
      </x:c>
      <x:c r="B942" s="13" t="str">
        <x:v>QUA</x:v>
      </x:c>
      <x:c r="C942" s="13" t="str">
        <x:v>M87028</x:v>
      </x:c>
      <x:c r="D942" s="13" t="n">
        <x:v>109</x:v>
      </x:c>
      <x:c r="E942" s="30" t="n">
        <x:v>88.1</x:v>
      </x:c>
      <x:c r="F942" s="13" t="str">
        <x:v>I04 Table_1!P4932/U4932</x:v>
      </x:c>
      <x:c r="G942" s="13" t="str">
        <x:v>是</x:v>
      </x:c>
      <x:c r="H942" s="12"/>
      <x:c r="I942" s="12"/>
      <x:c r="J942" s="12"/>
      <x:c r="K942" s="12"/>
      <x:c r="L942" s="12"/>
      <x:c r="M942" s="12"/>
      <x:c r="N942" s="12"/>
      <x:c r="O942" s="12"/>
    </x:row>
    <x:row r="943" ht="24" customHeight="1">
      <x:c r="A943" s="13" t="str">
        <x:v>I04</x:v>
      </x:c>
      <x:c r="B943" s="13" t="str">
        <x:v>QUA</x:v>
      </x:c>
      <x:c r="C943" s="13" t="str">
        <x:v>M87030</x:v>
      </x:c>
      <x:c r="D943" s="13" t="n">
        <x:v>54</x:v>
      </x:c>
      <x:c r="E943" s="30" t="n">
        <x:v>90.7</x:v>
      </x:c>
      <x:c r="F943" s="13" t="str">
        <x:v>I04 Table_1!P4933/U4933</x:v>
      </x:c>
      <x:c r="G943" s="13" t="str">
        <x:v>是</x:v>
      </x:c>
      <x:c r="H943" s="12"/>
      <x:c r="I943" s="12"/>
      <x:c r="J943" s="12"/>
      <x:c r="K943" s="12"/>
      <x:c r="L943" s="12"/>
      <x:c r="M943" s="12"/>
      <x:c r="N943" s="12"/>
      <x:c r="O943" s="12"/>
    </x:row>
    <x:row r="944" ht="24" customHeight="1">
      <x:c r="A944" s="13" t="str">
        <x:v>I04</x:v>
      </x:c>
      <x:c r="B944" s="13" t="str">
        <x:v>QUA</x:v>
      </x:c>
      <x:c r="C944" s="13" t="str">
        <x:v>M87034</x:v>
      </x:c>
      <x:c r="D944" s="13" t="n">
        <x:v>76</x:v>
      </x:c>
      <x:c r="E944" s="30" t="n">
        <x:v>73.7</x:v>
      </x:c>
      <x:c r="F944" s="13" t="str">
        <x:v>I04 Table_1!P4934/U4934</x:v>
      </x:c>
      <x:c r="G944" s="13" t="str">
        <x:v>是</x:v>
      </x:c>
      <x:c r="H944" s="12"/>
      <x:c r="I944" s="12"/>
      <x:c r="J944" s="12"/>
      <x:c r="K944" s="12"/>
      <x:c r="L944" s="12"/>
      <x:c r="M944" s="12"/>
      <x:c r="N944" s="12"/>
      <x:c r="O944" s="12"/>
    </x:row>
    <x:row r="945" ht="24" customHeight="1">
      <x:c r="A945" s="13" t="str">
        <x:v>I04</x:v>
      </x:c>
      <x:c r="B945" s="13" t="str">
        <x:v>QUA</x:v>
      </x:c>
      <x:c r="C945" s="13" t="str">
        <x:v>M87036</x:v>
      </x:c>
      <x:c r="D945" s="13" t="n">
        <x:v>42</x:v>
      </x:c>
      <x:c r="E945" s="30" t="n">
        <x:v>69</x:v>
      </x:c>
      <x:c r="F945" s="13" t="str">
        <x:v>I04 Table_1!P4935/U4935</x:v>
      </x:c>
      <x:c r="G945" s="13" t="str">
        <x:v>是</x:v>
      </x:c>
      <x:c r="H945" s="12"/>
      <x:c r="I945" s="12"/>
      <x:c r="J945" s="12"/>
      <x:c r="K945" s="12"/>
      <x:c r="L945" s="12"/>
      <x:c r="M945" s="12"/>
      <x:c r="N945" s="12"/>
      <x:c r="O945" s="12"/>
    </x:row>
    <x:row r="946" ht="24" customHeight="1">
      <x:c r="A946" s="13" t="str">
        <x:v>I04</x:v>
      </x:c>
      <x:c r="B946" s="13" t="str">
        <x:v>QUA</x:v>
      </x:c>
      <x:c r="C946" s="13" t="str">
        <x:v>M87037</x:v>
      </x:c>
      <x:c r="D946" s="13" t="n">
        <x:v>74</x:v>
      </x:c>
      <x:c r="E946" s="30" t="n">
        <x:v>95.9</x:v>
      </x:c>
      <x:c r="F946" s="13" t="str">
        <x:v>I04 Table_1!P4936/U4936</x:v>
      </x:c>
      <x:c r="G946" s="13" t="str">
        <x:v>是</x:v>
      </x:c>
      <x:c r="H946" s="12"/>
      <x:c r="I946" s="12"/>
      <x:c r="J946" s="12"/>
      <x:c r="K946" s="12"/>
      <x:c r="L946" s="12"/>
      <x:c r="M946" s="12"/>
      <x:c r="N946" s="12"/>
      <x:c r="O946" s="12"/>
    </x:row>
    <x:row r="947" ht="24" customHeight="1">
      <x:c r="A947" s="13" t="str">
        <x:v>I04</x:v>
      </x:c>
      <x:c r="B947" s="13" t="str">
        <x:v>QUA</x:v>
      </x:c>
      <x:c r="C947" s="13" t="str">
        <x:v>M87041</x:v>
      </x:c>
      <x:c r="D947" s="13" t="n">
        <x:v>68</x:v>
      </x:c>
      <x:c r="E947" s="30" t="n">
        <x:v>94.1</x:v>
      </x:c>
      <x:c r="F947" s="13" t="str">
        <x:v>I04 Table_1!P4937/U4937</x:v>
      </x:c>
      <x:c r="G947" s="13" t="str">
        <x:v>是</x:v>
      </x:c>
      <x:c r="H947" s="12"/>
      <x:c r="I947" s="12"/>
      <x:c r="J947" s="12"/>
      <x:c r="K947" s="12"/>
      <x:c r="L947" s="12"/>
      <x:c r="M947" s="12"/>
      <x:c r="N947" s="12"/>
      <x:c r="O947" s="12"/>
    </x:row>
    <x:row r="948" ht="24" customHeight="1">
      <x:c r="A948" s="13" t="str">
        <x:v>I04</x:v>
      </x:c>
      <x:c r="B948" s="13" t="str">
        <x:v>QUA</x:v>
      </x:c>
      <x:c r="C948" s="13" t="str">
        <x:v>M87601</x:v>
      </x:c>
      <x:c r="D948" s="13" t="n">
        <x:v>112</x:v>
      </x:c>
      <x:c r="E948" s="30" t="n">
        <x:v>77.7</x:v>
      </x:c>
      <x:c r="F948" s="13" t="str">
        <x:v>I04 Table_1!P4938/U4938</x:v>
      </x:c>
      <x:c r="G948" s="13" t="str">
        <x:v>是</x:v>
      </x:c>
      <x:c r="H948" s="12"/>
      <x:c r="I948" s="12"/>
      <x:c r="J948" s="12"/>
      <x:c r="K948" s="12"/>
      <x:c r="L948" s="12"/>
      <x:c r="M948" s="12"/>
      <x:c r="N948" s="12"/>
      <x:c r="O948" s="12"/>
    </x:row>
    <x:row r="949" ht="24" customHeight="1">
      <x:c r="A949" s="13" t="str">
        <x:v>I04</x:v>
      </x:c>
      <x:c r="B949" s="13" t="str">
        <x:v>QUA</x:v>
      </x:c>
      <x:c r="C949" s="13" t="str">
        <x:v>M87602</x:v>
      </x:c>
      <x:c r="D949" s="13" t="n">
        <x:v>103</x:v>
      </x:c>
      <x:c r="E949" s="30" t="n">
        <x:v>92.2</x:v>
      </x:c>
      <x:c r="F949" s="13" t="str">
        <x:v>I04 Table_1!P4939/U4939</x:v>
      </x:c>
      <x:c r="G949" s="13" t="str">
        <x:v>是</x:v>
      </x:c>
      <x:c r="H949" s="12"/>
      <x:c r="I949" s="12"/>
      <x:c r="J949" s="12"/>
      <x:c r="K949" s="12"/>
      <x:c r="L949" s="12"/>
      <x:c r="M949" s="12"/>
      <x:c r="N949" s="12"/>
      <x:c r="O949" s="12"/>
    </x:row>
    <x:row r="950" ht="24" customHeight="1">
      <x:c r="A950" s="13" t="str">
        <x:v>I04</x:v>
      </x:c>
      <x:c r="B950" s="13" t="str">
        <x:v>QUA</x:v>
      </x:c>
      <x:c r="C950" s="13" t="str">
        <x:v>M87605</x:v>
      </x:c>
      <x:c r="D950" s="13" t="n">
        <x:v>80</x:v>
      </x:c>
      <x:c r="E950" s="30" t="n">
        <x:v>75</x:v>
      </x:c>
      <x:c r="F950" s="13" t="str">
        <x:v>I04 Table_1!P4940/U4940</x:v>
      </x:c>
      <x:c r="G950" s="13" t="str">
        <x:v>是</x:v>
      </x:c>
      <x:c r="H950" s="12"/>
      <x:c r="I950" s="12"/>
      <x:c r="J950" s="12"/>
      <x:c r="K950" s="12"/>
      <x:c r="L950" s="12"/>
      <x:c r="M950" s="12"/>
      <x:c r="N950" s="12"/>
      <x:c r="O950" s="12"/>
    </x:row>
    <x:row r="951" ht="24" customHeight="1">
      <x:c r="A951" s="13" t="str">
        <x:v>I04</x:v>
      </x:c>
      <x:c r="B951" s="13" t="str">
        <x:v>QUA</x:v>
      </x:c>
      <x:c r="C951" s="13" t="str">
        <x:v>M87612</x:v>
      </x:c>
      <x:c r="D951" s="13" t="n">
        <x:v>32</x:v>
      </x:c>
      <x:c r="E951" s="30" t="n">
        <x:v>78.1</x:v>
      </x:c>
      <x:c r="F951" s="13" t="str">
        <x:v>I04 Table_1!P4941/U4941</x:v>
      </x:c>
      <x:c r="G951" s="13" t="str">
        <x:v>是</x:v>
      </x:c>
      <x:c r="H951" s="12"/>
      <x:c r="I951" s="12"/>
      <x:c r="J951" s="12"/>
      <x:c r="K951" s="12"/>
      <x:c r="L951" s="12"/>
      <x:c r="M951" s="12"/>
      <x:c r="N951" s="12"/>
      <x:c r="O951" s="12"/>
    </x:row>
    <x:row r="952" ht="24" customHeight="1">
      <x:c r="A952" s="13" t="str">
        <x:v>I04</x:v>
      </x:c>
      <x:c r="B952" s="13" t="str">
        <x:v>QUA</x:v>
      </x:c>
      <x:c r="C952" s="13" t="str">
        <x:v>M87617</x:v>
      </x:c>
      <x:c r="D952" s="13" t="n">
        <x:v>99</x:v>
      </x:c>
      <x:c r="E952" s="30" t="n">
        <x:v>88.9</x:v>
      </x:c>
      <x:c r="F952" s="13" t="str">
        <x:v>I04 Table_1!P4942/U4942</x:v>
      </x:c>
      <x:c r="G952" s="13" t="str">
        <x:v>是</x:v>
      </x:c>
      <x:c r="H952" s="12"/>
      <x:c r="I952" s="12"/>
      <x:c r="J952" s="12"/>
      <x:c r="K952" s="12"/>
      <x:c r="L952" s="12"/>
      <x:c r="M952" s="12"/>
      <x:c r="N952" s="12"/>
      <x:c r="O952" s="12"/>
    </x:row>
    <x:row r="953" ht="24" customHeight="1">
      <x:c r="A953" s="13" t="str">
        <x:v>I04</x:v>
      </x:c>
      <x:c r="B953" s="13" t="str">
        <x:v>QUA</x:v>
      </x:c>
      <x:c r="C953" s="13" t="str">
        <x:v>M87618</x:v>
      </x:c>
      <x:c r="D953" s="13" t="n">
        <x:v>32</x:v>
      </x:c>
      <x:c r="E953" s="30" t="n">
        <x:v>93.8</x:v>
      </x:c>
      <x:c r="F953" s="13" t="str">
        <x:v>I04 Table_1!P4943/U4943</x:v>
      </x:c>
      <x:c r="G953" s="13" t="str">
        <x:v>是</x:v>
      </x:c>
      <x:c r="H953" s="12"/>
      <x:c r="I953" s="12"/>
      <x:c r="J953" s="12"/>
      <x:c r="K953" s="12"/>
      <x:c r="L953" s="12"/>
      <x:c r="M953" s="12"/>
      <x:c r="N953" s="12"/>
      <x:c r="O953" s="12"/>
    </x:row>
    <x:row r="954" ht="24" customHeight="1">
      <x:c r="A954" s="13" t="str">
        <x:v>I04</x:v>
      </x:c>
      <x:c r="B954" s="13" t="str">
        <x:v>QUA</x:v>
      </x:c>
      <x:c r="C954" s="13" t="str">
        <x:v>M87620</x:v>
      </x:c>
      <x:c r="D954" s="13" t="n">
        <x:v>105</x:v>
      </x:c>
      <x:c r="E954" s="30" t="n">
        <x:v>91.4</x:v>
      </x:c>
      <x:c r="F954" s="13" t="str">
        <x:v>I04 Table_1!P4944/U4944</x:v>
      </x:c>
      <x:c r="G954" s="13" t="str">
        <x:v>是</x:v>
      </x:c>
      <x:c r="H954" s="12"/>
      <x:c r="I954" s="12"/>
      <x:c r="J954" s="12"/>
      <x:c r="K954" s="12"/>
      <x:c r="L954" s="12"/>
      <x:c r="M954" s="12"/>
      <x:c r="N954" s="12"/>
      <x:c r="O954" s="12"/>
    </x:row>
    <x:row r="955" ht="24" customHeight="1">
      <x:c r="A955" s="13" t="str">
        <x:v>I04</x:v>
      </x:c>
      <x:c r="B955" s="13" t="str">
        <x:v>QUA</x:v>
      </x:c>
      <x:c r="C955" s="13" t="str">
        <x:v>M87621</x:v>
      </x:c>
      <x:c r="D955" s="13" t="n">
        <x:v>34</x:v>
      </x:c>
      <x:c r="E955" s="30" t="n">
        <x:v>82.4</x:v>
      </x:c>
      <x:c r="F955" s="13" t="str">
        <x:v>I04 Table_1!P4945/U4945</x:v>
      </x:c>
      <x:c r="G955" s="13" t="str">
        <x:v>是</x:v>
      </x:c>
      <x:c r="H955" s="12"/>
      <x:c r="I955" s="12"/>
      <x:c r="J955" s="12"/>
      <x:c r="K955" s="12"/>
      <x:c r="L955" s="12"/>
      <x:c r="M955" s="12"/>
      <x:c r="N955" s="12"/>
      <x:c r="O955" s="12"/>
    </x:row>
    <x:row r="956" ht="24" customHeight="1">
      <x:c r="A956" s="13" t="str">
        <x:v>I04</x:v>
      </x:c>
      <x:c r="B956" s="13" t="str">
        <x:v>QUA</x:v>
      </x:c>
      <x:c r="C956" s="13" t="str">
        <x:v>M87623</x:v>
      </x:c>
      <x:c r="D956" s="13" t="n">
        <x:v>44</x:v>
      </x:c>
      <x:c r="E956" s="30" t="n">
        <x:v>90.9</x:v>
      </x:c>
      <x:c r="F956" s="13" t="str">
        <x:v>I04 Table_1!P4946/U4946</x:v>
      </x:c>
      <x:c r="G956" s="13" t="str">
        <x:v>是</x:v>
      </x:c>
      <x:c r="H956" s="12"/>
      <x:c r="I956" s="12"/>
      <x:c r="J956" s="12"/>
      <x:c r="K956" s="12"/>
      <x:c r="L956" s="12"/>
      <x:c r="M956" s="12"/>
      <x:c r="N956" s="12"/>
      <x:c r="O956" s="12"/>
    </x:row>
    <x:row r="957" ht="24" customHeight="1">
      <x:c r="A957" s="13" t="str">
        <x:v>I04</x:v>
      </x:c>
      <x:c r="B957" s="13" t="str">
        <x:v>QUA</x:v>
      </x:c>
      <x:c r="C957" s="13" t="str">
        <x:v>M87628</x:v>
      </x:c>
      <x:c r="D957" s="13" t="n">
        <x:v>34</x:v>
      </x:c>
      <x:c r="E957" s="30" t="n">
        <x:v>70.6</x:v>
      </x:c>
      <x:c r="F957" s="13" t="str">
        <x:v>I04 Table_1!P4947/U4947</x:v>
      </x:c>
      <x:c r="G957" s="13" t="str">
        <x:v>是</x:v>
      </x:c>
      <x:c r="H957" s="12"/>
      <x:c r="I957" s="12"/>
      <x:c r="J957" s="12"/>
      <x:c r="K957" s="12"/>
      <x:c r="L957" s="12"/>
      <x:c r="M957" s="12"/>
      <x:c r="N957" s="12"/>
      <x:c r="O957" s="12"/>
    </x:row>
    <x:row r="958" ht="24" customHeight="1">
      <x:c r="A958" s="13" t="str">
        <x:v>I04</x:v>
      </x:c>
      <x:c r="B958" s="13" t="str">
        <x:v>QUA</x:v>
      </x:c>
      <x:c r="C958" s="13" t="str">
        <x:v>M87638</x:v>
      </x:c>
      <x:c r="D958" s="13" t="n">
        <x:v>40</x:v>
      </x:c>
      <x:c r="E958" s="30" t="n">
        <x:v>87.5</x:v>
      </x:c>
      <x:c r="F958" s="13" t="str">
        <x:v>I04 Table_1!P4948/U4948</x:v>
      </x:c>
      <x:c r="G958" s="13" t="str">
        <x:v>是</x:v>
      </x:c>
      <x:c r="H958" s="12"/>
      <x:c r="I958" s="12"/>
      <x:c r="J958" s="12"/>
      <x:c r="K958" s="12"/>
      <x:c r="L958" s="12"/>
      <x:c r="M958" s="12"/>
      <x:c r="N958" s="12"/>
      <x:c r="O958" s="12"/>
    </x:row>
    <x:row r="959" ht="24" customHeight="1">
      <x:c r="A959" s="13" t="str">
        <x:v>I04</x:v>
      </x:c>
      <x:c r="B959" s="13" t="str">
        <x:v>QUA</x:v>
      </x:c>
      <x:c r="C959" s="13" t="str">
        <x:v>M88001</x:v>
      </x:c>
      <x:c r="D959" s="13" t="n">
        <x:v>143</x:v>
      </x:c>
      <x:c r="E959" s="30" t="n">
        <x:v>76.2</x:v>
      </x:c>
      <x:c r="F959" s="13" t="str">
        <x:v>I04 Table_1!P4949/U4949</x:v>
      </x:c>
      <x:c r="G959" s="13" t="str">
        <x:v>是</x:v>
      </x:c>
      <x:c r="H959" s="12"/>
      <x:c r="I959" s="12"/>
      <x:c r="J959" s="12"/>
      <x:c r="K959" s="12"/>
      <x:c r="L959" s="12"/>
      <x:c r="M959" s="12"/>
      <x:c r="N959" s="12"/>
      <x:c r="O959" s="12"/>
    </x:row>
    <x:row r="960" ht="24" customHeight="1">
      <x:c r="A960" s="13" t="str">
        <x:v>I04</x:v>
      </x:c>
      <x:c r="B960" s="13" t="str">
        <x:v>QUA</x:v>
      </x:c>
      <x:c r="C960" s="13" t="str">
        <x:v>M88002</x:v>
      </x:c>
      <x:c r="D960" s="13" t="n">
        <x:v>116</x:v>
      </x:c>
      <x:c r="E960" s="30" t="n">
        <x:v>73.3</x:v>
      </x:c>
      <x:c r="F960" s="13" t="str">
        <x:v>I04 Table_1!P4950/U4950</x:v>
      </x:c>
      <x:c r="G960" s="13" t="str">
        <x:v>是</x:v>
      </x:c>
      <x:c r="H960" s="12"/>
      <x:c r="I960" s="12"/>
      <x:c r="J960" s="12"/>
      <x:c r="K960" s="12"/>
      <x:c r="L960" s="12"/>
      <x:c r="M960" s="12"/>
      <x:c r="N960" s="12"/>
      <x:c r="O960" s="12"/>
    </x:row>
    <x:row r="961" ht="24" customHeight="1">
      <x:c r="A961" s="13" t="str">
        <x:v>I04</x:v>
      </x:c>
      <x:c r="B961" s="13" t="str">
        <x:v>QUA</x:v>
      </x:c>
      <x:c r="C961" s="13" t="str">
        <x:v>M88003</x:v>
      </x:c>
      <x:c r="D961" s="13" t="n">
        <x:v>133</x:v>
      </x:c>
      <x:c r="E961" s="30" t="n">
        <x:v>76.7</x:v>
      </x:c>
      <x:c r="F961" s="13" t="str">
        <x:v>I04 Table_1!P4951/U4951</x:v>
      </x:c>
      <x:c r="G961" s="13" t="str">
        <x:v>是</x:v>
      </x:c>
      <x:c r="H961" s="12"/>
      <x:c r="I961" s="12"/>
      <x:c r="J961" s="12"/>
      <x:c r="K961" s="12"/>
      <x:c r="L961" s="12"/>
      <x:c r="M961" s="12"/>
      <x:c r="N961" s="12"/>
      <x:c r="O961" s="12"/>
    </x:row>
    <x:row r="962" ht="24" customHeight="1">
      <x:c r="A962" s="13" t="str">
        <x:v>I04</x:v>
      </x:c>
      <x:c r="B962" s="13" t="str">
        <x:v>QUA</x:v>
      </x:c>
      <x:c r="C962" s="13" t="str">
        <x:v>M88004</x:v>
      </x:c>
      <x:c r="D962" s="13" t="n">
        <x:v>520</x:v>
      </x:c>
      <x:c r="E962" s="30" t="n">
        <x:v>82.1</x:v>
      </x:c>
      <x:c r="F962" s="13" t="str">
        <x:v>I04 Table_1!P4952/U4952</x:v>
      </x:c>
      <x:c r="G962" s="13" t="str">
        <x:v>是</x:v>
      </x:c>
      <x:c r="H962" s="12"/>
      <x:c r="I962" s="12"/>
      <x:c r="J962" s="12"/>
      <x:c r="K962" s="12"/>
      <x:c r="L962" s="12"/>
      <x:c r="M962" s="12"/>
      <x:c r="N962" s="12"/>
      <x:c r="O962" s="12"/>
    </x:row>
    <x:row r="963" ht="24" customHeight="1">
      <x:c r="A963" s="13" t="str">
        <x:v>I04</x:v>
      </x:c>
      <x:c r="B963" s="13" t="str">
        <x:v>QUA</x:v>
      </x:c>
      <x:c r="C963" s="13" t="str">
        <x:v>M88006</x:v>
      </x:c>
      <x:c r="D963" s="13" t="n">
        <x:v>161</x:v>
      </x:c>
      <x:c r="E963" s="30" t="n">
        <x:v>85.1</x:v>
      </x:c>
      <x:c r="F963" s="13" t="str">
        <x:v>I04 Table_1!P4953/U4953</x:v>
      </x:c>
      <x:c r="G963" s="13" t="str">
        <x:v>是</x:v>
      </x:c>
      <x:c r="H963" s="12"/>
      <x:c r="I963" s="12"/>
      <x:c r="J963" s="12"/>
      <x:c r="K963" s="12"/>
      <x:c r="L963" s="12"/>
      <x:c r="M963" s="12"/>
      <x:c r="N963" s="12"/>
      <x:c r="O963" s="12"/>
    </x:row>
    <x:row r="964" ht="24" customHeight="1">
      <x:c r="A964" s="13" t="str">
        <x:v>I04</x:v>
      </x:c>
      <x:c r="B964" s="13" t="str">
        <x:v>QUA</x:v>
      </x:c>
      <x:c r="C964" s="13" t="str">
        <x:v>M88007</x:v>
      </x:c>
      <x:c r="D964" s="13" t="n">
        <x:v>118</x:v>
      </x:c>
      <x:c r="E964" s="30" t="n">
        <x:v>79.7</x:v>
      </x:c>
      <x:c r="F964" s="13" t="str">
        <x:v>I04 Table_1!P4954/U4954</x:v>
      </x:c>
      <x:c r="G964" s="13" t="str">
        <x:v>是</x:v>
      </x:c>
      <x:c r="H964" s="12"/>
      <x:c r="I964" s="12"/>
      <x:c r="J964" s="12"/>
      <x:c r="K964" s="12"/>
      <x:c r="L964" s="12"/>
      <x:c r="M964" s="12"/>
      <x:c r="N964" s="12"/>
      <x:c r="O964" s="12"/>
    </x:row>
    <x:row r="965" ht="24" customHeight="1">
      <x:c r="A965" s="13" t="str">
        <x:v>I04</x:v>
      </x:c>
      <x:c r="B965" s="13" t="str">
        <x:v>QUA</x:v>
      </x:c>
      <x:c r="C965" s="13" t="str">
        <x:v>M88008</x:v>
      </x:c>
      <x:c r="D965" s="13" t="n">
        <x:v>76</x:v>
      </x:c>
      <x:c r="E965" s="30" t="n">
        <x:v>86.8</x:v>
      </x:c>
      <x:c r="F965" s="13" t="str">
        <x:v>I04 Table_1!P4955/U4955</x:v>
      </x:c>
      <x:c r="G965" s="13" t="str">
        <x:v>是</x:v>
      </x:c>
      <x:c r="H965" s="12"/>
      <x:c r="I965" s="12"/>
      <x:c r="J965" s="12"/>
      <x:c r="K965" s="12"/>
      <x:c r="L965" s="12"/>
      <x:c r="M965" s="12"/>
      <x:c r="N965" s="12"/>
      <x:c r="O965" s="12"/>
    </x:row>
    <x:row r="966" ht="24" customHeight="1">
      <x:c r="A966" s="13" t="str">
        <x:v>I04</x:v>
      </x:c>
      <x:c r="B966" s="13" t="str">
        <x:v>QUA</x:v>
      </x:c>
      <x:c r="C966" s="13" t="str">
        <x:v>M88009</x:v>
      </x:c>
      <x:c r="D966" s="13" t="n">
        <x:v>117</x:v>
      </x:c>
      <x:c r="E966" s="30" t="n">
        <x:v>63.2</x:v>
      </x:c>
      <x:c r="F966" s="13" t="str">
        <x:v>I04 Table_1!P4956/U4956</x:v>
      </x:c>
      <x:c r="G966" s="13" t="str">
        <x:v>是</x:v>
      </x:c>
      <x:c r="H966" s="12"/>
      <x:c r="I966" s="12"/>
      <x:c r="J966" s="12"/>
      <x:c r="K966" s="12"/>
      <x:c r="L966" s="12"/>
      <x:c r="M966" s="12"/>
      <x:c r="N966" s="12"/>
      <x:c r="O966" s="12"/>
    </x:row>
    <x:row r="967" ht="24" customHeight="1">
      <x:c r="A967" s="13" t="str">
        <x:v>I04</x:v>
      </x:c>
      <x:c r="B967" s="13" t="str">
        <x:v>QUA</x:v>
      </x:c>
      <x:c r="C967" s="13" t="str">
        <x:v>M88010</x:v>
      </x:c>
      <x:c r="D967" s="13" t="n">
        <x:v>114</x:v>
      </x:c>
      <x:c r="E967" s="30" t="n">
        <x:v>86</x:v>
      </x:c>
      <x:c r="F967" s="13" t="str">
        <x:v>I04 Table_1!P4957/U4957</x:v>
      </x:c>
      <x:c r="G967" s="13" t="str">
        <x:v>是</x:v>
      </x:c>
      <x:c r="H967" s="12"/>
      <x:c r="I967" s="12"/>
      <x:c r="J967" s="12"/>
      <x:c r="K967" s="12"/>
      <x:c r="L967" s="12"/>
      <x:c r="M967" s="12"/>
      <x:c r="N967" s="12"/>
      <x:c r="O967" s="12"/>
    </x:row>
    <x:row r="968" ht="24" customHeight="1">
      <x:c r="A968" s="13" t="str">
        <x:v>I04</x:v>
      </x:c>
      <x:c r="B968" s="13" t="str">
        <x:v>QUA</x:v>
      </x:c>
      <x:c r="C968" s="13" t="str">
        <x:v>M88013</x:v>
      </x:c>
      <x:c r="D968" s="13" t="n">
        <x:v>173</x:v>
      </x:c>
      <x:c r="E968" s="30" t="n">
        <x:v>76.3</x:v>
      </x:c>
      <x:c r="F968" s="13" t="str">
        <x:v>I04 Table_1!P4958/U4958</x:v>
      </x:c>
      <x:c r="G968" s="13" t="str">
        <x:v>是</x:v>
      </x:c>
      <x:c r="H968" s="12"/>
      <x:c r="I968" s="12"/>
      <x:c r="J968" s="12"/>
      <x:c r="K968" s="12"/>
      <x:c r="L968" s="12"/>
      <x:c r="M968" s="12"/>
      <x:c r="N968" s="12"/>
      <x:c r="O968" s="12"/>
    </x:row>
    <x:row r="969" ht="24" customHeight="1">
      <x:c r="A969" s="13" t="str">
        <x:v>I04</x:v>
      </x:c>
      <x:c r="B969" s="13" t="str">
        <x:v>QUA</x:v>
      </x:c>
      <x:c r="C969" s="13" t="str">
        <x:v>M88014</x:v>
      </x:c>
      <x:c r="D969" s="13" t="n">
        <x:v>60</x:v>
      </x:c>
      <x:c r="E969" s="30" t="n">
        <x:v>80</x:v>
      </x:c>
      <x:c r="F969" s="13" t="str">
        <x:v>I04 Table_1!P4959/U4959</x:v>
      </x:c>
      <x:c r="G969" s="13" t="str">
        <x:v>是</x:v>
      </x:c>
      <x:c r="H969" s="12"/>
      <x:c r="I969" s="12"/>
      <x:c r="J969" s="12"/>
      <x:c r="K969" s="12"/>
      <x:c r="L969" s="12"/>
      <x:c r="M969" s="12"/>
      <x:c r="N969" s="12"/>
      <x:c r="O969" s="12"/>
    </x:row>
    <x:row r="970" ht="24" customHeight="1">
      <x:c r="A970" s="13" t="str">
        <x:v>I04</x:v>
      </x:c>
      <x:c r="B970" s="13" t="str">
        <x:v>QUA</x:v>
      </x:c>
      <x:c r="C970" s="13" t="str">
        <x:v>M88015</x:v>
      </x:c>
      <x:c r="D970" s="13" t="n">
        <x:v>145</x:v>
      </x:c>
      <x:c r="E970" s="30" t="n">
        <x:v>77.2</x:v>
      </x:c>
      <x:c r="F970" s="13" t="str">
        <x:v>I04 Table_1!P4960/U4960</x:v>
      </x:c>
      <x:c r="G970" s="13" t="str">
        <x:v>是</x:v>
      </x:c>
      <x:c r="H970" s="12"/>
      <x:c r="I970" s="12"/>
      <x:c r="J970" s="12"/>
      <x:c r="K970" s="12"/>
      <x:c r="L970" s="12"/>
      <x:c r="M970" s="12"/>
      <x:c r="N970" s="12"/>
      <x:c r="O970" s="12"/>
    </x:row>
    <x:row r="971" ht="24" customHeight="1">
      <x:c r="A971" s="13" t="str">
        <x:v>I04</x:v>
      </x:c>
      <x:c r="B971" s="13" t="str">
        <x:v>QUA</x:v>
      </x:c>
      <x:c r="C971" s="13" t="str">
        <x:v>M88016</x:v>
      </x:c>
      <x:c r="D971" s="13" t="n">
        <x:v>36</x:v>
      </x:c>
      <x:c r="E971" s="30" t="n">
        <x:v>75</x:v>
      </x:c>
      <x:c r="F971" s="13" t="str">
        <x:v>I04 Table_1!P4961/U4961</x:v>
      </x:c>
      <x:c r="G971" s="13" t="str">
        <x:v>是</x:v>
      </x:c>
      <x:c r="H971" s="12"/>
      <x:c r="I971" s="12"/>
      <x:c r="J971" s="12"/>
      <x:c r="K971" s="12"/>
      <x:c r="L971" s="12"/>
      <x:c r="M971" s="12"/>
      <x:c r="N971" s="12"/>
      <x:c r="O971" s="12"/>
    </x:row>
    <x:row r="972" ht="24" customHeight="1">
      <x:c r="A972" s="13" t="str">
        <x:v>I04</x:v>
      </x:c>
      <x:c r="B972" s="13" t="str">
        <x:v>QUA</x:v>
      </x:c>
      <x:c r="C972" s="13" t="str">
        <x:v>M88018</x:v>
      </x:c>
      <x:c r="D972" s="13" t="n">
        <x:v>264</x:v>
      </x:c>
      <x:c r="E972" s="30" t="n">
        <x:v>75</x:v>
      </x:c>
      <x:c r="F972" s="13" t="str">
        <x:v>I04 Table_1!P4962/U4962</x:v>
      </x:c>
      <x:c r="G972" s="13" t="str">
        <x:v>是</x:v>
      </x:c>
      <x:c r="H972" s="12"/>
      <x:c r="I972" s="12"/>
      <x:c r="J972" s="12"/>
      <x:c r="K972" s="12"/>
      <x:c r="L972" s="12"/>
      <x:c r="M972" s="12"/>
      <x:c r="N972" s="12"/>
      <x:c r="O972" s="12"/>
    </x:row>
    <x:row r="973" ht="24" customHeight="1">
      <x:c r="A973" s="13" t="str">
        <x:v>I04</x:v>
      </x:c>
      <x:c r="B973" s="13" t="str">
        <x:v>QUA</x:v>
      </x:c>
      <x:c r="C973" s="13" t="str">
        <x:v>M88019</x:v>
      </x:c>
      <x:c r="D973" s="13" t="n">
        <x:v>49</x:v>
      </x:c>
      <x:c r="E973" s="30" t="n">
        <x:v>61.2</x:v>
      </x:c>
      <x:c r="F973" s="13" t="str">
        <x:v>I04 Table_1!P4963/U4963</x:v>
      </x:c>
      <x:c r="G973" s="13" t="str">
        <x:v>是</x:v>
      </x:c>
      <x:c r="H973" s="12"/>
      <x:c r="I973" s="12"/>
      <x:c r="J973" s="12"/>
      <x:c r="K973" s="12"/>
      <x:c r="L973" s="12"/>
      <x:c r="M973" s="12"/>
      <x:c r="N973" s="12"/>
      <x:c r="O973" s="12"/>
    </x:row>
    <x:row r="974" ht="24" customHeight="1">
      <x:c r="A974" s="13" t="str">
        <x:v>I04</x:v>
      </x:c>
      <x:c r="B974" s="13" t="str">
        <x:v>QUA</x:v>
      </x:c>
      <x:c r="C974" s="13" t="str">
        <x:v>M88021</x:v>
      </x:c>
      <x:c r="D974" s="13" t="n">
        <x:v>125</x:v>
      </x:c>
      <x:c r="E974" s="30" t="n">
        <x:v>76</x:v>
      </x:c>
      <x:c r="F974" s="13" t="str">
        <x:v>I04 Table_1!P4964/U4964</x:v>
      </x:c>
      <x:c r="G974" s="13" t="str">
        <x:v>是</x:v>
      </x:c>
      <x:c r="H974" s="12"/>
      <x:c r="I974" s="12"/>
      <x:c r="J974" s="12"/>
      <x:c r="K974" s="12"/>
      <x:c r="L974" s="12"/>
      <x:c r="M974" s="12"/>
      <x:c r="N974" s="12"/>
      <x:c r="O974" s="12"/>
    </x:row>
    <x:row r="975" ht="24" customHeight="1">
      <x:c r="A975" s="13" t="str">
        <x:v>I04</x:v>
      </x:c>
      <x:c r="B975" s="13" t="str">
        <x:v>QUA</x:v>
      </x:c>
      <x:c r="C975" s="13" t="str">
        <x:v>M88022</x:v>
      </x:c>
      <x:c r="D975" s="13" t="n">
        <x:v>32</x:v>
      </x:c>
      <x:c r="E975" s="30" t="n">
        <x:v>90.6</x:v>
      </x:c>
      <x:c r="F975" s="13" t="str">
        <x:v>I04 Table_1!P4965/U4965</x:v>
      </x:c>
      <x:c r="G975" s="13" t="str">
        <x:v>是</x:v>
      </x:c>
      <x:c r="H975" s="12"/>
      <x:c r="I975" s="12"/>
      <x:c r="J975" s="12"/>
      <x:c r="K975" s="12"/>
      <x:c r="L975" s="12"/>
      <x:c r="M975" s="12"/>
      <x:c r="N975" s="12"/>
      <x:c r="O975" s="12"/>
    </x:row>
    <x:row r="976" ht="24" customHeight="1">
      <x:c r="A976" s="13" t="str">
        <x:v>I04</x:v>
      </x:c>
      <x:c r="B976" s="13" t="str">
        <x:v>QUA</x:v>
      </x:c>
      <x:c r="C976" s="13" t="str">
        <x:v>M88023</x:v>
      </x:c>
      <x:c r="D976" s="13" t="n">
        <x:v>82</x:v>
      </x:c>
      <x:c r="E976" s="30" t="n">
        <x:v>92.7</x:v>
      </x:c>
      <x:c r="F976" s="13" t="str">
        <x:v>I04 Table_1!P4966/U4966</x:v>
      </x:c>
      <x:c r="G976" s="13" t="str">
        <x:v>是</x:v>
      </x:c>
      <x:c r="H976" s="12"/>
      <x:c r="I976" s="12"/>
      <x:c r="J976" s="12"/>
      <x:c r="K976" s="12"/>
      <x:c r="L976" s="12"/>
      <x:c r="M976" s="12"/>
      <x:c r="N976" s="12"/>
      <x:c r="O976" s="12"/>
    </x:row>
    <x:row r="977" ht="24" customHeight="1">
      <x:c r="A977" s="13" t="str">
        <x:v>I04</x:v>
      </x:c>
      <x:c r="B977" s="13" t="str">
        <x:v>QUA</x:v>
      </x:c>
      <x:c r="C977" s="13" t="str">
        <x:v>M88026</x:v>
      </x:c>
      <x:c r="D977" s="13" t="n">
        <x:v>77</x:v>
      </x:c>
      <x:c r="E977" s="30" t="n">
        <x:v>84.4</x:v>
      </x:c>
      <x:c r="F977" s="13" t="str">
        <x:v>I04 Table_1!P4967/U4967</x:v>
      </x:c>
      <x:c r="G977" s="13" t="str">
        <x:v>是</x:v>
      </x:c>
      <x:c r="H977" s="12"/>
      <x:c r="I977" s="12"/>
      <x:c r="J977" s="12"/>
      <x:c r="K977" s="12"/>
      <x:c r="L977" s="12"/>
      <x:c r="M977" s="12"/>
      <x:c r="N977" s="12"/>
      <x:c r="O977" s="12"/>
    </x:row>
    <x:row r="978" ht="24" customHeight="1">
      <x:c r="A978" s="13" t="str">
        <x:v>I04</x:v>
      </x:c>
      <x:c r="B978" s="13" t="str">
        <x:v>QUA</x:v>
      </x:c>
      <x:c r="C978" s="13" t="str">
        <x:v>M88030</x:v>
      </x:c>
      <x:c r="D978" s="13" t="n">
        <x:v>62</x:v>
      </x:c>
      <x:c r="E978" s="30" t="n">
        <x:v>93.5</x:v>
      </x:c>
      <x:c r="F978" s="13" t="str">
        <x:v>I04 Table_1!P4968/U4968</x:v>
      </x:c>
      <x:c r="G978" s="13" t="str">
        <x:v>是</x:v>
      </x:c>
      <x:c r="H978" s="12"/>
      <x:c r="I978" s="12"/>
      <x:c r="J978" s="12"/>
      <x:c r="K978" s="12"/>
      <x:c r="L978" s="12"/>
      <x:c r="M978" s="12"/>
      <x:c r="N978" s="12"/>
      <x:c r="O978" s="12"/>
    </x:row>
    <x:row r="979" ht="24" customHeight="1">
      <x:c r="A979" s="13" t="str">
        <x:v>I04</x:v>
      </x:c>
      <x:c r="B979" s="13" t="str">
        <x:v>QUA</x:v>
      </x:c>
      <x:c r="C979" s="13" t="str">
        <x:v>M88031</x:v>
      </x:c>
      <x:c r="D979" s="13" t="n">
        <x:v>42</x:v>
      </x:c>
      <x:c r="E979" s="30" t="n">
        <x:v>85.7</x:v>
      </x:c>
      <x:c r="F979" s="13" t="str">
        <x:v>I04 Table_1!P4969/U4969</x:v>
      </x:c>
      <x:c r="G979" s="13" t="str">
        <x:v>是</x:v>
      </x:c>
      <x:c r="H979" s="12"/>
      <x:c r="I979" s="12"/>
      <x:c r="J979" s="12"/>
      <x:c r="K979" s="12"/>
      <x:c r="L979" s="12"/>
      <x:c r="M979" s="12"/>
      <x:c r="N979" s="12"/>
      <x:c r="O979" s="12"/>
    </x:row>
    <x:row r="980" ht="24" customHeight="1">
      <x:c r="A980" s="13" t="str">
        <x:v>I04</x:v>
      </x:c>
      <x:c r="B980" s="13" t="str">
        <x:v>QUA</x:v>
      </x:c>
      <x:c r="C980" s="13" t="str">
        <x:v>M88035</x:v>
      </x:c>
      <x:c r="D980" s="13" t="n">
        <x:v>45</x:v>
      </x:c>
      <x:c r="E980" s="30" t="n">
        <x:v>77.8</x:v>
      </x:c>
      <x:c r="F980" s="13" t="str">
        <x:v>I04 Table_1!P4970/U4970</x:v>
      </x:c>
      <x:c r="G980" s="13" t="str">
        <x:v>是</x:v>
      </x:c>
      <x:c r="H980" s="12"/>
      <x:c r="I980" s="12"/>
      <x:c r="J980" s="12"/>
      <x:c r="K980" s="12"/>
      <x:c r="L980" s="12"/>
      <x:c r="M980" s="12"/>
      <x:c r="N980" s="12"/>
      <x:c r="O980" s="12"/>
    </x:row>
    <x:row r="981" ht="24" customHeight="1">
      <x:c r="A981" s="13" t="str">
        <x:v>I04</x:v>
      </x:c>
      <x:c r="B981" s="13" t="str">
        <x:v>QUA</x:v>
      </x:c>
      <x:c r="C981" s="13" t="str">
        <x:v>M88038</x:v>
      </x:c>
      <x:c r="D981" s="13" t="n">
        <x:v>151</x:v>
      </x:c>
      <x:c r="E981" s="30" t="n">
        <x:v>75.5</x:v>
      </x:c>
      <x:c r="F981" s="13" t="str">
        <x:v>I04 Table_1!P4971/U4971</x:v>
      </x:c>
      <x:c r="G981" s="13" t="str">
        <x:v>是</x:v>
      </x:c>
      <x:c r="H981" s="12"/>
      <x:c r="I981" s="12"/>
      <x:c r="J981" s="12"/>
      <x:c r="K981" s="12"/>
      <x:c r="L981" s="12"/>
      <x:c r="M981" s="12"/>
      <x:c r="N981" s="12"/>
      <x:c r="O981" s="12"/>
    </x:row>
    <x:row r="982" ht="24" customHeight="1">
      <x:c r="A982" s="13" t="str">
        <x:v>I04</x:v>
      </x:c>
      <x:c r="B982" s="13" t="str">
        <x:v>QUA</x:v>
      </x:c>
      <x:c r="C982" s="13" t="str">
        <x:v>M88040</x:v>
      </x:c>
      <x:c r="D982" s="13" t="n">
        <x:v>77</x:v>
      </x:c>
      <x:c r="E982" s="30" t="n">
        <x:v>75.3</x:v>
      </x:c>
      <x:c r="F982" s="13" t="str">
        <x:v>I04 Table_1!P4972/U4972</x:v>
      </x:c>
      <x:c r="G982" s="13" t="str">
        <x:v>是</x:v>
      </x:c>
      <x:c r="H982" s="12"/>
      <x:c r="I982" s="12"/>
      <x:c r="J982" s="12"/>
      <x:c r="K982" s="12"/>
      <x:c r="L982" s="12"/>
      <x:c r="M982" s="12"/>
      <x:c r="N982" s="12"/>
      <x:c r="O982" s="12"/>
    </x:row>
    <x:row r="983" ht="24" customHeight="1">
      <x:c r="A983" s="13" t="str">
        <x:v>I04</x:v>
      </x:c>
      <x:c r="B983" s="13" t="str">
        <x:v>QUA</x:v>
      </x:c>
      <x:c r="C983" s="13" t="str">
        <x:v>M88041</x:v>
      </x:c>
      <x:c r="D983" s="13" t="n">
        <x:v>46</x:v>
      </x:c>
      <x:c r="E983" s="30" t="n">
        <x:v>91.3</x:v>
      </x:c>
      <x:c r="F983" s="13" t="str">
        <x:v>I04 Table_1!P4973/U4973</x:v>
      </x:c>
      <x:c r="G983" s="13" t="str">
        <x:v>是</x:v>
      </x:c>
      <x:c r="H983" s="12"/>
      <x:c r="I983" s="12"/>
      <x:c r="J983" s="12"/>
      <x:c r="K983" s="12"/>
      <x:c r="L983" s="12"/>
      <x:c r="M983" s="12"/>
      <x:c r="N983" s="12"/>
      <x:c r="O983" s="12"/>
    </x:row>
    <x:row r="984" ht="24" customHeight="1">
      <x:c r="A984" s="13" t="str">
        <x:v>I04</x:v>
      </x:c>
      <x:c r="B984" s="13" t="str">
        <x:v>QUA</x:v>
      </x:c>
      <x:c r="C984" s="13" t="str">
        <x:v>M88042</x:v>
      </x:c>
      <x:c r="D984" s="13" t="n">
        <x:v>68</x:v>
      </x:c>
      <x:c r="E984" s="30" t="n">
        <x:v>77.9</x:v>
      </x:c>
      <x:c r="F984" s="13" t="str">
        <x:v>I04 Table_1!P4974/U4974</x:v>
      </x:c>
      <x:c r="G984" s="13" t="str">
        <x:v>是</x:v>
      </x:c>
      <x:c r="H984" s="12"/>
      <x:c r="I984" s="12"/>
      <x:c r="J984" s="12"/>
      <x:c r="K984" s="12"/>
      <x:c r="L984" s="12"/>
      <x:c r="M984" s="12"/>
      <x:c r="N984" s="12"/>
      <x:c r="O984" s="12"/>
    </x:row>
    <x:row r="985" ht="24" customHeight="1">
      <x:c r="A985" s="13" t="str">
        <x:v>I04</x:v>
      </x:c>
      <x:c r="B985" s="13" t="str">
        <x:v>QUA</x:v>
      </x:c>
      <x:c r="C985" s="13" t="str">
        <x:v>M88043</x:v>
      </x:c>
      <x:c r="D985" s="13" t="n">
        <x:v>115</x:v>
      </x:c>
      <x:c r="E985" s="30" t="n">
        <x:v>87</x:v>
      </x:c>
      <x:c r="F985" s="13" t="str">
        <x:v>I04 Table_1!P4975/U4975</x:v>
      </x:c>
      <x:c r="G985" s="13" t="str">
        <x:v>是</x:v>
      </x:c>
      <x:c r="H985" s="12"/>
      <x:c r="I985" s="12"/>
      <x:c r="J985" s="12"/>
      <x:c r="K985" s="12"/>
      <x:c r="L985" s="12"/>
      <x:c r="M985" s="12"/>
      <x:c r="N985" s="12"/>
      <x:c r="O985" s="12"/>
    </x:row>
    <x:row r="986" ht="24" customHeight="1">
      <x:c r="A986" s="13" t="str">
        <x:v>I04</x:v>
      </x:c>
      <x:c r="B986" s="13" t="str">
        <x:v>QUA</x:v>
      </x:c>
      <x:c r="C986" s="13" t="str">
        <x:v>M88600</x:v>
      </x:c>
      <x:c r="D986" s="13" t="n">
        <x:v>66</x:v>
      </x:c>
      <x:c r="E986" s="30" t="n">
        <x:v>84.8</x:v>
      </x:c>
      <x:c r="F986" s="13" t="str">
        <x:v>I04 Table_1!P4976/U4976</x:v>
      </x:c>
      <x:c r="G986" s="13" t="str">
        <x:v>是</x:v>
      </x:c>
      <x:c r="H986" s="12"/>
      <x:c r="I986" s="12"/>
      <x:c r="J986" s="12"/>
      <x:c r="K986" s="12"/>
      <x:c r="L986" s="12"/>
      <x:c r="M986" s="12"/>
      <x:c r="N986" s="12"/>
      <x:c r="O986" s="12"/>
    </x:row>
    <x:row r="987" ht="24" customHeight="1">
      <x:c r="A987" s="13" t="str">
        <x:v>I04</x:v>
      </x:c>
      <x:c r="B987" s="13" t="str">
        <x:v>QUA</x:v>
      </x:c>
      <x:c r="C987" s="13" t="str">
        <x:v>M88610</x:v>
      </x:c>
      <x:c r="D987" s="13" t="n">
        <x:v>73</x:v>
      </x:c>
      <x:c r="E987" s="30" t="n">
        <x:v>79.5</x:v>
      </x:c>
      <x:c r="F987" s="13" t="str">
        <x:v>I04 Table_1!P4977/U4977</x:v>
      </x:c>
      <x:c r="G987" s="13" t="str">
        <x:v>是</x:v>
      </x:c>
      <x:c r="H987" s="12"/>
      <x:c r="I987" s="12"/>
      <x:c r="J987" s="12"/>
      <x:c r="K987" s="12"/>
      <x:c r="L987" s="12"/>
      <x:c r="M987" s="12"/>
      <x:c r="N987" s="12"/>
      <x:c r="O987" s="12"/>
    </x:row>
    <x:row r="988" ht="24" customHeight="1">
      <x:c r="A988" s="13" t="str">
        <x:v>I04</x:v>
      </x:c>
      <x:c r="B988" s="13" t="str">
        <x:v>QUA</x:v>
      </x:c>
      <x:c r="C988" s="13" t="str">
        <x:v>M88612</x:v>
      </x:c>
      <x:c r="D988" s="13" t="n">
        <x:v>42</x:v>
      </x:c>
      <x:c r="E988" s="30" t="n">
        <x:v>83.3</x:v>
      </x:c>
      <x:c r="F988" s="13" t="str">
        <x:v>I04 Table_1!P4978/U4978</x:v>
      </x:c>
      <x:c r="G988" s="13" t="str">
        <x:v>是</x:v>
      </x:c>
      <x:c r="H988" s="12"/>
      <x:c r="I988" s="12"/>
      <x:c r="J988" s="12"/>
      <x:c r="K988" s="12"/>
      <x:c r="L988" s="12"/>
      <x:c r="M988" s="12"/>
      <x:c r="N988" s="12"/>
      <x:c r="O988" s="12"/>
    </x:row>
    <x:row r="989" ht="24" customHeight="1">
      <x:c r="A989" s="13" t="str">
        <x:v>I04</x:v>
      </x:c>
      <x:c r="B989" s="13" t="str">
        <x:v>QUA</x:v>
      </x:c>
      <x:c r="C989" s="13" t="str">
        <x:v>M88616</x:v>
      </x:c>
      <x:c r="D989" s="13" t="n">
        <x:v>203</x:v>
      </x:c>
      <x:c r="E989" s="30" t="n">
        <x:v>74.9</x:v>
      </x:c>
      <x:c r="F989" s="13" t="str">
        <x:v>I04 Table_1!P4979/U4979</x:v>
      </x:c>
      <x:c r="G989" s="13" t="str">
        <x:v>是</x:v>
      </x:c>
      <x:c r="H989" s="12"/>
      <x:c r="I989" s="12"/>
      <x:c r="J989" s="12"/>
      <x:c r="K989" s="12"/>
      <x:c r="L989" s="12"/>
      <x:c r="M989" s="12"/>
      <x:c r="N989" s="12"/>
      <x:c r="O989" s="12"/>
    </x:row>
    <x:row r="990" ht="24" customHeight="1">
      <x:c r="A990" s="13" t="str">
        <x:v>I04</x:v>
      </x:c>
      <x:c r="B990" s="13" t="str">
        <x:v>QUA</x:v>
      </x:c>
      <x:c r="C990" s="13" t="str">
        <x:v>M88618</x:v>
      </x:c>
      <x:c r="D990" s="13" t="n">
        <x:v>26</x:v>
      </x:c>
      <x:c r="E990" s="30" t="n">
        <x:v>88.5</x:v>
      </x:c>
      <x:c r="F990" s="13" t="str">
        <x:v>I04 Table_1!P4980/U4980</x:v>
      </x:c>
      <x:c r="G990" s="13" t="str">
        <x:v>是</x:v>
      </x:c>
      <x:c r="H990" s="12"/>
      <x:c r="I990" s="12"/>
      <x:c r="J990" s="12"/>
      <x:c r="K990" s="12"/>
      <x:c r="L990" s="12"/>
      <x:c r="M990" s="12"/>
      <x:c r="N990" s="12"/>
      <x:c r="O990" s="12"/>
    </x:row>
    <x:row r="991" ht="24" customHeight="1">
      <x:c r="A991" s="13" t="str">
        <x:v>I04</x:v>
      </x:c>
      <x:c r="B991" s="13" t="str">
        <x:v>QUA</x:v>
      </x:c>
      <x:c r="C991" s="13" t="str">
        <x:v>M88619</x:v>
      </x:c>
      <x:c r="D991" s="13" t="n">
        <x:v>137</x:v>
      </x:c>
      <x:c r="E991" s="30" t="n">
        <x:v>82.5</x:v>
      </x:c>
      <x:c r="F991" s="13" t="str">
        <x:v>I04 Table_1!P4981/U4981</x:v>
      </x:c>
      <x:c r="G991" s="13" t="str">
        <x:v>是</x:v>
      </x:c>
      <x:c r="H991" s="12"/>
      <x:c r="I991" s="12"/>
      <x:c r="J991" s="12"/>
      <x:c r="K991" s="12"/>
      <x:c r="L991" s="12"/>
      <x:c r="M991" s="12"/>
      <x:c r="N991" s="12"/>
      <x:c r="O991" s="12"/>
    </x:row>
    <x:row r="992" ht="24" customHeight="1">
      <x:c r="A992" s="13" t="str">
        <x:v>I04</x:v>
      </x:c>
      <x:c r="B992" s="13" t="str">
        <x:v>QUA</x:v>
      </x:c>
      <x:c r="C992" s="13" t="str">
        <x:v>M88620</x:v>
      </x:c>
      <x:c r="D992" s="13" t="n">
        <x:v>40</x:v>
      </x:c>
      <x:c r="E992" s="30" t="n">
        <x:v>82.5</x:v>
      </x:c>
      <x:c r="F992" s="13" t="str">
        <x:v>I04 Table_1!P4982/U4982</x:v>
      </x:c>
      <x:c r="G992" s="13" t="str">
        <x:v>是</x:v>
      </x:c>
      <x:c r="H992" s="12"/>
      <x:c r="I992" s="12"/>
      <x:c r="J992" s="12"/>
      <x:c r="K992" s="12"/>
      <x:c r="L992" s="12"/>
      <x:c r="M992" s="12"/>
      <x:c r="N992" s="12"/>
      <x:c r="O992" s="12"/>
    </x:row>
    <x:row r="993" ht="24" customHeight="1">
      <x:c r="A993" s="13" t="str">
        <x:v>I04</x:v>
      </x:c>
      <x:c r="B993" s="13" t="str">
        <x:v>QUA</x:v>
      </x:c>
      <x:c r="C993" s="13" t="str">
        <x:v>M88625</x:v>
      </x:c>
      <x:c r="D993" s="13" t="n">
        <x:v>46</x:v>
      </x:c>
      <x:c r="E993" s="30" t="n">
        <x:v>69.6</x:v>
      </x:c>
      <x:c r="F993" s="13" t="str">
        <x:v>I04 Table_1!P4983/U4983</x:v>
      </x:c>
      <x:c r="G993" s="13" t="str">
        <x:v>是</x:v>
      </x:c>
      <x:c r="H993" s="12"/>
      <x:c r="I993" s="12"/>
      <x:c r="J993" s="12"/>
      <x:c r="K993" s="12"/>
      <x:c r="L993" s="12"/>
      <x:c r="M993" s="12"/>
      <x:c r="N993" s="12"/>
      <x:c r="O993" s="12"/>
    </x:row>
    <x:row r="994" ht="24" customHeight="1">
      <x:c r="A994" s="13" t="str">
        <x:v>I04</x:v>
      </x:c>
      <x:c r="B994" s="13" t="str">
        <x:v>QUA</x:v>
      </x:c>
      <x:c r="C994" s="13" t="str">
        <x:v>M88626</x:v>
      </x:c>
      <x:c r="D994" s="13" t="n">
        <x:v>32</x:v>
      </x:c>
      <x:c r="E994" s="30" t="n">
        <x:v>62.5</x:v>
      </x:c>
      <x:c r="F994" s="13" t="str">
        <x:v>I04 Table_1!P4984/U4984</x:v>
      </x:c>
      <x:c r="G994" s="13" t="str">
        <x:v>是</x:v>
      </x:c>
      <x:c r="H994" s="12"/>
      <x:c r="I994" s="12"/>
      <x:c r="J994" s="12"/>
      <x:c r="K994" s="12"/>
      <x:c r="L994" s="12"/>
      <x:c r="M994" s="12"/>
      <x:c r="N994" s="12"/>
      <x:c r="O994" s="12"/>
    </x:row>
    <x:row r="995" ht="24" customHeight="1">
      <x:c r="A995" s="13" t="str">
        <x:v>I04</x:v>
      </x:c>
      <x:c r="B995" s="13" t="str">
        <x:v>QUA</x:v>
      </x:c>
      <x:c r="C995" s="13" t="str">
        <x:v>M88628</x:v>
      </x:c>
      <x:c r="D995" s="13" t="n">
        <x:v>32</x:v>
      </x:c>
      <x:c r="E995" s="30" t="n">
        <x:v>84.4</x:v>
      </x:c>
      <x:c r="F995" s="13" t="str">
        <x:v>I04 Table_1!P4985/U4985</x:v>
      </x:c>
      <x:c r="G995" s="13" t="str">
        <x:v>是</x:v>
      </x:c>
      <x:c r="H995" s="12"/>
      <x:c r="I995" s="12"/>
      <x:c r="J995" s="12"/>
      <x:c r="K995" s="12"/>
      <x:c r="L995" s="12"/>
      <x:c r="M995" s="12"/>
      <x:c r="N995" s="12"/>
      <x:c r="O995" s="12"/>
    </x:row>
    <x:row r="996" ht="24" customHeight="1">
      <x:c r="A996" s="13" t="str">
        <x:v>I04</x:v>
      </x:c>
      <x:c r="B996" s="13" t="str">
        <x:v>QUA</x:v>
      </x:c>
      <x:c r="C996" s="13" t="str">
        <x:v>M88630</x:v>
      </x:c>
      <x:c r="D996" s="13" t="n">
        <x:v>58</x:v>
      </x:c>
      <x:c r="E996" s="30" t="n">
        <x:v>74.1</x:v>
      </x:c>
      <x:c r="F996" s="13" t="str">
        <x:v>I04 Table_1!P4986/U4986</x:v>
      </x:c>
      <x:c r="G996" s="13" t="str">
        <x:v>是</x:v>
      </x:c>
      <x:c r="H996" s="12"/>
      <x:c r="I996" s="12"/>
      <x:c r="J996" s="12"/>
      <x:c r="K996" s="12"/>
      <x:c r="L996" s="12"/>
      <x:c r="M996" s="12"/>
      <x:c r="N996" s="12"/>
      <x:c r="O996" s="12"/>
    </x:row>
    <x:row r="997" ht="24" customHeight="1">
      <x:c r="A997" s="13" t="str">
        <x:v>I04</x:v>
      </x:c>
      <x:c r="B997" s="13" t="str">
        <x:v>QUA</x:v>
      </x:c>
      <x:c r="C997" s="13" t="str">
        <x:v>M88633</x:v>
      </x:c>
      <x:c r="D997" s="13" t="n">
        <x:v>84</x:v>
      </x:c>
      <x:c r="E997" s="30" t="n">
        <x:v>86.9</x:v>
      </x:c>
      <x:c r="F997" s="13" t="str">
        <x:v>I04 Table_1!P4987/U4987</x:v>
      </x:c>
      <x:c r="G997" s="13" t="str">
        <x:v>是</x:v>
      </x:c>
      <x:c r="H997" s="12"/>
      <x:c r="I997" s="12"/>
      <x:c r="J997" s="12"/>
      <x:c r="K997" s="12"/>
      <x:c r="L997" s="12"/>
      <x:c r="M997" s="12"/>
      <x:c r="N997" s="12"/>
      <x:c r="O997" s="12"/>
    </x:row>
    <x:row r="998" ht="24" customHeight="1">
      <x:c r="A998" s="13" t="str">
        <x:v>I04</x:v>
      </x:c>
      <x:c r="B998" s="13" t="str">
        <x:v>QUA</x:v>
      </x:c>
      <x:c r="C998" s="13" t="str">
        <x:v>M88635</x:v>
      </x:c>
      <x:c r="D998" s="13" t="n">
        <x:v>26</x:v>
      </x:c>
      <x:c r="E998" s="30" t="n">
        <x:v>96.2</x:v>
      </x:c>
      <x:c r="F998" s="13" t="str">
        <x:v>I04 Table_1!P4988/U4988</x:v>
      </x:c>
      <x:c r="G998" s="13" t="str">
        <x:v>是</x:v>
      </x:c>
      <x:c r="H998" s="12"/>
      <x:c r="I998" s="12"/>
      <x:c r="J998" s="12"/>
      <x:c r="K998" s="12"/>
      <x:c r="L998" s="12"/>
      <x:c r="M998" s="12"/>
      <x:c r="N998" s="12"/>
      <x:c r="O998" s="12"/>
    </x:row>
    <x:row r="999" ht="24" customHeight="1">
      <x:c r="A999" s="13" t="str">
        <x:v>I04</x:v>
      </x:c>
      <x:c r="B999" s="13" t="str">
        <x:v>QUA</x:v>
      </x:c>
      <x:c r="C999" s="13" t="str">
        <x:v>M88639</x:v>
      </x:c>
      <x:c r="D999" s="13" t="n">
        <x:v>43</x:v>
      </x:c>
      <x:c r="E999" s="30" t="n">
        <x:v>83.7</x:v>
      </x:c>
      <x:c r="F999" s="13" t="str">
        <x:v>I04 Table_1!P4989/U4989</x:v>
      </x:c>
      <x:c r="G999" s="13" t="str">
        <x:v>是</x:v>
      </x:c>
      <x:c r="H999" s="12"/>
      <x:c r="I999" s="12"/>
      <x:c r="J999" s="12"/>
      <x:c r="K999" s="12"/>
      <x:c r="L999" s="12"/>
      <x:c r="M999" s="12"/>
      <x:c r="N999" s="12"/>
      <x:c r="O999" s="12"/>
    </x:row>
    <x:row r="1000" ht="24" customHeight="1">
      <x:c r="A1000" s="13" t="str">
        <x:v>I04</x:v>
      </x:c>
      <x:c r="B1000" s="13" t="str">
        <x:v>QUA</x:v>
      </x:c>
      <x:c r="C1000" s="13" t="str">
        <x:v>M88640</x:v>
      </x:c>
      <x:c r="D1000" s="13" t="n">
        <x:v>33</x:v>
      </x:c>
      <x:c r="E1000" s="30" t="n">
        <x:v>54.5</x:v>
      </x:c>
      <x:c r="F1000" s="13" t="str">
        <x:v>I04 Table_1!P4990/U4990</x:v>
      </x:c>
      <x:c r="G1000" s="13" t="str">
        <x:v>是</x:v>
      </x:c>
      <x:c r="H1000" s="12"/>
      <x:c r="I1000" s="12"/>
      <x:c r="J1000" s="12"/>
      <x:c r="K1000" s="12"/>
      <x:c r="L1000" s="12"/>
      <x:c r="M1000" s="12"/>
      <x:c r="N1000" s="12"/>
      <x:c r="O1000" s="12"/>
    </x:row>
    <x:row r="1001" ht="24" customHeight="1">
      <x:c r="A1001" s="13" t="str">
        <x:v>I04</x:v>
      </x:c>
      <x:c r="B1001" s="13" t="str">
        <x:v>QUA</x:v>
      </x:c>
      <x:c r="C1001" s="13" t="str">
        <x:v>M88643</x:v>
      </x:c>
      <x:c r="D1001" s="13" t="n">
        <x:v>73</x:v>
      </x:c>
      <x:c r="E1001" s="30" t="n">
        <x:v>78.1</x:v>
      </x:c>
      <x:c r="F1001" s="13" t="str">
        <x:v>I04 Table_1!P4991/U4991</x:v>
      </x:c>
      <x:c r="G1001" s="13" t="str">
        <x:v>是</x:v>
      </x:c>
      <x:c r="H1001" s="12"/>
      <x:c r="I1001" s="12"/>
      <x:c r="J1001" s="12"/>
      <x:c r="K1001" s="12"/>
      <x:c r="L1001" s="12"/>
      <x:c r="M1001" s="12"/>
      <x:c r="N1001" s="12"/>
      <x:c r="O1001" s="12"/>
    </x:row>
    <x:row r="1002" ht="24" customHeight="1">
      <x:c r="A1002" s="13" t="str">
        <x:v>I04</x:v>
      </x:c>
      <x:c r="B1002" s="13" t="str">
        <x:v>QUA</x:v>
      </x:c>
      <x:c r="C1002" s="13" t="str">
        <x:v>M88645</x:v>
      </x:c>
      <x:c r="D1002" s="13" t="n">
        <x:v>107</x:v>
      </x:c>
      <x:c r="E1002" s="30" t="n">
        <x:v>72</x:v>
      </x:c>
      <x:c r="F1002" s="13" t="str">
        <x:v>I04 Table_1!P4992/U4992</x:v>
      </x:c>
      <x:c r="G1002" s="13" t="str">
        <x:v>是</x:v>
      </x:c>
      <x:c r="H1002" s="12"/>
      <x:c r="I1002" s="12"/>
      <x:c r="J1002" s="12"/>
      <x:c r="K1002" s="12"/>
      <x:c r="L1002" s="12"/>
      <x:c r="M1002" s="12"/>
      <x:c r="N1002" s="12"/>
      <x:c r="O1002" s="12"/>
    </x:row>
    <x:row r="1003" ht="24" customHeight="1">
      <x:c r="A1003" s="13" t="str">
        <x:v>I04</x:v>
      </x:c>
      <x:c r="B1003" s="13" t="str">
        <x:v>QUA</x:v>
      </x:c>
      <x:c r="C1003" s="13" t="str">
        <x:v>M88646</x:v>
      </x:c>
      <x:c r="D1003" s="13" t="n">
        <x:v>30</x:v>
      </x:c>
      <x:c r="E1003" s="30" t="n">
        <x:v>90</x:v>
      </x:c>
      <x:c r="F1003" s="13" t="str">
        <x:v>I04 Table_1!P4993/U4993</x:v>
      </x:c>
      <x:c r="G1003" s="13" t="str">
        <x:v>是</x:v>
      </x:c>
      <x:c r="H1003" s="12"/>
      <x:c r="I1003" s="12"/>
      <x:c r="J1003" s="12"/>
      <x:c r="K1003" s="12"/>
      <x:c r="L1003" s="12"/>
      <x:c r="M1003" s="12"/>
      <x:c r="N1003" s="12"/>
      <x:c r="O1003" s="12"/>
    </x:row>
    <x:row r="1004" ht="24" customHeight="1">
      <x:c r="A1004" s="13" t="str">
        <x:v>I04</x:v>
      </x:c>
      <x:c r="B1004" s="13" t="str">
        <x:v>QUA</x:v>
      </x:c>
      <x:c r="C1004" s="13" t="str">
        <x:v>M88647</x:v>
      </x:c>
      <x:c r="D1004" s="13" t="n">
        <x:v>92</x:v>
      </x:c>
      <x:c r="E1004" s="30" t="n">
        <x:v>83.7</x:v>
      </x:c>
      <x:c r="F1004" s="13" t="str">
        <x:v>I04 Table_1!P4994/U4994</x:v>
      </x:c>
      <x:c r="G1004" s="13" t="str">
        <x:v>是</x:v>
      </x:c>
      <x:c r="H1004" s="12"/>
      <x:c r="I1004" s="12"/>
      <x:c r="J1004" s="12"/>
      <x:c r="K1004" s="12"/>
      <x:c r="L1004" s="12"/>
      <x:c r="M1004" s="12"/>
      <x:c r="N1004" s="12"/>
      <x:c r="O1004" s="12"/>
    </x:row>
    <x:row r="1005" ht="24" customHeight="1">
      <x:c r="A1005" s="13" t="str">
        <x:v>I04</x:v>
      </x:c>
      <x:c r="B1005" s="13" t="str">
        <x:v>QUA</x:v>
      </x:c>
      <x:c r="C1005" s="13" t="str">
        <x:v>M91003</x:v>
      </x:c>
      <x:c r="D1005" s="13" t="n">
        <x:v>94</x:v>
      </x:c>
      <x:c r="E1005" s="30" t="n">
        <x:v>94.7</x:v>
      </x:c>
      <x:c r="F1005" s="13" t="str">
        <x:v>I04 Table_1!P4995/U4995</x:v>
      </x:c>
      <x:c r="G1005" s="13" t="str">
        <x:v>是</x:v>
      </x:c>
      <x:c r="H1005" s="12"/>
      <x:c r="I1005" s="12"/>
      <x:c r="J1005" s="12"/>
      <x:c r="K1005" s="12"/>
      <x:c r="L1005" s="12"/>
      <x:c r="M1005" s="12"/>
      <x:c r="N1005" s="12"/>
      <x:c r="O1005" s="12"/>
    </x:row>
    <x:row r="1006" ht="24" customHeight="1">
      <x:c r="A1006" s="13" t="str">
        <x:v>I04</x:v>
      </x:c>
      <x:c r="B1006" s="13" t="str">
        <x:v>QUA</x:v>
      </x:c>
      <x:c r="C1006" s="13" t="str">
        <x:v>M91004</x:v>
      </x:c>
      <x:c r="D1006" s="13" t="n">
        <x:v>144</x:v>
      </x:c>
      <x:c r="E1006" s="30" t="n">
        <x:v>77.1</x:v>
      </x:c>
      <x:c r="F1006" s="13" t="str">
        <x:v>I04 Table_1!P4996/U4996</x:v>
      </x:c>
      <x:c r="G1006" s="13" t="str">
        <x:v>是</x:v>
      </x:c>
      <x:c r="H1006" s="12"/>
      <x:c r="I1006" s="12"/>
      <x:c r="J1006" s="12"/>
      <x:c r="K1006" s="12"/>
      <x:c r="L1006" s="12"/>
      <x:c r="M1006" s="12"/>
      <x:c r="N1006" s="12"/>
      <x:c r="O1006" s="12"/>
    </x:row>
    <x:row r="1007" ht="24" customHeight="1">
      <x:c r="A1007" s="13" t="str">
        <x:v>I04</x:v>
      </x:c>
      <x:c r="B1007" s="13" t="str">
        <x:v>QUA</x:v>
      </x:c>
      <x:c r="C1007" s="13" t="str">
        <x:v>M91006</x:v>
      </x:c>
      <x:c r="D1007" s="13" t="n">
        <x:v>52</x:v>
      </x:c>
      <x:c r="E1007" s="30" t="n">
        <x:v>90.4</x:v>
      </x:c>
      <x:c r="F1007" s="13" t="str">
        <x:v>I04 Table_1!P4997/U4997</x:v>
      </x:c>
      <x:c r="G1007" s="13" t="str">
        <x:v>是</x:v>
      </x:c>
      <x:c r="H1007" s="12"/>
      <x:c r="I1007" s="12"/>
      <x:c r="J1007" s="12"/>
      <x:c r="K1007" s="12"/>
      <x:c r="L1007" s="12"/>
      <x:c r="M1007" s="12"/>
      <x:c r="N1007" s="12"/>
      <x:c r="O1007" s="12"/>
    </x:row>
    <x:row r="1008" ht="24" customHeight="1">
      <x:c r="A1008" s="13" t="str">
        <x:v>I04</x:v>
      </x:c>
      <x:c r="B1008" s="13" t="str">
        <x:v>QUA</x:v>
      </x:c>
      <x:c r="C1008" s="13" t="str">
        <x:v>M91007</x:v>
      </x:c>
      <x:c r="D1008" s="13" t="n">
        <x:v>68</x:v>
      </x:c>
      <x:c r="E1008" s="30" t="n">
        <x:v>95.6</x:v>
      </x:c>
      <x:c r="F1008" s="13" t="str">
        <x:v>I04 Table_1!P4998/U4998</x:v>
      </x:c>
      <x:c r="G1008" s="13" t="str">
        <x:v>是</x:v>
      </x:c>
      <x:c r="H1008" s="12"/>
      <x:c r="I1008" s="12"/>
      <x:c r="J1008" s="12"/>
      <x:c r="K1008" s="12"/>
      <x:c r="L1008" s="12"/>
      <x:c r="M1008" s="12"/>
      <x:c r="N1008" s="12"/>
      <x:c r="O1008" s="12"/>
    </x:row>
    <x:row r="1009" ht="24" customHeight="1">
      <x:c r="A1009" s="13" t="str">
        <x:v>I04</x:v>
      </x:c>
      <x:c r="B1009" s="13" t="str">
        <x:v>QUA</x:v>
      </x:c>
      <x:c r="C1009" s="13" t="str">
        <x:v>M91008</x:v>
      </x:c>
      <x:c r="D1009" s="13" t="n">
        <x:v>133</x:v>
      </x:c>
      <x:c r="E1009" s="30" t="n">
        <x:v>70.7</x:v>
      </x:c>
      <x:c r="F1009" s="13" t="str">
        <x:v>I04 Table_1!P4999/U4999</x:v>
      </x:c>
      <x:c r="G1009" s="13" t="str">
        <x:v>是</x:v>
      </x:c>
      <x:c r="H1009" s="12"/>
      <x:c r="I1009" s="12"/>
      <x:c r="J1009" s="12"/>
      <x:c r="K1009" s="12"/>
      <x:c r="L1009" s="12"/>
      <x:c r="M1009" s="12"/>
      <x:c r="N1009" s="12"/>
      <x:c r="O1009" s="12"/>
    </x:row>
    <x:row r="1010" ht="24" customHeight="1">
      <x:c r="A1010" s="13" t="str">
        <x:v>I04</x:v>
      </x:c>
      <x:c r="B1010" s="13" t="str">
        <x:v>QUA</x:v>
      </x:c>
      <x:c r="C1010" s="13" t="str">
        <x:v>M91009</x:v>
      </x:c>
      <x:c r="D1010" s="13" t="n">
        <x:v>52</x:v>
      </x:c>
      <x:c r="E1010" s="30" t="n">
        <x:v>92.3</x:v>
      </x:c>
      <x:c r="F1010" s="13" t="str">
        <x:v>I04 Table_1!P5000/U5000</x:v>
      </x:c>
      <x:c r="G1010" s="13" t="str">
        <x:v>是</x:v>
      </x:c>
      <x:c r="H1010" s="12"/>
      <x:c r="I1010" s="12"/>
      <x:c r="J1010" s="12"/>
      <x:c r="K1010" s="12"/>
      <x:c r="L1010" s="12"/>
      <x:c r="M1010" s="12"/>
      <x:c r="N1010" s="12"/>
      <x:c r="O1010" s="12"/>
    </x:row>
    <x:row r="1011" ht="24" customHeight="1">
      <x:c r="A1011" s="13" t="str">
        <x:v>I04</x:v>
      </x:c>
      <x:c r="B1011" s="13" t="str">
        <x:v>QUA</x:v>
      </x:c>
      <x:c r="C1011" s="13" t="str">
        <x:v>M91010</x:v>
      </x:c>
      <x:c r="D1011" s="13" t="n">
        <x:v>99</x:v>
      </x:c>
      <x:c r="E1011" s="30" t="n">
        <x:v>98</x:v>
      </x:c>
      <x:c r="F1011" s="13" t="str">
        <x:v>I04 Table_1!P5001/U5001</x:v>
      </x:c>
      <x:c r="G1011" s="13" t="str">
        <x:v>是</x:v>
      </x:c>
      <x:c r="H1011" s="12"/>
      <x:c r="I1011" s="12"/>
      <x:c r="J1011" s="12"/>
      <x:c r="K1011" s="12"/>
      <x:c r="L1011" s="12"/>
      <x:c r="M1011" s="12"/>
      <x:c r="N1011" s="12"/>
      <x:c r="O1011" s="12"/>
    </x:row>
    <x:row r="1012" ht="24" customHeight="1">
      <x:c r="A1012" s="13" t="str">
        <x:v>I04</x:v>
      </x:c>
      <x:c r="B1012" s="13" t="str">
        <x:v>QUA</x:v>
      </x:c>
      <x:c r="C1012" s="13" t="str">
        <x:v>M91011</x:v>
      </x:c>
      <x:c r="D1012" s="13" t="n">
        <x:v>0</x:v>
      </x:c>
      <x:c r="E1012" s="12"/>
      <x:c r="F1012" s="13" t="str">
        <x:v>I04 Table_1!P5002/U5002</x:v>
      </x:c>
      <x:c r="G1012" s="13" t="str">
        <x:v>否</x:v>
      </x:c>
      <x:c r="H1012" s="12"/>
      <x:c r="I1012" s="12"/>
      <x:c r="J1012" s="12"/>
      <x:c r="K1012" s="12"/>
      <x:c r="L1012" s="12"/>
      <x:c r="M1012" s="12"/>
      <x:c r="N1012" s="12"/>
      <x:c r="O1012" s="12"/>
    </x:row>
    <x:row r="1013" ht="24" customHeight="1">
      <x:c r="A1013" s="13" t="str">
        <x:v>I04</x:v>
      </x:c>
      <x:c r="B1013" s="13" t="str">
        <x:v>QUA</x:v>
      </x:c>
      <x:c r="C1013" s="13" t="str">
        <x:v>M91013</x:v>
      </x:c>
      <x:c r="D1013" s="13" t="n">
        <x:v>101</x:v>
      </x:c>
      <x:c r="E1013" s="30" t="n">
        <x:v>81.2</x:v>
      </x:c>
      <x:c r="F1013" s="13" t="str">
        <x:v>I04 Table_1!P5003/U5003</x:v>
      </x:c>
      <x:c r="G1013" s="13" t="str">
        <x:v>是</x:v>
      </x:c>
      <x:c r="H1013" s="12"/>
      <x:c r="I1013" s="12"/>
      <x:c r="J1013" s="12"/>
      <x:c r="K1013" s="12"/>
      <x:c r="L1013" s="12"/>
      <x:c r="M1013" s="12"/>
      <x:c r="N1013" s="12"/>
      <x:c r="O1013" s="12"/>
    </x:row>
    <x:row r="1014" ht="24" customHeight="1">
      <x:c r="A1014" s="13" t="str">
        <x:v>I04</x:v>
      </x:c>
      <x:c r="B1014" s="13" t="str">
        <x:v>QUA</x:v>
      </x:c>
      <x:c r="C1014" s="13" t="str">
        <x:v>M91014</x:v>
      </x:c>
      <x:c r="D1014" s="13" t="n">
        <x:v>36</x:v>
      </x:c>
      <x:c r="E1014" s="30" t="n">
        <x:v>75</x:v>
      </x:c>
      <x:c r="F1014" s="13" t="str">
        <x:v>I04 Table_1!P5004/U5004</x:v>
      </x:c>
      <x:c r="G1014" s="13" t="str">
        <x:v>是</x:v>
      </x:c>
      <x:c r="H1014" s="12"/>
      <x:c r="I1014" s="12"/>
      <x:c r="J1014" s="12"/>
      <x:c r="K1014" s="12"/>
      <x:c r="L1014" s="12"/>
      <x:c r="M1014" s="12"/>
      <x:c r="N1014" s="12"/>
      <x:c r="O1014" s="12"/>
    </x:row>
    <x:row r="1015" ht="24" customHeight="1">
      <x:c r="A1015" s="13" t="str">
        <x:v>I04</x:v>
      </x:c>
      <x:c r="B1015" s="13" t="str">
        <x:v>QUA</x:v>
      </x:c>
      <x:c r="C1015" s="13" t="str">
        <x:v>M91015</x:v>
      </x:c>
      <x:c r="D1015" s="13" t="n">
        <x:v>270</x:v>
      </x:c>
      <x:c r="E1015" s="30" t="n">
        <x:v>85.9</x:v>
      </x:c>
      <x:c r="F1015" s="13" t="str">
        <x:v>I04 Table_1!P5005/U5005</x:v>
      </x:c>
      <x:c r="G1015" s="13" t="str">
        <x:v>是</x:v>
      </x:c>
      <x:c r="H1015" s="12"/>
      <x:c r="I1015" s="12"/>
      <x:c r="J1015" s="12"/>
      <x:c r="K1015" s="12"/>
      <x:c r="L1015" s="12"/>
      <x:c r="M1015" s="12"/>
      <x:c r="N1015" s="12"/>
      <x:c r="O1015" s="12"/>
    </x:row>
    <x:row r="1016" ht="24" customHeight="1">
      <x:c r="A1016" s="13" t="str">
        <x:v>I04</x:v>
      </x:c>
      <x:c r="B1016" s="13" t="str">
        <x:v>QUA</x:v>
      </x:c>
      <x:c r="C1016" s="13" t="str">
        <x:v>M91016</x:v>
      </x:c>
      <x:c r="D1016" s="13" t="n">
        <x:v>91</x:v>
      </x:c>
      <x:c r="E1016" s="30" t="n">
        <x:v>90.1</x:v>
      </x:c>
      <x:c r="F1016" s="13" t="str">
        <x:v>I04 Table_1!P5006/U5006</x:v>
      </x:c>
      <x:c r="G1016" s="13" t="str">
        <x:v>是</x:v>
      </x:c>
      <x:c r="H1016" s="12"/>
      <x:c r="I1016" s="12"/>
      <x:c r="J1016" s="12"/>
      <x:c r="K1016" s="12"/>
      <x:c r="L1016" s="12"/>
      <x:c r="M1016" s="12"/>
      <x:c r="N1016" s="12"/>
      <x:c r="O1016" s="12"/>
    </x:row>
    <x:row r="1017" ht="24" customHeight="1">
      <x:c r="A1017" s="13" t="str">
        <x:v>I04</x:v>
      </x:c>
      <x:c r="B1017" s="13" t="str">
        <x:v>QUA</x:v>
      </x:c>
      <x:c r="C1017" s="13" t="str">
        <x:v>M91017</x:v>
      </x:c>
      <x:c r="D1017" s="13" t="n">
        <x:v>91</x:v>
      </x:c>
      <x:c r="E1017" s="30" t="n">
        <x:v>95.6</x:v>
      </x:c>
      <x:c r="F1017" s="13" t="str">
        <x:v>I04 Table_1!P5007/U5007</x:v>
      </x:c>
      <x:c r="G1017" s="13" t="str">
        <x:v>是</x:v>
      </x:c>
      <x:c r="H1017" s="12"/>
      <x:c r="I1017" s="12"/>
      <x:c r="J1017" s="12"/>
      <x:c r="K1017" s="12"/>
      <x:c r="L1017" s="12"/>
      <x:c r="M1017" s="12"/>
      <x:c r="N1017" s="12"/>
      <x:c r="O1017" s="12"/>
    </x:row>
    <x:row r="1018" ht="24" customHeight="1">
      <x:c r="A1018" s="13" t="str">
        <x:v>I04</x:v>
      </x:c>
      <x:c r="B1018" s="13" t="str">
        <x:v>QUA</x:v>
      </x:c>
      <x:c r="C1018" s="13" t="str">
        <x:v>M91018</x:v>
      </x:c>
      <x:c r="D1018" s="13" t="n">
        <x:v>40</x:v>
      </x:c>
      <x:c r="E1018" s="30" t="n">
        <x:v>67.5</x:v>
      </x:c>
      <x:c r="F1018" s="13" t="str">
        <x:v>I04 Table_1!P5008/U5008</x:v>
      </x:c>
      <x:c r="G1018" s="13" t="str">
        <x:v>是</x:v>
      </x:c>
      <x:c r="H1018" s="12"/>
      <x:c r="I1018" s="12"/>
      <x:c r="J1018" s="12"/>
      <x:c r="K1018" s="12"/>
      <x:c r="L1018" s="12"/>
      <x:c r="M1018" s="12"/>
      <x:c r="N1018" s="12"/>
      <x:c r="O1018" s="12"/>
    </x:row>
    <x:row r="1019" ht="24" customHeight="1">
      <x:c r="A1019" s="13" t="str">
        <x:v>I04</x:v>
      </x:c>
      <x:c r="B1019" s="13" t="str">
        <x:v>QUA</x:v>
      </x:c>
      <x:c r="C1019" s="13" t="str">
        <x:v>M91019</x:v>
      </x:c>
      <x:c r="D1019" s="13" t="n">
        <x:v>172</x:v>
      </x:c>
      <x:c r="E1019" s="30" t="n">
        <x:v>89</x:v>
      </x:c>
      <x:c r="F1019" s="13" t="str">
        <x:v>I04 Table_1!P5009/U5009</x:v>
      </x:c>
      <x:c r="G1019" s="13" t="str">
        <x:v>是</x:v>
      </x:c>
      <x:c r="H1019" s="12"/>
      <x:c r="I1019" s="12"/>
      <x:c r="J1019" s="12"/>
      <x:c r="K1019" s="12"/>
      <x:c r="L1019" s="12"/>
      <x:c r="M1019" s="12"/>
      <x:c r="N1019" s="12"/>
      <x:c r="O1019" s="12"/>
    </x:row>
    <x:row r="1020" ht="24" customHeight="1">
      <x:c r="A1020" s="13" t="str">
        <x:v>I04</x:v>
      </x:c>
      <x:c r="B1020" s="13" t="str">
        <x:v>QUA</x:v>
      </x:c>
      <x:c r="C1020" s="13" t="str">
        <x:v>M91021</x:v>
      </x:c>
      <x:c r="D1020" s="13" t="n">
        <x:v>94</x:v>
      </x:c>
      <x:c r="E1020" s="30" t="n">
        <x:v>81.9</x:v>
      </x:c>
      <x:c r="F1020" s="13" t="str">
        <x:v>I04 Table_1!P5010/U5010</x:v>
      </x:c>
      <x:c r="G1020" s="13" t="str">
        <x:v>是</x:v>
      </x:c>
      <x:c r="H1020" s="12"/>
      <x:c r="I1020" s="12"/>
      <x:c r="J1020" s="12"/>
      <x:c r="K1020" s="12"/>
      <x:c r="L1020" s="12"/>
      <x:c r="M1020" s="12"/>
      <x:c r="N1020" s="12"/>
      <x:c r="O1020" s="12"/>
    </x:row>
    <x:row r="1021" ht="24" customHeight="1">
      <x:c r="A1021" s="13" t="str">
        <x:v>I04</x:v>
      </x:c>
      <x:c r="B1021" s="13" t="str">
        <x:v>QUA</x:v>
      </x:c>
      <x:c r="C1021" s="13" t="str">
        <x:v>M91024</x:v>
      </x:c>
      <x:c r="D1021" s="13" t="n">
        <x:v>18</x:v>
      </x:c>
      <x:c r="E1021" s="30" t="n">
        <x:v>100</x:v>
      </x:c>
      <x:c r="F1021" s="13" t="str">
        <x:v>I04 Table_1!P5011/U5011</x:v>
      </x:c>
      <x:c r="G1021" s="13" t="str">
        <x:v>是</x:v>
      </x:c>
      <x:c r="H1021" s="12"/>
      <x:c r="I1021" s="12"/>
      <x:c r="J1021" s="12"/>
      <x:c r="K1021" s="12"/>
      <x:c r="L1021" s="12"/>
      <x:c r="M1021" s="12"/>
      <x:c r="N1021" s="12"/>
      <x:c r="O1021" s="12"/>
    </x:row>
    <x:row r="1022" ht="24" customHeight="1">
      <x:c r="A1022" s="13" t="str">
        <x:v>I04</x:v>
      </x:c>
      <x:c r="B1022" s="13" t="str">
        <x:v>QUA</x:v>
      </x:c>
      <x:c r="C1022" s="13" t="str">
        <x:v>M91026</x:v>
      </x:c>
      <x:c r="D1022" s="13" t="n">
        <x:v>105</x:v>
      </x:c>
      <x:c r="E1022" s="30" t="n">
        <x:v>79</x:v>
      </x:c>
      <x:c r="F1022" s="13" t="str">
        <x:v>I04 Table_1!P5012/U5012</x:v>
      </x:c>
      <x:c r="G1022" s="13" t="str">
        <x:v>是</x:v>
      </x:c>
      <x:c r="H1022" s="12"/>
      <x:c r="I1022" s="12"/>
      <x:c r="J1022" s="12"/>
      <x:c r="K1022" s="12"/>
      <x:c r="L1022" s="12"/>
      <x:c r="M1022" s="12"/>
      <x:c r="N1022" s="12"/>
      <x:c r="O1022" s="12"/>
    </x:row>
    <x:row r="1023" ht="24" customHeight="1">
      <x:c r="A1023" s="13" t="str">
        <x:v>I04</x:v>
      </x:c>
      <x:c r="B1023" s="13" t="str">
        <x:v>QUA</x:v>
      </x:c>
      <x:c r="C1023" s="13" t="str">
        <x:v>M91028</x:v>
      </x:c>
      <x:c r="D1023" s="13" t="n">
        <x:v>106</x:v>
      </x:c>
      <x:c r="E1023" s="30" t="n">
        <x:v>78.3</x:v>
      </x:c>
      <x:c r="F1023" s="13" t="str">
        <x:v>I04 Table_1!P5013/U5013</x:v>
      </x:c>
      <x:c r="G1023" s="13" t="str">
        <x:v>是</x:v>
      </x:c>
      <x:c r="H1023" s="12"/>
      <x:c r="I1023" s="12"/>
      <x:c r="J1023" s="12"/>
      <x:c r="K1023" s="12"/>
      <x:c r="L1023" s="12"/>
      <x:c r="M1023" s="12"/>
      <x:c r="N1023" s="12"/>
      <x:c r="O1023" s="12"/>
    </x:row>
    <x:row r="1024" ht="24" customHeight="1">
      <x:c r="A1024" s="13" t="str">
        <x:v>I04</x:v>
      </x:c>
      <x:c r="B1024" s="13" t="str">
        <x:v>QUA</x:v>
      </x:c>
      <x:c r="C1024" s="13" t="str">
        <x:v>M91029</x:v>
      </x:c>
      <x:c r="D1024" s="13" t="n">
        <x:v>76</x:v>
      </x:c>
      <x:c r="E1024" s="30" t="n">
        <x:v>88.2</x:v>
      </x:c>
      <x:c r="F1024" s="13" t="str">
        <x:v>I04 Table_1!P5014/U5014</x:v>
      </x:c>
      <x:c r="G1024" s="13" t="str">
        <x:v>是</x:v>
      </x:c>
      <x:c r="H1024" s="12"/>
      <x:c r="I1024" s="12"/>
      <x:c r="J1024" s="12"/>
      <x:c r="K1024" s="12"/>
      <x:c r="L1024" s="12"/>
      <x:c r="M1024" s="12"/>
      <x:c r="N1024" s="12"/>
      <x:c r="O1024" s="12"/>
    </x:row>
    <x:row r="1025" ht="24" customHeight="1">
      <x:c r="A1025" s="13" t="str">
        <x:v>I04</x:v>
      </x:c>
      <x:c r="B1025" s="13" t="str">
        <x:v>QUA</x:v>
      </x:c>
      <x:c r="C1025" s="13" t="str">
        <x:v>M91032</x:v>
      </x:c>
      <x:c r="D1025" s="13" t="n">
        <x:v>46</x:v>
      </x:c>
      <x:c r="E1025" s="30" t="n">
        <x:v>95.7</x:v>
      </x:c>
      <x:c r="F1025" s="13" t="str">
        <x:v>I04 Table_1!P5015/U5015</x:v>
      </x:c>
      <x:c r="G1025" s="13" t="str">
        <x:v>是</x:v>
      </x:c>
      <x:c r="H1025" s="12"/>
      <x:c r="I1025" s="12"/>
      <x:c r="J1025" s="12"/>
      <x:c r="K1025" s="12"/>
      <x:c r="L1025" s="12"/>
      <x:c r="M1025" s="12"/>
      <x:c r="N1025" s="12"/>
      <x:c r="O1025" s="12"/>
    </x:row>
    <x:row r="1026" ht="24" customHeight="1">
      <x:c r="A1026" s="13" t="str">
        <x:v>I04</x:v>
      </x:c>
      <x:c r="B1026" s="13" t="str">
        <x:v>QUA</x:v>
      </x:c>
      <x:c r="C1026" s="13" t="str">
        <x:v>M91033</x:v>
      </x:c>
      <x:c r="D1026" s="13" t="n">
        <x:v>87</x:v>
      </x:c>
      <x:c r="E1026" s="30" t="n">
        <x:v>81.6</x:v>
      </x:c>
      <x:c r="F1026" s="13" t="str">
        <x:v>I04 Table_1!P5016/U5016</x:v>
      </x:c>
      <x:c r="G1026" s="13" t="str">
        <x:v>是</x:v>
      </x:c>
      <x:c r="H1026" s="12"/>
      <x:c r="I1026" s="12"/>
      <x:c r="J1026" s="12"/>
      <x:c r="K1026" s="12"/>
      <x:c r="L1026" s="12"/>
      <x:c r="M1026" s="12"/>
      <x:c r="N1026" s="12"/>
      <x:c r="O1026" s="12"/>
    </x:row>
    <x:row r="1027" ht="24" customHeight="1">
      <x:c r="A1027" s="13" t="str">
        <x:v>I04</x:v>
      </x:c>
      <x:c r="B1027" s="13" t="str">
        <x:v>QUA</x:v>
      </x:c>
      <x:c r="C1027" s="13" t="str">
        <x:v>M91034</x:v>
      </x:c>
      <x:c r="D1027" s="13" t="n">
        <x:v>55</x:v>
      </x:c>
      <x:c r="E1027" s="30" t="n">
        <x:v>94.5</x:v>
      </x:c>
      <x:c r="F1027" s="13" t="str">
        <x:v>I04 Table_1!P5017/U5017</x:v>
      </x:c>
      <x:c r="G1027" s="13" t="str">
        <x:v>是</x:v>
      </x:c>
      <x:c r="H1027" s="12"/>
      <x:c r="I1027" s="12"/>
      <x:c r="J1027" s="12"/>
      <x:c r="K1027" s="12"/>
      <x:c r="L1027" s="12"/>
      <x:c r="M1027" s="12"/>
      <x:c r="N1027" s="12"/>
      <x:c r="O1027" s="12"/>
    </x:row>
    <x:row r="1028" ht="24" customHeight="1">
      <x:c r="A1028" s="13" t="str">
        <x:v>I04</x:v>
      </x:c>
      <x:c r="B1028" s="13" t="str">
        <x:v>QUA</x:v>
      </x:c>
      <x:c r="C1028" s="13" t="str">
        <x:v>M91036</x:v>
      </x:c>
      <x:c r="D1028" s="13" t="n">
        <x:v>63</x:v>
      </x:c>
      <x:c r="E1028" s="30" t="n">
        <x:v>87.3</x:v>
      </x:c>
      <x:c r="F1028" s="13" t="str">
        <x:v>I04 Table_1!P5018/U5018</x:v>
      </x:c>
      <x:c r="G1028" s="13" t="str">
        <x:v>是</x:v>
      </x:c>
      <x:c r="H1028" s="12"/>
      <x:c r="I1028" s="12"/>
      <x:c r="J1028" s="12"/>
      <x:c r="K1028" s="12"/>
      <x:c r="L1028" s="12"/>
      <x:c r="M1028" s="12"/>
      <x:c r="N1028" s="12"/>
      <x:c r="O1028" s="12"/>
    </x:row>
    <x:row r="1029" ht="24" customHeight="1">
      <x:c r="A1029" s="13" t="str">
        <x:v>I04</x:v>
      </x:c>
      <x:c r="B1029" s="13" t="str">
        <x:v>QUA</x:v>
      </x:c>
      <x:c r="C1029" s="13" t="str">
        <x:v>M91602</x:v>
      </x:c>
      <x:c r="D1029" s="13" t="n">
        <x:v>32</x:v>
      </x:c>
      <x:c r="E1029" s="30" t="n">
        <x:v>90.6</x:v>
      </x:c>
      <x:c r="F1029" s="13" t="str">
        <x:v>I04 Table_1!P5019/U5019</x:v>
      </x:c>
      <x:c r="G1029" s="13" t="str">
        <x:v>是</x:v>
      </x:c>
      <x:c r="H1029" s="12"/>
      <x:c r="I1029" s="12"/>
      <x:c r="J1029" s="12"/>
      <x:c r="K1029" s="12"/>
      <x:c r="L1029" s="12"/>
      <x:c r="M1029" s="12"/>
      <x:c r="N1029" s="12"/>
      <x:c r="O1029" s="12"/>
    </x:row>
    <x:row r="1030" ht="24" customHeight="1">
      <x:c r="A1030" s="13" t="str">
        <x:v>I04</x:v>
      </x:c>
      <x:c r="B1030" s="13" t="str">
        <x:v>QUA</x:v>
      </x:c>
      <x:c r="C1030" s="13" t="str">
        <x:v>M91609</x:v>
      </x:c>
      <x:c r="D1030" s="13" t="n">
        <x:v>24</x:v>
      </x:c>
      <x:c r="E1030" s="30" t="n">
        <x:v>83.3</x:v>
      </x:c>
      <x:c r="F1030" s="13" t="str">
        <x:v>I04 Table_1!P5020/U5020</x:v>
      </x:c>
      <x:c r="G1030" s="13" t="str">
        <x:v>是</x:v>
      </x:c>
      <x:c r="H1030" s="12"/>
      <x:c r="I1030" s="12"/>
      <x:c r="J1030" s="12"/>
      <x:c r="K1030" s="12"/>
      <x:c r="L1030" s="12"/>
      <x:c r="M1030" s="12"/>
      <x:c r="N1030" s="12"/>
      <x:c r="O1030" s="12"/>
    </x:row>
    <x:row r="1031" ht="24" customHeight="1">
      <x:c r="A1031" s="13" t="str">
        <x:v>I04</x:v>
      </x:c>
      <x:c r="B1031" s="13" t="str">
        <x:v>QUA</x:v>
      </x:c>
      <x:c r="C1031" s="13" t="str">
        <x:v>M91611</x:v>
      </x:c>
      <x:c r="D1031" s="13" t="n">
        <x:v>44</x:v>
      </x:c>
      <x:c r="E1031" s="30" t="n">
        <x:v>77.3</x:v>
      </x:c>
      <x:c r="F1031" s="13" t="str">
        <x:v>I04 Table_1!P5021/U5021</x:v>
      </x:c>
      <x:c r="G1031" s="13" t="str">
        <x:v>是</x:v>
      </x:c>
      <x:c r="H1031" s="12"/>
      <x:c r="I1031" s="12"/>
      <x:c r="J1031" s="12"/>
      <x:c r="K1031" s="12"/>
      <x:c r="L1031" s="12"/>
      <x:c r="M1031" s="12"/>
      <x:c r="N1031" s="12"/>
      <x:c r="O1031" s="12"/>
    </x:row>
    <x:row r="1032" ht="24" customHeight="1">
      <x:c r="A1032" s="13" t="str">
        <x:v>I04</x:v>
      </x:c>
      <x:c r="B1032" s="13" t="str">
        <x:v>QUA</x:v>
      </x:c>
      <x:c r="C1032" s="13" t="str">
        <x:v>M91612</x:v>
      </x:c>
      <x:c r="D1032" s="13" t="n">
        <x:v>50</x:v>
      </x:c>
      <x:c r="E1032" s="30" t="n">
        <x:v>94</x:v>
      </x:c>
      <x:c r="F1032" s="13" t="str">
        <x:v>I04 Table_1!P5022/U5022</x:v>
      </x:c>
      <x:c r="G1032" s="13" t="str">
        <x:v>是</x:v>
      </x:c>
      <x:c r="H1032" s="12"/>
      <x:c r="I1032" s="12"/>
      <x:c r="J1032" s="12"/>
      <x:c r="K1032" s="12"/>
      <x:c r="L1032" s="12"/>
      <x:c r="M1032" s="12"/>
      <x:c r="N1032" s="12"/>
      <x:c r="O1032" s="12"/>
    </x:row>
    <x:row r="1033" ht="24" customHeight="1">
      <x:c r="A1033" s="13" t="str">
        <x:v>I04</x:v>
      </x:c>
      <x:c r="B1033" s="13" t="str">
        <x:v>QUA</x:v>
      </x:c>
      <x:c r="C1033" s="13" t="str">
        <x:v>M91613</x:v>
      </x:c>
      <x:c r="D1033" s="13" t="n">
        <x:v>151</x:v>
      </x:c>
      <x:c r="E1033" s="30" t="n">
        <x:v>73.5</x:v>
      </x:c>
      <x:c r="F1033" s="13" t="str">
        <x:v>I04 Table_1!P5023/U5023</x:v>
      </x:c>
      <x:c r="G1033" s="13" t="str">
        <x:v>是</x:v>
      </x:c>
      <x:c r="H1033" s="12"/>
      <x:c r="I1033" s="12"/>
      <x:c r="J1033" s="12"/>
      <x:c r="K1033" s="12"/>
      <x:c r="L1033" s="12"/>
      <x:c r="M1033" s="12"/>
      <x:c r="N1033" s="12"/>
      <x:c r="O1033" s="12"/>
    </x:row>
    <x:row r="1034" ht="24" customHeight="1">
      <x:c r="A1034" s="13" t="str">
        <x:v>I04</x:v>
      </x:c>
      <x:c r="B1034" s="13" t="str">
        <x:v>QUA</x:v>
      </x:c>
      <x:c r="C1034" s="13" t="str">
        <x:v>M91614</x:v>
      </x:c>
      <x:c r="D1034" s="13" t="n">
        <x:v>122</x:v>
      </x:c>
      <x:c r="E1034" s="30" t="n">
        <x:v>83.6</x:v>
      </x:c>
      <x:c r="F1034" s="13" t="str">
        <x:v>I04 Table_1!P5024/U5024</x:v>
      </x:c>
      <x:c r="G1034" s="13" t="str">
        <x:v>是</x:v>
      </x:c>
      <x:c r="H1034" s="12"/>
      <x:c r="I1034" s="12"/>
      <x:c r="J1034" s="12"/>
      <x:c r="K1034" s="12"/>
      <x:c r="L1034" s="12"/>
      <x:c r="M1034" s="12"/>
      <x:c r="N1034" s="12"/>
      <x:c r="O1034" s="12"/>
    </x:row>
    <x:row r="1035" ht="24" customHeight="1">
      <x:c r="A1035" s="13" t="str">
        <x:v>I04</x:v>
      </x:c>
      <x:c r="B1035" s="13" t="str">
        <x:v>QUA</x:v>
      </x:c>
      <x:c r="C1035" s="13" t="str">
        <x:v>M91616</x:v>
      </x:c>
      <x:c r="D1035" s="13" t="n">
        <x:v>94</x:v>
      </x:c>
      <x:c r="E1035" s="30" t="n">
        <x:v>91.5</x:v>
      </x:c>
      <x:c r="F1035" s="13" t="str">
        <x:v>I04 Table_1!P5025/U5025</x:v>
      </x:c>
      <x:c r="G1035" s="13" t="str">
        <x:v>是</x:v>
      </x:c>
      <x:c r="H1035" s="12"/>
      <x:c r="I1035" s="12"/>
      <x:c r="J1035" s="12"/>
      <x:c r="K1035" s="12"/>
      <x:c r="L1035" s="12"/>
      <x:c r="M1035" s="12"/>
      <x:c r="N1035" s="12"/>
      <x:c r="O1035" s="12"/>
    </x:row>
    <x:row r="1036" ht="24" customHeight="1">
      <x:c r="A1036" s="13" t="str">
        <x:v>I04</x:v>
      </x:c>
      <x:c r="B1036" s="13" t="str">
        <x:v>QUA</x:v>
      </x:c>
      <x:c r="C1036" s="13" t="str">
        <x:v>M91619</x:v>
      </x:c>
      <x:c r="D1036" s="13" t="n">
        <x:v>94</x:v>
      </x:c>
      <x:c r="E1036" s="30" t="n">
        <x:v>75.5</x:v>
      </x:c>
      <x:c r="F1036" s="13" t="str">
        <x:v>I04 Table_1!P5026/U5026</x:v>
      </x:c>
      <x:c r="G1036" s="13" t="str">
        <x:v>是</x:v>
      </x:c>
      <x:c r="H1036" s="12"/>
      <x:c r="I1036" s="12"/>
      <x:c r="J1036" s="12"/>
      <x:c r="K1036" s="12"/>
      <x:c r="L1036" s="12"/>
      <x:c r="M1036" s="12"/>
      <x:c r="N1036" s="12"/>
      <x:c r="O1036" s="12"/>
    </x:row>
    <x:row r="1037" ht="24" customHeight="1">
      <x:c r="A1037" s="13" t="str">
        <x:v>I04</x:v>
      </x:c>
      <x:c r="B1037" s="13" t="str">
        <x:v>QUA</x:v>
      </x:c>
      <x:c r="C1037" s="13" t="str">
        <x:v>M91621</x:v>
      </x:c>
      <x:c r="D1037" s="13" t="n">
        <x:v>66</x:v>
      </x:c>
      <x:c r="E1037" s="30" t="n">
        <x:v>89.4</x:v>
      </x:c>
      <x:c r="F1037" s="13" t="str">
        <x:v>I04 Table_1!P5027/U5027</x:v>
      </x:c>
      <x:c r="G1037" s="13" t="str">
        <x:v>是</x:v>
      </x:c>
      <x:c r="H1037" s="12"/>
      <x:c r="I1037" s="12"/>
      <x:c r="J1037" s="12"/>
      <x:c r="K1037" s="12"/>
      <x:c r="L1037" s="12"/>
      <x:c r="M1037" s="12"/>
      <x:c r="N1037" s="12"/>
      <x:c r="O1037" s="12"/>
    </x:row>
    <x:row r="1038" ht="24" customHeight="1">
      <x:c r="A1038" s="13" t="str">
        <x:v>I04</x:v>
      </x:c>
      <x:c r="B1038" s="13" t="str">
        <x:v>QUA</x:v>
      </x:c>
      <x:c r="C1038" s="13" t="str">
        <x:v>M91623</x:v>
      </x:c>
      <x:c r="D1038" s="13" t="n">
        <x:v>26</x:v>
      </x:c>
      <x:c r="E1038" s="30" t="n">
        <x:v>84.6</x:v>
      </x:c>
      <x:c r="F1038" s="13" t="str">
        <x:v>I04 Table_1!P5028/U5028</x:v>
      </x:c>
      <x:c r="G1038" s="13" t="str">
        <x:v>是</x:v>
      </x:c>
      <x:c r="H1038" s="12"/>
      <x:c r="I1038" s="12"/>
      <x:c r="J1038" s="12"/>
      <x:c r="K1038" s="12"/>
      <x:c r="L1038" s="12"/>
      <x:c r="M1038" s="12"/>
      <x:c r="N1038" s="12"/>
      <x:c r="O1038" s="12"/>
    </x:row>
    <x:row r="1039" ht="24" customHeight="1">
      <x:c r="A1039" s="13" t="str">
        <x:v>I04</x:v>
      </x:c>
      <x:c r="B1039" s="13" t="str">
        <x:v>QUA</x:v>
      </x:c>
      <x:c r="C1039" s="13" t="str">
        <x:v>M91624</x:v>
      </x:c>
      <x:c r="D1039" s="13" t="n">
        <x:v>59</x:v>
      </x:c>
      <x:c r="E1039" s="30" t="n">
        <x:v>84.7</x:v>
      </x:c>
      <x:c r="F1039" s="13" t="str">
        <x:v>I04 Table_1!P5029/U5029</x:v>
      </x:c>
      <x:c r="G1039" s="13" t="str">
        <x:v>是</x:v>
      </x:c>
      <x:c r="H1039" s="12"/>
      <x:c r="I1039" s="12"/>
      <x:c r="J1039" s="12"/>
      <x:c r="K1039" s="12"/>
      <x:c r="L1039" s="12"/>
      <x:c r="M1039" s="12"/>
      <x:c r="N1039" s="12"/>
      <x:c r="O1039" s="12"/>
    </x:row>
    <x:row r="1040" ht="24" customHeight="1">
      <x:c r="A1040" s="13" t="str">
        <x:v>I04</x:v>
      </x:c>
      <x:c r="B1040" s="13" t="str">
        <x:v>QUA</x:v>
      </x:c>
      <x:c r="C1040" s="13" t="str">
        <x:v>M91626</x:v>
      </x:c>
      <x:c r="D1040" s="13" t="n">
        <x:v>63</x:v>
      </x:c>
      <x:c r="E1040" s="30" t="n">
        <x:v>92.1</x:v>
      </x:c>
      <x:c r="F1040" s="13" t="str">
        <x:v>I04 Table_1!P5030/U5030</x:v>
      </x:c>
      <x:c r="G1040" s="13" t="str">
        <x:v>是</x:v>
      </x:c>
      <x:c r="H1040" s="12"/>
      <x:c r="I1040" s="12"/>
      <x:c r="J1040" s="12"/>
      <x:c r="K1040" s="12"/>
      <x:c r="L1040" s="12"/>
      <x:c r="M1040" s="12"/>
      <x:c r="N1040" s="12"/>
      <x:c r="O1040" s="12"/>
    </x:row>
    <x:row r="1041" ht="24" customHeight="1">
      <x:c r="A1041" s="13" t="str">
        <x:v>I04</x:v>
      </x:c>
      <x:c r="B1041" s="13" t="str">
        <x:v>QUA</x:v>
      </x:c>
      <x:c r="C1041" s="13" t="str">
        <x:v>M91628</x:v>
      </x:c>
      <x:c r="D1041" s="13" t="n">
        <x:v>44</x:v>
      </x:c>
      <x:c r="E1041" s="30" t="n">
        <x:v>90.9</x:v>
      </x:c>
      <x:c r="F1041" s="13" t="str">
        <x:v>I04 Table_1!P5031/U5031</x:v>
      </x:c>
      <x:c r="G1041" s="13" t="str">
        <x:v>是</x:v>
      </x:c>
      <x:c r="H1041" s="12"/>
      <x:c r="I1041" s="12"/>
      <x:c r="J1041" s="12"/>
      <x:c r="K1041" s="12"/>
      <x:c r="L1041" s="12"/>
      <x:c r="M1041" s="12"/>
      <x:c r="N1041" s="12"/>
      <x:c r="O1041" s="12"/>
    </x:row>
    <x:row r="1042" ht="24" customHeight="1">
      <x:c r="A1042" s="13" t="str">
        <x:v>I04</x:v>
      </x:c>
      <x:c r="B1042" s="13" t="str">
        <x:v>QUA</x:v>
      </x:c>
      <x:c r="C1042" s="13" t="str">
        <x:v>M91629</x:v>
      </x:c>
      <x:c r="D1042" s="13" t="n">
        <x:v>128</x:v>
      </x:c>
      <x:c r="E1042" s="30" t="n">
        <x:v>71.9</x:v>
      </x:c>
      <x:c r="F1042" s="13" t="str">
        <x:v>I04 Table_1!P5032/U5032</x:v>
      </x:c>
      <x:c r="G1042" s="13" t="str">
        <x:v>是</x:v>
      </x:c>
      <x:c r="H1042" s="12"/>
      <x:c r="I1042" s="12"/>
      <x:c r="J1042" s="12"/>
      <x:c r="K1042" s="12"/>
      <x:c r="L1042" s="12"/>
      <x:c r="M1042" s="12"/>
      <x:c r="N1042" s="12"/>
      <x:c r="O1042" s="12"/>
    </x:row>
    <x:row r="1043" ht="24" customHeight="1">
      <x:c r="A1043" s="13" t="str">
        <x:v>I04</x:v>
      </x:c>
      <x:c r="B1043" s="13" t="str">
        <x:v>QUA</x:v>
      </x:c>
      <x:c r="C1043" s="13" t="str">
        <x:v>M91637</x:v>
      </x:c>
      <x:c r="D1043" s="13" t="n">
        <x:v>48</x:v>
      </x:c>
      <x:c r="E1043" s="30" t="n">
        <x:v>89.6</x:v>
      </x:c>
      <x:c r="F1043" s="13" t="str">
        <x:v>I04 Table_1!P5033/U5033</x:v>
      </x:c>
      <x:c r="G1043" s="13" t="str">
        <x:v>是</x:v>
      </x:c>
      <x:c r="H1043" s="12"/>
      <x:c r="I1043" s="12"/>
      <x:c r="J1043" s="12"/>
      <x:c r="K1043" s="12"/>
      <x:c r="L1043" s="12"/>
      <x:c r="M1043" s="12"/>
      <x:c r="N1043" s="12"/>
      <x:c r="O1043" s="12"/>
    </x:row>
    <x:row r="1044" ht="24" customHeight="1">
      <x:c r="A1044" s="13" t="str">
        <x:v>I04</x:v>
      </x:c>
      <x:c r="B1044" s="13" t="str">
        <x:v>QUA</x:v>
      </x:c>
      <x:c r="C1044" s="13" t="str">
        <x:v>M91639</x:v>
      </x:c>
      <x:c r="D1044" s="13" t="n">
        <x:v>16</x:v>
      </x:c>
      <x:c r="E1044" s="30" t="n">
        <x:v>93.8</x:v>
      </x:c>
      <x:c r="F1044" s="13" t="str">
        <x:v>I04 Table_1!P5034/U5034</x:v>
      </x:c>
      <x:c r="G1044" s="13" t="str">
        <x:v>是</x:v>
      </x:c>
      <x:c r="H1044" s="12"/>
      <x:c r="I1044" s="12"/>
      <x:c r="J1044" s="12"/>
      <x:c r="K1044" s="12"/>
      <x:c r="L1044" s="12"/>
      <x:c r="M1044" s="12"/>
      <x:c r="N1044" s="12"/>
      <x:c r="O1044" s="12"/>
    </x:row>
    <x:row r="1045" ht="24" customHeight="1">
      <x:c r="A1045" s="13" t="str">
        <x:v>I04</x:v>
      </x:c>
      <x:c r="B1045" s="13" t="str">
        <x:v>QUA</x:v>
      </x:c>
      <x:c r="C1045" s="13" t="str">
        <x:v>M91640</x:v>
      </x:c>
      <x:c r="D1045" s="13" t="n">
        <x:v>45</x:v>
      </x:c>
      <x:c r="E1045" s="30" t="n">
        <x:v>75.6</x:v>
      </x:c>
      <x:c r="F1045" s="13" t="str">
        <x:v>I04 Table_1!P5035/U5035</x:v>
      </x:c>
      <x:c r="G1045" s="13" t="str">
        <x:v>是</x:v>
      </x:c>
      <x:c r="H1045" s="12"/>
      <x:c r="I1045" s="12"/>
      <x:c r="J1045" s="12"/>
      <x:c r="K1045" s="12"/>
      <x:c r="L1045" s="12"/>
      <x:c r="M1045" s="12"/>
      <x:c r="N1045" s="12"/>
      <x:c r="O1045" s="12"/>
    </x:row>
    <x:row r="1046" ht="24" customHeight="1">
      <x:c r="A1046" s="13" t="str">
        <x:v>I04</x:v>
      </x:c>
      <x:c r="B1046" s="13" t="str">
        <x:v>QUA</x:v>
      </x:c>
      <x:c r="C1046" s="13" t="str">
        <x:v>M91641</x:v>
      </x:c>
      <x:c r="D1046" s="13" t="n">
        <x:v>52</x:v>
      </x:c>
      <x:c r="E1046" s="30" t="n">
        <x:v>86.5</x:v>
      </x:c>
      <x:c r="F1046" s="13" t="str">
        <x:v>I04 Table_1!P5036/U5036</x:v>
      </x:c>
      <x:c r="G1046" s="13" t="str">
        <x:v>是</x:v>
      </x:c>
      <x:c r="H1046" s="12"/>
      <x:c r="I1046" s="12"/>
      <x:c r="J1046" s="12"/>
      <x:c r="K1046" s="12"/>
      <x:c r="L1046" s="12"/>
      <x:c r="M1046" s="12"/>
      <x:c r="N1046" s="12"/>
      <x:c r="O1046" s="12"/>
    </x:row>
    <x:row r="1047" ht="24" customHeight="1">
      <x:c r="A1047" s="13" t="str">
        <x:v>I04</x:v>
      </x:c>
      <x:c r="B1047" s="13" t="str">
        <x:v>QUA</x:v>
      </x:c>
      <x:c r="C1047" s="13" t="str">
        <x:v>M91647</x:v>
      </x:c>
      <x:c r="D1047" s="13" t="n">
        <x:v>61</x:v>
      </x:c>
      <x:c r="E1047" s="30" t="n">
        <x:v>82</x:v>
      </x:c>
      <x:c r="F1047" s="13" t="str">
        <x:v>I04 Table_1!P5037/U5037</x:v>
      </x:c>
      <x:c r="G1047" s="13" t="str">
        <x:v>是</x:v>
      </x:c>
      <x:c r="H1047" s="12"/>
      <x:c r="I1047" s="12"/>
      <x:c r="J1047" s="12"/>
      <x:c r="K1047" s="12"/>
      <x:c r="L1047" s="12"/>
      <x:c r="M1047" s="12"/>
      <x:c r="N1047" s="12"/>
      <x:c r="O1047" s="12"/>
    </x:row>
    <x:row r="1048" ht="24" customHeight="1">
      <x:c r="A1048" s="13" t="str">
        <x:v>I04</x:v>
      </x:c>
      <x:c r="B1048" s="13" t="str">
        <x:v>QUA</x:v>
      </x:c>
      <x:c r="C1048" s="13" t="str">
        <x:v>M91650</x:v>
      </x:c>
      <x:c r="D1048" s="13" t="n">
        <x:v>110</x:v>
      </x:c>
      <x:c r="E1048" s="30" t="n">
        <x:v>85.5</x:v>
      </x:c>
      <x:c r="F1048" s="13" t="str">
        <x:v>I04 Table_1!P5038/U5038</x:v>
      </x:c>
      <x:c r="G1048" s="13" t="str">
        <x:v>是</x:v>
      </x:c>
      <x:c r="H1048" s="12"/>
      <x:c r="I1048" s="12"/>
      <x:c r="J1048" s="12"/>
      <x:c r="K1048" s="12"/>
      <x:c r="L1048" s="12"/>
      <x:c r="M1048" s="12"/>
      <x:c r="N1048" s="12"/>
      <x:c r="O1048" s="12"/>
    </x:row>
    <x:row r="1049" ht="24" customHeight="1">
      <x:c r="A1049" s="13" t="str">
        <x:v>I04</x:v>
      </x:c>
      <x:c r="B1049" s="13" t="str">
        <x:v>QUA</x:v>
      </x:c>
      <x:c r="C1049" s="13" t="str">
        <x:v>M91654</x:v>
      </x:c>
      <x:c r="D1049" s="13" t="n">
        <x:v>46</x:v>
      </x:c>
      <x:c r="E1049" s="30" t="n">
        <x:v>95.7</x:v>
      </x:c>
      <x:c r="F1049" s="13" t="str">
        <x:v>I04 Table_1!P5039/U5039</x:v>
      </x:c>
      <x:c r="G1049" s="13" t="str">
        <x:v>是</x:v>
      </x:c>
      <x:c r="H1049" s="12"/>
      <x:c r="I1049" s="12"/>
      <x:c r="J1049" s="12"/>
      <x:c r="K1049" s="12"/>
      <x:c r="L1049" s="12"/>
      <x:c r="M1049" s="12"/>
      <x:c r="N1049" s="12"/>
      <x:c r="O1049" s="12"/>
    </x:row>
    <x:row r="1050" ht="24" customHeight="1">
      <x:c r="A1050" s="13" t="str">
        <x:v>I04</x:v>
      </x:c>
      <x:c r="B1050" s="13" t="str">
        <x:v>QUA</x:v>
      </x:c>
      <x:c r="C1050" s="13" t="str">
        <x:v>M91659</x:v>
      </x:c>
      <x:c r="D1050" s="13" t="n">
        <x:v>56</x:v>
      </x:c>
      <x:c r="E1050" s="30" t="n">
        <x:v>82.1</x:v>
      </x:c>
      <x:c r="F1050" s="13" t="str">
        <x:v>I04 Table_1!P5040/U5040</x:v>
      </x:c>
      <x:c r="G1050" s="13" t="str">
        <x:v>是</x:v>
      </x:c>
      <x:c r="H1050" s="12"/>
      <x:c r="I1050" s="12"/>
      <x:c r="J1050" s="12"/>
      <x:c r="K1050" s="12"/>
      <x:c r="L1050" s="12"/>
      <x:c r="M1050" s="12"/>
      <x:c r="N1050" s="12"/>
      <x:c r="O1050" s="12"/>
    </x:row>
    <x:row r="1051" ht="24" customHeight="1">
      <x:c r="A1051" s="13" t="str">
        <x:v>I04</x:v>
      </x:c>
      <x:c r="B1051" s="13" t="str">
        <x:v>QUA</x:v>
      </x:c>
      <x:c r="C1051" s="13" t="str">
        <x:v>M91660</x:v>
      </x:c>
      <x:c r="D1051" s="13" t="n">
        <x:v>67</x:v>
      </x:c>
      <x:c r="E1051" s="30" t="n">
        <x:v>70.1</x:v>
      </x:c>
      <x:c r="F1051" s="13" t="str">
        <x:v>I04 Table_1!P5041/U5041</x:v>
      </x:c>
      <x:c r="G1051" s="13" t="str">
        <x:v>是</x:v>
      </x:c>
      <x:c r="H1051" s="12"/>
      <x:c r="I1051" s="12"/>
      <x:c r="J1051" s="12"/>
      <x:c r="K1051" s="12"/>
      <x:c r="L1051" s="12"/>
      <x:c r="M1051" s="12"/>
      <x:c r="N1051" s="12"/>
      <x:c r="O1051" s="12"/>
    </x:row>
    <x:row r="1052" ht="24" customHeight="1">
      <x:c r="A1052" s="13" t="str">
        <x:v>I04</x:v>
      </x:c>
      <x:c r="B1052" s="13" t="str">
        <x:v>QUA</x:v>
      </x:c>
      <x:c r="C1052" s="13" t="str">
        <x:v>M92001</x:v>
      </x:c>
      <x:c r="D1052" s="13" t="n">
        <x:v>32</x:v>
      </x:c>
      <x:c r="E1052" s="30" t="n">
        <x:v>75</x:v>
      </x:c>
      <x:c r="F1052" s="13" t="str">
        <x:v>I04 Table_1!P5042/U5042</x:v>
      </x:c>
      <x:c r="G1052" s="13" t="str">
        <x:v>是</x:v>
      </x:c>
      <x:c r="H1052" s="12"/>
      <x:c r="I1052" s="12"/>
      <x:c r="J1052" s="12"/>
      <x:c r="K1052" s="12"/>
      <x:c r="L1052" s="12"/>
      <x:c r="M1052" s="12"/>
      <x:c r="N1052" s="12"/>
      <x:c r="O1052" s="12"/>
    </x:row>
    <x:row r="1053" ht="24" customHeight="1">
      <x:c r="A1053" s="13" t="str">
        <x:v>I04</x:v>
      </x:c>
      <x:c r="B1053" s="13" t="str">
        <x:v>QUA</x:v>
      </x:c>
      <x:c r="C1053" s="13" t="str">
        <x:v>M92004</x:v>
      </x:c>
      <x:c r="D1053" s="13" t="n">
        <x:v>41</x:v>
      </x:c>
      <x:c r="E1053" s="30" t="n">
        <x:v>87.8</x:v>
      </x:c>
      <x:c r="F1053" s="13" t="str">
        <x:v>I04 Table_1!P5043/U5043</x:v>
      </x:c>
      <x:c r="G1053" s="13" t="str">
        <x:v>是</x:v>
      </x:c>
      <x:c r="H1053" s="12"/>
      <x:c r="I1053" s="12"/>
      <x:c r="J1053" s="12"/>
      <x:c r="K1053" s="12"/>
      <x:c r="L1053" s="12"/>
      <x:c r="M1053" s="12"/>
      <x:c r="N1053" s="12"/>
      <x:c r="O1053" s="12"/>
    </x:row>
    <x:row r="1054" ht="24" customHeight="1">
      <x:c r="A1054" s="13" t="str">
        <x:v>I04</x:v>
      </x:c>
      <x:c r="B1054" s="13" t="str">
        <x:v>QUA</x:v>
      </x:c>
      <x:c r="C1054" s="13" t="str">
        <x:v>M92006</x:v>
      </x:c>
      <x:c r="D1054" s="13" t="n">
        <x:v>42</x:v>
      </x:c>
      <x:c r="E1054" s="30" t="n">
        <x:v>92.9</x:v>
      </x:c>
      <x:c r="F1054" s="13" t="str">
        <x:v>I04 Table_1!P5044/U5044</x:v>
      </x:c>
      <x:c r="G1054" s="13" t="str">
        <x:v>是</x:v>
      </x:c>
      <x:c r="H1054" s="12"/>
      <x:c r="I1054" s="12"/>
      <x:c r="J1054" s="12"/>
      <x:c r="K1054" s="12"/>
      <x:c r="L1054" s="12"/>
      <x:c r="M1054" s="12"/>
      <x:c r="N1054" s="12"/>
      <x:c r="O1054" s="12"/>
    </x:row>
    <x:row r="1055" ht="24" customHeight="1">
      <x:c r="A1055" s="13" t="str">
        <x:v>I04</x:v>
      </x:c>
      <x:c r="B1055" s="13" t="str">
        <x:v>QUA</x:v>
      </x:c>
      <x:c r="C1055" s="13" t="str">
        <x:v>M92007</x:v>
      </x:c>
      <x:c r="D1055" s="13" t="n">
        <x:v>73</x:v>
      </x:c>
      <x:c r="E1055" s="30" t="n">
        <x:v>72.6</x:v>
      </x:c>
      <x:c r="F1055" s="13" t="str">
        <x:v>I04 Table_1!P5045/U5045</x:v>
      </x:c>
      <x:c r="G1055" s="13" t="str">
        <x:v>是</x:v>
      </x:c>
      <x:c r="H1055" s="12"/>
      <x:c r="I1055" s="12"/>
      <x:c r="J1055" s="12"/>
      <x:c r="K1055" s="12"/>
      <x:c r="L1055" s="12"/>
      <x:c r="M1055" s="12"/>
      <x:c r="N1055" s="12"/>
      <x:c r="O1055" s="12"/>
    </x:row>
    <x:row r="1056" ht="24" customHeight="1">
      <x:c r="A1056" s="13" t="str">
        <x:v>I04</x:v>
      </x:c>
      <x:c r="B1056" s="13" t="str">
        <x:v>QUA</x:v>
      </x:c>
      <x:c r="C1056" s="13" t="str">
        <x:v>M92008</x:v>
      </x:c>
      <x:c r="D1056" s="13" t="n">
        <x:v>134</x:v>
      </x:c>
      <x:c r="E1056" s="30" t="n">
        <x:v>91.8</x:v>
      </x:c>
      <x:c r="F1056" s="13" t="str">
        <x:v>I04 Table_1!P5046/U5046</x:v>
      </x:c>
      <x:c r="G1056" s="13" t="str">
        <x:v>是</x:v>
      </x:c>
      <x:c r="H1056" s="12"/>
      <x:c r="I1056" s="12"/>
      <x:c r="J1056" s="12"/>
      <x:c r="K1056" s="12"/>
      <x:c r="L1056" s="12"/>
      <x:c r="M1056" s="12"/>
      <x:c r="N1056" s="12"/>
      <x:c r="O1056" s="12"/>
    </x:row>
    <x:row r="1057" ht="24" customHeight="1">
      <x:c r="A1057" s="13" t="str">
        <x:v>I04</x:v>
      </x:c>
      <x:c r="B1057" s="13" t="str">
        <x:v>QUA</x:v>
      </x:c>
      <x:c r="C1057" s="13" t="str">
        <x:v>M92009</x:v>
      </x:c>
      <x:c r="D1057" s="13" t="n">
        <x:v>148</x:v>
      </x:c>
      <x:c r="E1057" s="30" t="n">
        <x:v>85.1</x:v>
      </x:c>
      <x:c r="F1057" s="13" t="str">
        <x:v>I04 Table_1!P5047/U5047</x:v>
      </x:c>
      <x:c r="G1057" s="13" t="str">
        <x:v>是</x:v>
      </x:c>
      <x:c r="H1057" s="12"/>
      <x:c r="I1057" s="12"/>
      <x:c r="J1057" s="12"/>
      <x:c r="K1057" s="12"/>
      <x:c r="L1057" s="12"/>
      <x:c r="M1057" s="12"/>
      <x:c r="N1057" s="12"/>
      <x:c r="O1057" s="12"/>
    </x:row>
    <x:row r="1058" ht="24" customHeight="1">
      <x:c r="A1058" s="13" t="str">
        <x:v>I04</x:v>
      </x:c>
      <x:c r="B1058" s="13" t="str">
        <x:v>QUA</x:v>
      </x:c>
      <x:c r="C1058" s="13" t="str">
        <x:v>M92010</x:v>
      </x:c>
      <x:c r="D1058" s="13" t="n">
        <x:v>120</x:v>
      </x:c>
      <x:c r="E1058" s="30" t="n">
        <x:v>87.5</x:v>
      </x:c>
      <x:c r="F1058" s="13" t="str">
        <x:v>I04 Table_1!P5048/U5048</x:v>
      </x:c>
      <x:c r="G1058" s="13" t="str">
        <x:v>是</x:v>
      </x:c>
      <x:c r="H1058" s="12"/>
      <x:c r="I1058" s="12"/>
      <x:c r="J1058" s="12"/>
      <x:c r="K1058" s="12"/>
      <x:c r="L1058" s="12"/>
      <x:c r="M1058" s="12"/>
      <x:c r="N1058" s="12"/>
      <x:c r="O1058" s="12"/>
    </x:row>
    <x:row r="1059" ht="24" customHeight="1">
      <x:c r="A1059" s="13" t="str">
        <x:v>I04</x:v>
      </x:c>
      <x:c r="B1059" s="13" t="str">
        <x:v>QUA</x:v>
      </x:c>
      <x:c r="C1059" s="13" t="str">
        <x:v>M92011</x:v>
      </x:c>
      <x:c r="D1059" s="13" t="n">
        <x:v>270</x:v>
      </x:c>
      <x:c r="E1059" s="30" t="n">
        <x:v>83.7</x:v>
      </x:c>
      <x:c r="F1059" s="13" t="str">
        <x:v>I04 Table_1!P5049/U5049</x:v>
      </x:c>
      <x:c r="G1059" s="13" t="str">
        <x:v>是</x:v>
      </x:c>
      <x:c r="H1059" s="12"/>
      <x:c r="I1059" s="12"/>
      <x:c r="J1059" s="12"/>
      <x:c r="K1059" s="12"/>
      <x:c r="L1059" s="12"/>
      <x:c r="M1059" s="12"/>
      <x:c r="N1059" s="12"/>
      <x:c r="O1059" s="12"/>
    </x:row>
    <x:row r="1060" ht="24" customHeight="1">
      <x:c r="A1060" s="13" t="str">
        <x:v>I04</x:v>
      </x:c>
      <x:c r="B1060" s="13" t="str">
        <x:v>QUA</x:v>
      </x:c>
      <x:c r="C1060" s="13" t="str">
        <x:v>M92012</x:v>
      </x:c>
      <x:c r="D1060" s="13" t="n">
        <x:v>146</x:v>
      </x:c>
      <x:c r="E1060" s="30" t="n">
        <x:v>78.8</x:v>
      </x:c>
      <x:c r="F1060" s="13" t="str">
        <x:v>I04 Table_1!P5050/U5050</x:v>
      </x:c>
      <x:c r="G1060" s="13" t="str">
        <x:v>是</x:v>
      </x:c>
      <x:c r="H1060" s="12"/>
      <x:c r="I1060" s="12"/>
      <x:c r="J1060" s="12"/>
      <x:c r="K1060" s="12"/>
      <x:c r="L1060" s="12"/>
      <x:c r="M1060" s="12"/>
      <x:c r="N1060" s="12"/>
      <x:c r="O1060" s="12"/>
    </x:row>
    <x:row r="1061" ht="24" customHeight="1">
      <x:c r="A1061" s="13" t="str">
        <x:v>I04</x:v>
      </x:c>
      <x:c r="B1061" s="13" t="str">
        <x:v>QUA</x:v>
      </x:c>
      <x:c r="C1061" s="13" t="str">
        <x:v>M92013</x:v>
      </x:c>
      <x:c r="D1061" s="13" t="n">
        <x:v>93</x:v>
      </x:c>
      <x:c r="E1061" s="30" t="n">
        <x:v>73.1</x:v>
      </x:c>
      <x:c r="F1061" s="13" t="str">
        <x:v>I04 Table_1!P5051/U5051</x:v>
      </x:c>
      <x:c r="G1061" s="13" t="str">
        <x:v>是</x:v>
      </x:c>
      <x:c r="H1061" s="12"/>
      <x:c r="I1061" s="12"/>
      <x:c r="J1061" s="12"/>
      <x:c r="K1061" s="12"/>
      <x:c r="L1061" s="12"/>
      <x:c r="M1061" s="12"/>
      <x:c r="N1061" s="12"/>
      <x:c r="O1061" s="12"/>
    </x:row>
    <x:row r="1062" ht="24" customHeight="1">
      <x:c r="A1062" s="13" t="str">
        <x:v>I04</x:v>
      </x:c>
      <x:c r="B1062" s="13" t="str">
        <x:v>QUA</x:v>
      </x:c>
      <x:c r="C1062" s="13" t="str">
        <x:v>M92015</x:v>
      </x:c>
      <x:c r="D1062" s="13" t="n">
        <x:v>68</x:v>
      </x:c>
      <x:c r="E1062" s="30" t="n">
        <x:v>79.4</x:v>
      </x:c>
      <x:c r="F1062" s="13" t="str">
        <x:v>I04 Table_1!P5052/U5052</x:v>
      </x:c>
      <x:c r="G1062" s="13" t="str">
        <x:v>是</x:v>
      </x:c>
      <x:c r="H1062" s="12"/>
      <x:c r="I1062" s="12"/>
      <x:c r="J1062" s="12"/>
      <x:c r="K1062" s="12"/>
      <x:c r="L1062" s="12"/>
      <x:c r="M1062" s="12"/>
      <x:c r="N1062" s="12"/>
      <x:c r="O1062" s="12"/>
    </x:row>
    <x:row r="1063" ht="24" customHeight="1">
      <x:c r="A1063" s="13" t="str">
        <x:v>I04</x:v>
      </x:c>
      <x:c r="B1063" s="13" t="str">
        <x:v>QUA</x:v>
      </x:c>
      <x:c r="C1063" s="13" t="str">
        <x:v>M92016</x:v>
      </x:c>
      <x:c r="D1063" s="13" t="n">
        <x:v>310</x:v>
      </x:c>
      <x:c r="E1063" s="30" t="n">
        <x:v>76.1</x:v>
      </x:c>
      <x:c r="F1063" s="13" t="str">
        <x:v>I04 Table_1!P5053/U5053</x:v>
      </x:c>
      <x:c r="G1063" s="13" t="str">
        <x:v>是</x:v>
      </x:c>
      <x:c r="H1063" s="12"/>
      <x:c r="I1063" s="12"/>
      <x:c r="J1063" s="12"/>
      <x:c r="K1063" s="12"/>
      <x:c r="L1063" s="12"/>
      <x:c r="M1063" s="12"/>
      <x:c r="N1063" s="12"/>
      <x:c r="O1063" s="12"/>
    </x:row>
    <x:row r="1064" ht="24" customHeight="1">
      <x:c r="A1064" s="13" t="str">
        <x:v>I04</x:v>
      </x:c>
      <x:c r="B1064" s="13" t="str">
        <x:v>QUA</x:v>
      </x:c>
      <x:c r="C1064" s="13" t="str">
        <x:v>M92019</x:v>
      </x:c>
      <x:c r="D1064" s="13" t="n">
        <x:v>74</x:v>
      </x:c>
      <x:c r="E1064" s="30" t="n">
        <x:v>77</x:v>
      </x:c>
      <x:c r="F1064" s="13" t="str">
        <x:v>I04 Table_1!P5054/U5054</x:v>
      </x:c>
      <x:c r="G1064" s="13" t="str">
        <x:v>是</x:v>
      </x:c>
      <x:c r="H1064" s="12"/>
      <x:c r="I1064" s="12"/>
      <x:c r="J1064" s="12"/>
      <x:c r="K1064" s="12"/>
      <x:c r="L1064" s="12"/>
      <x:c r="M1064" s="12"/>
      <x:c r="N1064" s="12"/>
      <x:c r="O1064" s="12"/>
    </x:row>
    <x:row r="1065" ht="24" customHeight="1">
      <x:c r="A1065" s="13" t="str">
        <x:v>I04</x:v>
      </x:c>
      <x:c r="B1065" s="13" t="str">
        <x:v>QUA</x:v>
      </x:c>
      <x:c r="C1065" s="13" t="str">
        <x:v>M92022</x:v>
      </x:c>
      <x:c r="D1065" s="13" t="n">
        <x:v>79</x:v>
      </x:c>
      <x:c r="E1065" s="30" t="n">
        <x:v>81</x:v>
      </x:c>
      <x:c r="F1065" s="13" t="str">
        <x:v>I04 Table_1!P5055/U5055</x:v>
      </x:c>
      <x:c r="G1065" s="13" t="str">
        <x:v>是</x:v>
      </x:c>
      <x:c r="H1065" s="12"/>
      <x:c r="I1065" s="12"/>
      <x:c r="J1065" s="12"/>
      <x:c r="K1065" s="12"/>
      <x:c r="L1065" s="12"/>
      <x:c r="M1065" s="12"/>
      <x:c r="N1065" s="12"/>
      <x:c r="O1065" s="12"/>
    </x:row>
    <x:row r="1066" ht="24" customHeight="1">
      <x:c r="A1066" s="13" t="str">
        <x:v>I04</x:v>
      </x:c>
      <x:c r="B1066" s="13" t="str">
        <x:v>QUA</x:v>
      </x:c>
      <x:c r="C1066" s="13" t="str">
        <x:v>M92026</x:v>
      </x:c>
      <x:c r="D1066" s="13" t="n">
        <x:v>54</x:v>
      </x:c>
      <x:c r="E1066" s="30" t="n">
        <x:v>85.2</x:v>
      </x:c>
      <x:c r="F1066" s="13" t="str">
        <x:v>I04 Table_1!P5056/U5056</x:v>
      </x:c>
      <x:c r="G1066" s="13" t="str">
        <x:v>是</x:v>
      </x:c>
      <x:c r="H1066" s="12"/>
      <x:c r="I1066" s="12"/>
      <x:c r="J1066" s="12"/>
      <x:c r="K1066" s="12"/>
      <x:c r="L1066" s="12"/>
      <x:c r="M1066" s="12"/>
      <x:c r="N1066" s="12"/>
      <x:c r="O1066" s="12"/>
    </x:row>
    <x:row r="1067" ht="24" customHeight="1">
      <x:c r="A1067" s="13" t="str">
        <x:v>I04</x:v>
      </x:c>
      <x:c r="B1067" s="13" t="str">
        <x:v>QUA</x:v>
      </x:c>
      <x:c r="C1067" s="13" t="str">
        <x:v>M92028</x:v>
      </x:c>
      <x:c r="D1067" s="13" t="n">
        <x:v>102</x:v>
      </x:c>
      <x:c r="E1067" s="30" t="n">
        <x:v>59.8</x:v>
      </x:c>
      <x:c r="F1067" s="13" t="str">
        <x:v>I04 Table_1!P5057/U5057</x:v>
      </x:c>
      <x:c r="G1067" s="13" t="str">
        <x:v>是</x:v>
      </x:c>
      <x:c r="H1067" s="12"/>
      <x:c r="I1067" s="12"/>
      <x:c r="J1067" s="12"/>
      <x:c r="K1067" s="12"/>
      <x:c r="L1067" s="12"/>
      <x:c r="M1067" s="12"/>
      <x:c r="N1067" s="12"/>
      <x:c r="O1067" s="12"/>
    </x:row>
    <x:row r="1068" ht="24" customHeight="1">
      <x:c r="A1068" s="13" t="str">
        <x:v>I04</x:v>
      </x:c>
      <x:c r="B1068" s="13" t="str">
        <x:v>QUA</x:v>
      </x:c>
      <x:c r="C1068" s="13" t="str">
        <x:v>M92029</x:v>
      </x:c>
      <x:c r="D1068" s="13" t="n">
        <x:v>47</x:v>
      </x:c>
      <x:c r="E1068" s="30" t="n">
        <x:v>85.1</x:v>
      </x:c>
      <x:c r="F1068" s="13" t="str">
        <x:v>I04 Table_1!P5058/U5058</x:v>
      </x:c>
      <x:c r="G1068" s="13" t="str">
        <x:v>是</x:v>
      </x:c>
      <x:c r="H1068" s="12"/>
      <x:c r="I1068" s="12"/>
      <x:c r="J1068" s="12"/>
      <x:c r="K1068" s="12"/>
      <x:c r="L1068" s="12"/>
      <x:c r="M1068" s="12"/>
      <x:c r="N1068" s="12"/>
      <x:c r="O1068" s="12"/>
    </x:row>
    <x:row r="1069" ht="24" customHeight="1">
      <x:c r="A1069" s="13" t="str">
        <x:v>I04</x:v>
      </x:c>
      <x:c r="B1069" s="13" t="str">
        <x:v>QUA</x:v>
      </x:c>
      <x:c r="C1069" s="13" t="str">
        <x:v>M92039</x:v>
      </x:c>
      <x:c r="D1069" s="13" t="n">
        <x:v>94</x:v>
      </x:c>
      <x:c r="E1069" s="30" t="n">
        <x:v>80.9</x:v>
      </x:c>
      <x:c r="F1069" s="13" t="str">
        <x:v>I04 Table_1!P5059/U5059</x:v>
      </x:c>
      <x:c r="G1069" s="13" t="str">
        <x:v>是</x:v>
      </x:c>
      <x:c r="H1069" s="12"/>
      <x:c r="I1069" s="12"/>
      <x:c r="J1069" s="12"/>
      <x:c r="K1069" s="12"/>
      <x:c r="L1069" s="12"/>
      <x:c r="M1069" s="12"/>
      <x:c r="N1069" s="12"/>
      <x:c r="O1069" s="12"/>
    </x:row>
    <x:row r="1070" ht="24" customHeight="1">
      <x:c r="A1070" s="13" t="str">
        <x:v>I04</x:v>
      </x:c>
      <x:c r="B1070" s="13" t="str">
        <x:v>QUA</x:v>
      </x:c>
      <x:c r="C1070" s="13" t="str">
        <x:v>M92040</x:v>
      </x:c>
      <x:c r="D1070" s="13" t="n">
        <x:v>175</x:v>
      </x:c>
      <x:c r="E1070" s="30" t="n">
        <x:v>78.9</x:v>
      </x:c>
      <x:c r="F1070" s="13" t="str">
        <x:v>I04 Table_1!P5060/U5060</x:v>
      </x:c>
      <x:c r="G1070" s="13" t="str">
        <x:v>是</x:v>
      </x:c>
      <x:c r="H1070" s="12"/>
      <x:c r="I1070" s="12"/>
      <x:c r="J1070" s="12"/>
      <x:c r="K1070" s="12"/>
      <x:c r="L1070" s="12"/>
      <x:c r="M1070" s="12"/>
      <x:c r="N1070" s="12"/>
      <x:c r="O1070" s="12"/>
    </x:row>
    <x:row r="1071" ht="24" customHeight="1">
      <x:c r="A1071" s="13" t="str">
        <x:v>I04</x:v>
      </x:c>
      <x:c r="B1071" s="13" t="str">
        <x:v>QUA</x:v>
      </x:c>
      <x:c r="C1071" s="13" t="str">
        <x:v>M92041</x:v>
      </x:c>
      <x:c r="D1071" s="13" t="n">
        <x:v>56</x:v>
      </x:c>
      <x:c r="E1071" s="30" t="n">
        <x:v>85.7</x:v>
      </x:c>
      <x:c r="F1071" s="13" t="str">
        <x:v>I04 Table_1!P5061/U5061</x:v>
      </x:c>
      <x:c r="G1071" s="13" t="str">
        <x:v>是</x:v>
      </x:c>
      <x:c r="H1071" s="12"/>
      <x:c r="I1071" s="12"/>
      <x:c r="J1071" s="12"/>
      <x:c r="K1071" s="12"/>
      <x:c r="L1071" s="12"/>
      <x:c r="M1071" s="12"/>
      <x:c r="N1071" s="12"/>
      <x:c r="O1071" s="12"/>
    </x:row>
    <x:row r="1072" ht="24" customHeight="1">
      <x:c r="A1072" s="13" t="str">
        <x:v>I04</x:v>
      </x:c>
      <x:c r="B1072" s="13" t="str">
        <x:v>QUA</x:v>
      </x:c>
      <x:c r="C1072" s="13" t="str">
        <x:v>M92043</x:v>
      </x:c>
      <x:c r="D1072" s="13" t="n">
        <x:v>60</x:v>
      </x:c>
      <x:c r="E1072" s="30" t="n">
        <x:v>83.3</x:v>
      </x:c>
      <x:c r="F1072" s="13" t="str">
        <x:v>I04 Table_1!P5062/U5062</x:v>
      </x:c>
      <x:c r="G1072" s="13" t="str">
        <x:v>是</x:v>
      </x:c>
      <x:c r="H1072" s="12"/>
      <x:c r="I1072" s="12"/>
      <x:c r="J1072" s="12"/>
      <x:c r="K1072" s="12"/>
      <x:c r="L1072" s="12"/>
      <x:c r="M1072" s="12"/>
      <x:c r="N1072" s="12"/>
      <x:c r="O1072" s="12"/>
    </x:row>
    <x:row r="1073" ht="24" customHeight="1">
      <x:c r="A1073" s="13" t="str">
        <x:v>I04</x:v>
      </x:c>
      <x:c r="B1073" s="13" t="str">
        <x:v>QUA</x:v>
      </x:c>
      <x:c r="C1073" s="13" t="str">
        <x:v>M92607</x:v>
      </x:c>
      <x:c r="D1073" s="13" t="n">
        <x:v>248</x:v>
      </x:c>
      <x:c r="E1073" s="30" t="n">
        <x:v>62.1</x:v>
      </x:c>
      <x:c r="F1073" s="13" t="str">
        <x:v>I04 Table_1!P5063/U5063</x:v>
      </x:c>
      <x:c r="G1073" s="13" t="str">
        <x:v>是</x:v>
      </x:c>
      <x:c r="H1073" s="12"/>
      <x:c r="I1073" s="12"/>
      <x:c r="J1073" s="12"/>
      <x:c r="K1073" s="12"/>
      <x:c r="L1073" s="12"/>
      <x:c r="M1073" s="12"/>
      <x:c r="N1073" s="12"/>
      <x:c r="O1073" s="12"/>
    </x:row>
    <x:row r="1074" ht="24" customHeight="1">
      <x:c r="A1074" s="13" t="str">
        <x:v>I04</x:v>
      </x:c>
      <x:c r="B1074" s="13" t="str">
        <x:v>QUA</x:v>
      </x:c>
      <x:c r="C1074" s="13" t="str">
        <x:v>M92609</x:v>
      </x:c>
      <x:c r="D1074" s="13" t="n">
        <x:v>69</x:v>
      </x:c>
      <x:c r="E1074" s="30" t="n">
        <x:v>91.3</x:v>
      </x:c>
      <x:c r="F1074" s="13" t="str">
        <x:v>I04 Table_1!P5064/U5064</x:v>
      </x:c>
      <x:c r="G1074" s="13" t="str">
        <x:v>是</x:v>
      </x:c>
      <x:c r="H1074" s="12"/>
      <x:c r="I1074" s="12"/>
      <x:c r="J1074" s="12"/>
      <x:c r="K1074" s="12"/>
      <x:c r="L1074" s="12"/>
      <x:c r="M1074" s="12"/>
      <x:c r="N1074" s="12"/>
      <x:c r="O1074" s="12"/>
    </x:row>
    <x:row r="1075" ht="24" customHeight="1">
      <x:c r="A1075" s="13" t="str">
        <x:v>I04</x:v>
      </x:c>
      <x:c r="B1075" s="13" t="str">
        <x:v>QUA</x:v>
      </x:c>
      <x:c r="C1075" s="13" t="str">
        <x:v>M92612</x:v>
      </x:c>
      <x:c r="D1075" s="13" t="n">
        <x:v>441</x:v>
      </x:c>
      <x:c r="E1075" s="30" t="n">
        <x:v>72.6</x:v>
      </x:c>
      <x:c r="F1075" s="13" t="str">
        <x:v>I04 Table_1!P5065/U5065</x:v>
      </x:c>
      <x:c r="G1075" s="13" t="str">
        <x:v>是</x:v>
      </x:c>
      <x:c r="H1075" s="12"/>
      <x:c r="I1075" s="12"/>
      <x:c r="J1075" s="12"/>
      <x:c r="K1075" s="12"/>
      <x:c r="L1075" s="12"/>
      <x:c r="M1075" s="12"/>
      <x:c r="N1075" s="12"/>
      <x:c r="O1075" s="12"/>
    </x:row>
    <x:row r="1076" ht="24" customHeight="1">
      <x:c r="A1076" s="13" t="str">
        <x:v>I04</x:v>
      </x:c>
      <x:c r="B1076" s="13" t="str">
        <x:v>QUA</x:v>
      </x:c>
      <x:c r="C1076" s="13" t="str">
        <x:v>M92627</x:v>
      </x:c>
      <x:c r="D1076" s="13" t="n">
        <x:v>41</x:v>
      </x:c>
      <x:c r="E1076" s="30" t="n">
        <x:v>85.4</x:v>
      </x:c>
      <x:c r="F1076" s="13" t="str">
        <x:v>I04 Table_1!P5066/U5066</x:v>
      </x:c>
      <x:c r="G1076" s="13" t="str">
        <x:v>是</x:v>
      </x:c>
      <x:c r="H1076" s="12"/>
      <x:c r="I1076" s="12"/>
      <x:c r="J1076" s="12"/>
      <x:c r="K1076" s="12"/>
      <x:c r="L1076" s="12"/>
      <x:c r="M1076" s="12"/>
      <x:c r="N1076" s="12"/>
      <x:c r="O1076" s="12"/>
    </x:row>
    <x:row r="1077" ht="24" customHeight="1">
      <x:c r="A1077" s="13" t="str">
        <x:v>I04</x:v>
      </x:c>
      <x:c r="B1077" s="13" t="str">
        <x:v>QUA</x:v>
      </x:c>
      <x:c r="C1077" s="13" t="str">
        <x:v>M92629</x:v>
      </x:c>
      <x:c r="D1077" s="13" t="n">
        <x:v>52</x:v>
      </x:c>
      <x:c r="E1077" s="30" t="n">
        <x:v>80.8</x:v>
      </x:c>
      <x:c r="F1077" s="13" t="str">
        <x:v>I04 Table_1!P5067/U5067</x:v>
      </x:c>
      <x:c r="G1077" s="13" t="str">
        <x:v>是</x:v>
      </x:c>
      <x:c r="H1077" s="12"/>
      <x:c r="I1077" s="12"/>
      <x:c r="J1077" s="12"/>
      <x:c r="K1077" s="12"/>
      <x:c r="L1077" s="12"/>
      <x:c r="M1077" s="12"/>
      <x:c r="N1077" s="12"/>
      <x:c r="O1077" s="12"/>
    </x:row>
    <x:row r="1078" ht="24" customHeight="1">
      <x:c r="A1078" s="13" t="str">
        <x:v>I04</x:v>
      </x:c>
      <x:c r="B1078" s="13" t="str">
        <x:v>QUA</x:v>
      </x:c>
      <x:c r="C1078" s="13" t="str">
        <x:v>M92630</x:v>
      </x:c>
      <x:c r="D1078" s="13" t="n">
        <x:v>80</x:v>
      </x:c>
      <x:c r="E1078" s="30" t="n">
        <x:v>87.5</x:v>
      </x:c>
      <x:c r="F1078" s="13" t="str">
        <x:v>I04 Table_1!P5068/U5068</x:v>
      </x:c>
      <x:c r="G1078" s="13" t="str">
        <x:v>是</x:v>
      </x:c>
      <x:c r="H1078" s="12"/>
      <x:c r="I1078" s="12"/>
      <x:c r="J1078" s="12"/>
      <x:c r="K1078" s="12"/>
      <x:c r="L1078" s="12"/>
      <x:c r="M1078" s="12"/>
      <x:c r="N1078" s="12"/>
      <x:c r="O1078" s="12"/>
    </x:row>
    <x:row r="1079" ht="24" customHeight="1">
      <x:c r="A1079" s="13" t="str">
        <x:v>I04</x:v>
      </x:c>
      <x:c r="B1079" s="13" t="str">
        <x:v>QUA</x:v>
      </x:c>
      <x:c r="C1079" s="13" t="str">
        <x:v>M92640</x:v>
      </x:c>
      <x:c r="D1079" s="13" t="n">
        <x:v>23</x:v>
      </x:c>
      <x:c r="E1079" s="30" t="n">
        <x:v>73.9</x:v>
      </x:c>
      <x:c r="F1079" s="13" t="str">
        <x:v>I04 Table_1!P5069/U5069</x:v>
      </x:c>
      <x:c r="G1079" s="13" t="str">
        <x:v>是</x:v>
      </x:c>
      <x:c r="H1079" s="12"/>
      <x:c r="I1079" s="12"/>
      <x:c r="J1079" s="12"/>
      <x:c r="K1079" s="12"/>
      <x:c r="L1079" s="12"/>
      <x:c r="M1079" s="12"/>
      <x:c r="N1079" s="12"/>
      <x:c r="O1079" s="12"/>
    </x:row>
    <x:row r="1080" ht="24" customHeight="1">
      <x:c r="A1080" s="13" t="str">
        <x:v>I04</x:v>
      </x:c>
      <x:c r="B1080" s="13" t="str">
        <x:v>QUA</x:v>
      </x:c>
      <x:c r="C1080" s="13" t="str">
        <x:v>M92649</x:v>
      </x:c>
      <x:c r="D1080" s="13" t="n">
        <x:v>50</x:v>
      </x:c>
      <x:c r="E1080" s="30" t="n">
        <x:v>80</x:v>
      </x:c>
      <x:c r="F1080" s="13" t="str">
        <x:v>I04 Table_1!P5070/U5070</x:v>
      </x:c>
      <x:c r="G1080" s="13" t="str">
        <x:v>是</x:v>
      </x:c>
      <x:c r="H1080" s="12"/>
      <x:c r="I1080" s="12"/>
      <x:c r="J1080" s="12"/>
      <x:c r="K1080" s="12"/>
      <x:c r="L1080" s="12"/>
      <x:c r="M1080" s="12"/>
      <x:c r="N1080" s="12"/>
      <x:c r="O1080" s="12"/>
    </x:row>
    <x:row r="1081" ht="24" customHeight="1">
      <x:c r="A1081" s="13" t="str">
        <x:v>I04</x:v>
      </x:c>
      <x:c r="B1081" s="13" t="str">
        <x:v>QUA</x:v>
      </x:c>
      <x:c r="C1081" s="13" t="str">
        <x:v>M92654</x:v>
      </x:c>
      <x:c r="D1081" s="13" t="n">
        <x:v>113</x:v>
      </x:c>
      <x:c r="E1081" s="30" t="n">
        <x:v>71.7</x:v>
      </x:c>
      <x:c r="F1081" s="13" t="str">
        <x:v>I04 Table_1!P5071/U5071</x:v>
      </x:c>
      <x:c r="G1081" s="13" t="str">
        <x:v>是</x:v>
      </x:c>
      <x:c r="H1081" s="12"/>
      <x:c r="I1081" s="12"/>
      <x:c r="J1081" s="12"/>
      <x:c r="K1081" s="12"/>
      <x:c r="L1081" s="12"/>
      <x:c r="M1081" s="12"/>
      <x:c r="N1081" s="12"/>
      <x:c r="O1081" s="12"/>
    </x:row>
    <x:row r="1082" ht="24" customHeight="1">
      <x:c r="A1082" s="13" t="str">
        <x:v>I04</x:v>
      </x:c>
      <x:c r="B1082" s="13" t="str">
        <x:v>QUA</x:v>
      </x:c>
      <x:c r="C1082" s="13" t="str">
        <x:v>Y00228</x:v>
      </x:c>
      <x:c r="D1082" s="13" t="n">
        <x:v>31</x:v>
      </x:c>
      <x:c r="E1082" s="30" t="n">
        <x:v>80.6</x:v>
      </x:c>
      <x:c r="F1082" s="13" t="str">
        <x:v>I04 Table_1!P5072/U5072</x:v>
      </x:c>
      <x:c r="G1082" s="13" t="str">
        <x:v>是</x:v>
      </x:c>
      <x:c r="H1082" s="12"/>
      <x:c r="I1082" s="12"/>
      <x:c r="J1082" s="12"/>
      <x:c r="K1082" s="12"/>
      <x:c r="L1082" s="12"/>
      <x:c r="M1082" s="12"/>
      <x:c r="N1082" s="12"/>
      <x:c r="O1082" s="12"/>
    </x:row>
    <x:row r="1083" ht="24" customHeight="1">
      <x:c r="A1083" s="13" t="str">
        <x:v>I04</x:v>
      </x:c>
      <x:c r="B1083" s="13" t="str">
        <x:v>QUA</x:v>
      </x:c>
      <x:c r="C1083" s="13" t="str">
        <x:v>Y00278</x:v>
      </x:c>
      <x:c r="D1083" s="13" t="n">
        <x:v>58</x:v>
      </x:c>
      <x:c r="E1083" s="30" t="n">
        <x:v>81</x:v>
      </x:c>
      <x:c r="F1083" s="13" t="str">
        <x:v>I04 Table_1!P5073/U5073</x:v>
      </x:c>
      <x:c r="G1083" s="13" t="str">
        <x:v>是</x:v>
      </x:c>
      <x:c r="H1083" s="12"/>
      <x:c r="I1083" s="12"/>
      <x:c r="J1083" s="12"/>
      <x:c r="K1083" s="12"/>
      <x:c r="L1083" s="12"/>
      <x:c r="M1083" s="12"/>
      <x:c r="N1083" s="12"/>
      <x:c r="O1083" s="12"/>
    </x:row>
    <x:row r="1084" ht="24" customHeight="1">
      <x:c r="A1084" s="13" t="str">
        <x:v>I04</x:v>
      </x:c>
      <x:c r="B1084" s="13" t="str">
        <x:v>QUA</x:v>
      </x:c>
      <x:c r="C1084" s="13" t="str">
        <x:v>Y01756</x:v>
      </x:c>
      <x:c r="D1084" s="13" t="n">
        <x:v>59</x:v>
      </x:c>
      <x:c r="E1084" s="30" t="n">
        <x:v>84.7</x:v>
      </x:c>
      <x:c r="F1084" s="13" t="str">
        <x:v>I04 Table_1!P5074/U5074</x:v>
      </x:c>
      <x:c r="G1084" s="13" t="str">
        <x:v>是</x:v>
      </x:c>
      <x:c r="H1084" s="12"/>
      <x:c r="I1084" s="12"/>
      <x:c r="J1084" s="12"/>
      <x:c r="K1084" s="12"/>
      <x:c r="L1084" s="12"/>
      <x:c r="M1084" s="12"/>
      <x:c r="N1084" s="12"/>
      <x:c r="O1084" s="12"/>
    </x:row>
    <x:row r="1085" ht="24" customHeight="1">
      <x:c r="A1085" s="13" t="str">
        <x:v>I04</x:v>
      </x:c>
      <x:c r="B1085" s="13" t="str">
        <x:v>QUA</x:v>
      </x:c>
      <x:c r="C1085" s="13" t="str">
        <x:v>Y02212</x:v>
      </x:c>
      <x:c r="D1085" s="13" t="n">
        <x:v>42</x:v>
      </x:c>
      <x:c r="E1085" s="30" t="n">
        <x:v>81</x:v>
      </x:c>
      <x:c r="F1085" s="13" t="str">
        <x:v>I04 Table_1!P5075/U5075</x:v>
      </x:c>
      <x:c r="G1085" s="13" t="str">
        <x:v>是</x:v>
      </x:c>
      <x:c r="H1085" s="12"/>
      <x:c r="I1085" s="12"/>
      <x:c r="J1085" s="12"/>
      <x:c r="K1085" s="12"/>
      <x:c r="L1085" s="12"/>
      <x:c r="M1085" s="12"/>
      <x:c r="N1085" s="12"/>
      <x:c r="O1085" s="12"/>
    </x:row>
    <x:row r="1086" ht="24" customHeight="1">
      <x:c r="A1086" s="13" t="str">
        <x:v>I04</x:v>
      </x:c>
      <x:c r="B1086" s="13" t="str">
        <x:v>QUA</x:v>
      </x:c>
      <x:c r="C1086" s="13" t="str">
        <x:v>Y02626</x:v>
      </x:c>
      <x:c r="D1086" s="13" t="n">
        <x:v>61</x:v>
      </x:c>
      <x:c r="E1086" s="30" t="n">
        <x:v>78.7</x:v>
      </x:c>
      <x:c r="F1086" s="13" t="str">
        <x:v>I04 Table_1!P5076/U5076</x:v>
      </x:c>
      <x:c r="G1086" s="13" t="str">
        <x:v>是</x:v>
      </x:c>
      <x:c r="H1086" s="12"/>
      <x:c r="I1086" s="12"/>
      <x:c r="J1086" s="12"/>
      <x:c r="K1086" s="12"/>
      <x:c r="L1086" s="12"/>
      <x:c r="M1086" s="12"/>
      <x:c r="N1086" s="12"/>
      <x:c r="O1086" s="12"/>
    </x:row>
    <x:row r="1087" ht="24" customHeight="1">
      <x:c r="A1087" s="13" t="str">
        <x:v>I04</x:v>
      </x:c>
      <x:c r="B1087" s="13" t="str">
        <x:v>QUA</x:v>
      </x:c>
      <x:c r="C1087" s="13" t="str">
        <x:v>Y02627</x:v>
      </x:c>
      <x:c r="D1087" s="13" t="n">
        <x:v>225</x:v>
      </x:c>
      <x:c r="E1087" s="30" t="n">
        <x:v>74.2</x:v>
      </x:c>
      <x:c r="F1087" s="13" t="str">
        <x:v>I04 Table_1!P5077/U5077</x:v>
      </x:c>
      <x:c r="G1087" s="13" t="str">
        <x:v>是</x:v>
      </x:c>
      <x:c r="H1087" s="12"/>
      <x:c r="I1087" s="12"/>
      <x:c r="J1087" s="12"/>
      <x:c r="K1087" s="12"/>
      <x:c r="L1087" s="12"/>
      <x:c r="M1087" s="12"/>
      <x:c r="N1087" s="12"/>
      <x:c r="O1087" s="12"/>
    </x:row>
    <x:row r="1088" ht="24" customHeight="1">
      <x:c r="A1088" s="13" t="str">
        <x:v>I04</x:v>
      </x:c>
      <x:c r="B1088" s="13" t="str">
        <x:v>QUA</x:v>
      </x:c>
      <x:c r="C1088" s="13" t="str">
        <x:v>Y02636</x:v>
      </x:c>
      <x:c r="D1088" s="13" t="n">
        <x:v>106</x:v>
      </x:c>
      <x:c r="E1088" s="30" t="n">
        <x:v>69.8</x:v>
      </x:c>
      <x:c r="F1088" s="13" t="str">
        <x:v>I04 Table_1!P5078/U5078</x:v>
      </x:c>
      <x:c r="G1088" s="13" t="str">
        <x:v>是</x:v>
      </x:c>
      <x:c r="H1088" s="12"/>
      <x:c r="I1088" s="12"/>
      <x:c r="J1088" s="12"/>
      <x:c r="K1088" s="12"/>
      <x:c r="L1088" s="12"/>
      <x:c r="M1088" s="12"/>
      <x:c r="N1088" s="12"/>
      <x:c r="O1088" s="12"/>
    </x:row>
    <x:row r="1089" ht="24" customHeight="1">
      <x:c r="A1089" s="13" t="str">
        <x:v>I04</x:v>
      </x:c>
      <x:c r="B1089" s="13" t="str">
        <x:v>QUA</x:v>
      </x:c>
      <x:c r="C1089" s="13" t="str">
        <x:v>Y02653</x:v>
      </x:c>
      <x:c r="D1089" s="13" t="n">
        <x:v>66</x:v>
      </x:c>
      <x:c r="E1089" s="30" t="n">
        <x:v>84.8</x:v>
      </x:c>
      <x:c r="F1089" s="13" t="str">
        <x:v>I04 Table_1!P5079/U5079</x:v>
      </x:c>
      <x:c r="G1089" s="13" t="str">
        <x:v>是</x:v>
      </x:c>
      <x:c r="H1089" s="12"/>
      <x:c r="I1089" s="12"/>
      <x:c r="J1089" s="12"/>
      <x:c r="K1089" s="12"/>
      <x:c r="L1089" s="12"/>
      <x:c r="M1089" s="12"/>
      <x:c r="N1089" s="12"/>
      <x:c r="O1089" s="12"/>
    </x:row>
    <x:row r="1090" ht="24" customHeight="1">
      <x:c r="A1090" s="13" t="str">
        <x:v>I04</x:v>
      </x:c>
      <x:c r="B1090" s="13" t="str">
        <x:v>QUA</x:v>
      </x:c>
      <x:c r="C1090" s="13" t="str">
        <x:v>Y02701</x:v>
      </x:c>
      <x:c r="D1090" s="13" t="n">
        <x:v>141</x:v>
      </x:c>
      <x:c r="E1090" s="30" t="n">
        <x:v>82.3</x:v>
      </x:c>
      <x:c r="F1090" s="13" t="str">
        <x:v>I04 Table_1!P5080/U5080</x:v>
      </x:c>
      <x:c r="G1090" s="13" t="str">
        <x:v>是</x:v>
      </x:c>
      <x:c r="H1090" s="12"/>
      <x:c r="I1090" s="12"/>
      <x:c r="J1090" s="12"/>
      <x:c r="K1090" s="12"/>
      <x:c r="L1090" s="12"/>
      <x:c r="M1090" s="12"/>
      <x:c r="N1090" s="12"/>
      <x:c r="O1090" s="12"/>
    </x:row>
    <x:row r="1091" ht="24" customHeight="1">
      <x:c r="A1091" s="13" t="str">
        <x:v>I04</x:v>
      </x:c>
      <x:c r="B1091" s="13" t="str">
        <x:v>QUA</x:v>
      </x:c>
      <x:c r="C1091" s="13" t="str">
        <x:v>Y02736</x:v>
      </x:c>
      <x:c r="D1091" s="13" t="n">
        <x:v>120</x:v>
      </x:c>
      <x:c r="E1091" s="30" t="n">
        <x:v>73.3</x:v>
      </x:c>
      <x:c r="F1091" s="13" t="str">
        <x:v>I04 Table_1!P5081/U5081</x:v>
      </x:c>
      <x:c r="G1091" s="13" t="str">
        <x:v>是</x:v>
      </x:c>
      <x:c r="H1091" s="12"/>
      <x:c r="I1091" s="12"/>
      <x:c r="J1091" s="12"/>
      <x:c r="K1091" s="12"/>
      <x:c r="L1091" s="12"/>
      <x:c r="M1091" s="12"/>
      <x:c r="N1091" s="12"/>
      <x:c r="O1091" s="12"/>
    </x:row>
    <x:row r="1092" ht="24" customHeight="1">
      <x:c r="A1092" s="13" t="str">
        <x:v>I04</x:v>
      </x:c>
      <x:c r="B1092" s="13" t="str">
        <x:v>QUA</x:v>
      </x:c>
      <x:c r="C1092" s="13" t="str">
        <x:v>Y02757</x:v>
      </x:c>
      <x:c r="D1092" s="13" t="n">
        <x:v>230</x:v>
      </x:c>
      <x:c r="E1092" s="30" t="n">
        <x:v>75.2</x:v>
      </x:c>
      <x:c r="F1092" s="13" t="str">
        <x:v>I04 Table_1!P5082/U5082</x:v>
      </x:c>
      <x:c r="G1092" s="13" t="str">
        <x:v>是</x:v>
      </x:c>
      <x:c r="H1092" s="12"/>
      <x:c r="I1092" s="12"/>
      <x:c r="J1092" s="12"/>
      <x:c r="K1092" s="12"/>
      <x:c r="L1092" s="12"/>
      <x:c r="M1092" s="12"/>
      <x:c r="N1092" s="12"/>
      <x:c r="O1092" s="12"/>
    </x:row>
    <x:row r="1093" ht="24" customHeight="1">
      <x:c r="A1093" s="12"/>
      <x:c r="B1093" s="12"/>
      <x:c r="C1093" s="12"/>
      <x:c r="D1093" s="12"/>
      <x:c r="E1093" s="12"/>
      <x:c r="F1093" s="12"/>
      <x:c r="G1093" s="12"/>
      <x:c r="H1093" s="12"/>
      <x:c r="I1093" s="12"/>
      <x:c r="J1093" s="12"/>
      <x:c r="K1093" s="12"/>
      <x:c r="L1093" s="12"/>
      <x:c r="M1093" s="12"/>
      <x:c r="N1093" s="12"/>
      <x:c r="O1093" s="12"/>
    </x:row>
    <x:row r="1094" ht="24" customHeight="1">
      <x:c r="A1094" s="12"/>
      <x:c r="B1094" s="12"/>
      <x:c r="C1094" s="12"/>
      <x:c r="D1094" s="12"/>
      <x:c r="E1094" s="12"/>
      <x:c r="F1094" s="12"/>
      <x:c r="G1094" s="12"/>
      <x:c r="H1094" s="12"/>
      <x:c r="I1094" s="12"/>
      <x:c r="J1094" s="12"/>
      <x:c r="K1094" s="12"/>
      <x:c r="L1094" s="12"/>
      <x:c r="M1094" s="12"/>
      <x:c r="N1094" s="12"/>
      <x:c r="O1094" s="12"/>
    </x:row>
    <x:row r="1095" ht="24" customHeight="1">
      <x:c r="A1095" s="12" t="str">
        <x:v>未纳入可比集合的记录</x:v>
      </x:c>
      <x:c r="B1095" s="12"/>
      <x:c r="C1095" s="12"/>
      <x:c r="D1095" s="12"/>
      <x:c r="E1095" s="12"/>
      <x:c r="F1095" s="12"/>
      <x:c r="G1095" s="12"/>
      <x:c r="H1095" s="12"/>
      <x:c r="I1095" s="12"/>
      <x:c r="J1095" s="12"/>
      <x:c r="K1095" s="12"/>
      <x:c r="L1095" s="12"/>
      <x:c r="M1095" s="12"/>
      <x:c r="N1095" s="12"/>
      <x:c r="O1095" s="12"/>
    </x:row>
    <x:row r="1096" ht="24" customHeight="1">
      <x:c r="A1096" s="16" t="str">
        <x:v>来源</x:v>
      </x:c>
      <x:c r="B1096" s="16" t="str">
        <x:v>当期ICB</x:v>
      </x:c>
      <x:c r="C1096" s="16" t="str">
        <x:v>GP编码</x:v>
      </x:c>
      <x:c r="D1096" s="16" t="str">
        <x:v>原5y分母</x:v>
      </x:c>
      <x:c r="E1096" s="16" t="str">
        <x:v>原显示MMR2（%）</x:v>
      </x:c>
      <x:c r="F1096" s="16" t="str">
        <x:v>排除条件</x:v>
      </x:c>
      <x:c r="G1096" s="16" t="str">
        <x:v>另一年原归属及定位</x:v>
      </x:c>
      <x:c r="H1096" s="16" t="str">
        <x:v>本年原定位</x:v>
      </x:c>
      <x:c r="I1096" s="16"/>
      <x:c r="J1096" s="16"/>
      <x:c r="K1096" s="16"/>
      <x:c r="L1096" s="16"/>
      <x:c r="M1096" s="16"/>
      <x:c r="N1096" s="16"/>
      <x:c r="O1096" s="16"/>
    </x:row>
    <x:row r="1097" ht="39" customHeight="1">
      <x:c r="A1097" s="13" t="str">
        <x:v>I03</x:v>
      </x:c>
      <x:c r="B1097" s="13" t="str">
        <x:v>QHL</x:v>
      </x:c>
      <x:c r="C1097" s="13" t="str">
        <x:v>M85008</x:v>
      </x:c>
      <x:c r="D1097" s="13" t="n">
        <x:v>18</x:v>
      </x:c>
      <x:c r="E1097" s="30" t="n">
        <x:v>72.2</x:v>
      </x:c>
      <x:c r="F1097" s="13" t="str">
        <x:v>另一年度文件无该码</x:v>
      </x:c>
      <x:c r="G1097" s="13" t="str">
        <x:v>另一文件无该编码；不推断关闭或迁移</x:v>
      </x:c>
      <x:c r="H1097" s="13" t="str">
        <x:v>I03 GP_Code!D2600/P2600/U2600</x:v>
      </x:c>
      <x:c r="I1097" s="12"/>
      <x:c r="J1097" s="12"/>
      <x:c r="K1097" s="12"/>
      <x:c r="L1097" s="12"/>
      <x:c r="M1097" s="12"/>
      <x:c r="N1097" s="12"/>
      <x:c r="O1097" s="12"/>
    </x:row>
    <x:row r="1098" ht="39" customHeight="1">
      <x:c r="A1098" s="13" t="str">
        <x:v>I03</x:v>
      </x:c>
      <x:c r="B1098" s="13" t="str">
        <x:v>QHL</x:v>
      </x:c>
      <x:c r="C1098" s="13" t="str">
        <x:v>M85671</x:v>
      </x:c>
      <x:c r="D1098" s="13" t="n">
        <x:v>24</x:v>
      </x:c>
      <x:c r="E1098" s="30" t="n">
        <x:v>83.3</x:v>
      </x:c>
      <x:c r="F1098" s="13" t="str">
        <x:v>另一年度文件无该码</x:v>
      </x:c>
      <x:c r="G1098" s="13" t="str">
        <x:v>另一文件无该编码；不推断关闭或迁移</x:v>
      </x:c>
      <x:c r="H1098" s="13" t="str">
        <x:v>I03 GP_Code!D2690/P2690/U2690</x:v>
      </x:c>
      <x:c r="I1098" s="12"/>
      <x:c r="J1098" s="12"/>
      <x:c r="K1098" s="12"/>
      <x:c r="L1098" s="12"/>
      <x:c r="M1098" s="12"/>
      <x:c r="N1098" s="12"/>
      <x:c r="O1098" s="12"/>
    </x:row>
    <x:row r="1099" ht="39" customHeight="1">
      <x:c r="A1099" s="13" t="str">
        <x:v>I03</x:v>
      </x:c>
      <x:c r="B1099" s="13" t="str">
        <x:v>QHL</x:v>
      </x:c>
      <x:c r="C1099" s="13" t="str">
        <x:v>M85782</x:v>
      </x:c>
      <x:c r="D1099" s="13" t="n">
        <x:v>9</x:v>
      </x:c>
      <x:c r="E1099" s="30" t="n">
        <x:v>88.9</x:v>
      </x:c>
      <x:c r="F1099" s="13" t="str">
        <x:v>另一年度文件无该码</x:v>
      </x:c>
      <x:c r="G1099" s="13" t="str">
        <x:v>另一文件无该编码；不推断关闭或迁移</x:v>
      </x:c>
      <x:c r="H1099" s="13" t="str">
        <x:v>I03 GP_Code!D2719/P2719/U2719</x:v>
      </x:c>
      <x:c r="I1099" s="12"/>
      <x:c r="J1099" s="12"/>
      <x:c r="K1099" s="12"/>
      <x:c r="L1099" s="12"/>
      <x:c r="M1099" s="12"/>
      <x:c r="N1099" s="12"/>
      <x:c r="O1099" s="12"/>
    </x:row>
    <x:row r="1100" ht="39" customHeight="1">
      <x:c r="A1100" s="13" t="str">
        <x:v>I03</x:v>
      </x:c>
      <x:c r="B1100" s="13" t="str">
        <x:v>QHL</x:v>
      </x:c>
      <x:c r="C1100" s="13" t="str">
        <x:v>V81999</x:v>
      </x:c>
      <x:c r="D1100" s="13" t="n">
        <x:v>905</x:v>
      </x:c>
      <x:c r="E1100" s="30" t="n">
        <x:v>9.4</x:v>
      </x:c>
      <x:c r="F1100" s="13" t="str">
        <x:v>未知或非真实诊所代码</x:v>
      </x:c>
      <x:c r="G1100" s="13" t="str">
        <x:v>另一文件无该编码；不推断关闭或迁移</x:v>
      </x:c>
      <x:c r="H1100" s="13" t="str">
        <x:v>I03 GP_Code!D2746/P2746/U2746</x:v>
      </x:c>
      <x:c r="I1100" s="12"/>
      <x:c r="J1100" s="12"/>
      <x:c r="K1100" s="12"/>
      <x:c r="L1100" s="12"/>
      <x:c r="M1100" s="12"/>
      <x:c r="N1100" s="12"/>
      <x:c r="O1100" s="12"/>
    </x:row>
    <x:row r="1101" ht="24" customHeight="1">
      <x:c r="A1101" s="13" t="str">
        <x:v>I04</x:v>
      </x:c>
      <x:c r="B1101" s="13" t="str">
        <x:v>QHL</x:v>
      </x:c>
      <x:c r="C1101" s="13" t="str">
        <x:v>M85002</x:v>
      </x:c>
      <x:c r="D1101" s="13" t="n">
        <x:v>145</x:v>
      </x:c>
      <x:c r="E1101" s="30" t="n">
        <x:v>71.7</x:v>
      </x:c>
      <x:c r="F1101" s="13" t="str">
        <x:v>同码不同ICB</x:v>
      </x:c>
      <x:c r="G1101" s="13" t="str">
        <x:v>I03 QUA 原行5517</x:v>
      </x:c>
      <x:c r="H1101" s="13" t="str">
        <x:v>I04 Table_1!D700/P700/U700</x:v>
      </x:c>
      <x:c r="I1101" s="12"/>
      <x:c r="J1101" s="12"/>
      <x:c r="K1101" s="12"/>
      <x:c r="L1101" s="12"/>
      <x:c r="M1101" s="12"/>
      <x:c r="N1101" s="12"/>
      <x:c r="O1101" s="12"/>
    </x:row>
    <x:row r="1102" ht="24" customHeight="1">
      <x:c r="A1102" s="13" t="str">
        <x:v>I04</x:v>
      </x:c>
      <x:c r="B1102" s="13" t="str">
        <x:v>QHL</x:v>
      </x:c>
      <x:c r="C1102" s="13" t="str">
        <x:v>M85009</x:v>
      </x:c>
      <x:c r="D1102" s="13" t="n">
        <x:v>86</x:v>
      </x:c>
      <x:c r="E1102" s="30" t="n">
        <x:v>81.4</x:v>
      </x:c>
      <x:c r="F1102" s="13" t="str">
        <x:v>同码不同ICB</x:v>
      </x:c>
      <x:c r="G1102" s="13" t="str">
        <x:v>I03 QUA 原行5518</x:v>
      </x:c>
      <x:c r="H1102" s="13" t="str">
        <x:v>I04 Table_1!D704/P704/U704</x:v>
      </x:c>
      <x:c r="I1102" s="12"/>
      <x:c r="J1102" s="12"/>
      <x:c r="K1102" s="12"/>
      <x:c r="L1102" s="12"/>
      <x:c r="M1102" s="12"/>
      <x:c r="N1102" s="12"/>
      <x:c r="O1102" s="12"/>
    </x:row>
    <x:row r="1103" ht="24" customHeight="1">
      <x:c r="A1103" s="13" t="str">
        <x:v>I04</x:v>
      </x:c>
      <x:c r="B1103" s="13" t="str">
        <x:v>QHL</x:v>
      </x:c>
      <x:c r="C1103" s="13" t="str">
        <x:v>M85019</x:v>
      </x:c>
      <x:c r="D1103" s="13" t="n">
        <x:v>237</x:v>
      </x:c>
      <x:c r="E1103" s="30" t="n">
        <x:v>79.3</x:v>
      </x:c>
      <x:c r="F1103" s="13" t="str">
        <x:v>同码不同ICB</x:v>
      </x:c>
      <x:c r="G1103" s="13" t="str">
        <x:v>I03 QUA 原行5519</x:v>
      </x:c>
      <x:c r="H1103" s="13" t="str">
        <x:v>I04 Table_1!D710/P710/U710</x:v>
      </x:c>
      <x:c r="I1103" s="12"/>
      <x:c r="J1103" s="12"/>
      <x:c r="K1103" s="12"/>
      <x:c r="L1103" s="12"/>
      <x:c r="M1103" s="12"/>
      <x:c r="N1103" s="12"/>
      <x:c r="O1103" s="12"/>
    </x:row>
    <x:row r="1104" ht="24" customHeight="1">
      <x:c r="A1104" s="13" t="str">
        <x:v>I04</x:v>
      </x:c>
      <x:c r="B1104" s="13" t="str">
        <x:v>QHL</x:v>
      </x:c>
      <x:c r="C1104" s="13" t="str">
        <x:v>M85020</x:v>
      </x:c>
      <x:c r="D1104" s="13" t="n">
        <x:v>291</x:v>
      </x:c>
      <x:c r="E1104" s="30" t="n">
        <x:v>63.9</x:v>
      </x:c>
      <x:c r="F1104" s="13" t="str">
        <x:v>同码不同ICB</x:v>
      </x:c>
      <x:c r="G1104" s="13" t="str">
        <x:v>I03 QUA 原行5520</x:v>
      </x:c>
      <x:c r="H1104" s="13" t="str">
        <x:v>I04 Table_1!D711/P711/U711</x:v>
      </x:c>
      <x:c r="I1104" s="12"/>
      <x:c r="J1104" s="12"/>
      <x:c r="K1104" s="12"/>
      <x:c r="L1104" s="12"/>
      <x:c r="M1104" s="12"/>
      <x:c r="N1104" s="12"/>
      <x:c r="O1104" s="12"/>
    </x:row>
    <x:row r="1105" ht="24" customHeight="1">
      <x:c r="A1105" s="13" t="str">
        <x:v>I04</x:v>
      </x:c>
      <x:c r="B1105" s="13" t="str">
        <x:v>QHL</x:v>
      </x:c>
      <x:c r="C1105" s="13" t="str">
        <x:v>M85069</x:v>
      </x:c>
      <x:c r="D1105" s="13" t="n">
        <x:v>177</x:v>
      </x:c>
      <x:c r="E1105" s="30" t="n">
        <x:v>79.1</x:v>
      </x:c>
      <x:c r="F1105" s="13" t="str">
        <x:v>同码不同ICB</x:v>
      </x:c>
      <x:c r="G1105" s="13" t="str">
        <x:v>I03 QUA 原行5521</x:v>
      </x:c>
      <x:c r="H1105" s="13" t="str">
        <x:v>I04 Table_1!D743/P743/U743</x:v>
      </x:c>
      <x:c r="I1105" s="12"/>
      <x:c r="J1105" s="12"/>
      <x:c r="K1105" s="12"/>
      <x:c r="L1105" s="12"/>
      <x:c r="M1105" s="12"/>
      <x:c r="N1105" s="12"/>
      <x:c r="O1105" s="12"/>
    </x:row>
    <x:row r="1106" ht="24" customHeight="1">
      <x:c r="A1106" s="13" t="str">
        <x:v>I04</x:v>
      </x:c>
      <x:c r="B1106" s="13" t="str">
        <x:v>QHL</x:v>
      </x:c>
      <x:c r="C1106" s="13" t="str">
        <x:v>M85082</x:v>
      </x:c>
      <x:c r="D1106" s="13" t="n">
        <x:v>58</x:v>
      </x:c>
      <x:c r="E1106" s="30" t="n">
        <x:v>87.9</x:v>
      </x:c>
      <x:c r="F1106" s="13" t="str">
        <x:v>同码不同ICB</x:v>
      </x:c>
      <x:c r="G1106" s="13" t="str">
        <x:v>I03 QUA 原行5522</x:v>
      </x:c>
      <x:c r="H1106" s="13" t="str">
        <x:v>I04 Table_1!D752/P752/U752</x:v>
      </x:c>
      <x:c r="I1106" s="12"/>
      <x:c r="J1106" s="12"/>
      <x:c r="K1106" s="12"/>
      <x:c r="L1106" s="12"/>
      <x:c r="M1106" s="12"/>
      <x:c r="N1106" s="12"/>
      <x:c r="O1106" s="12"/>
    </x:row>
    <x:row r="1107" ht="24" customHeight="1">
      <x:c r="A1107" s="13" t="str">
        <x:v>I04</x:v>
      </x:c>
      <x:c r="B1107" s="13" t="str">
        <x:v>QHL</x:v>
      </x:c>
      <x:c r="C1107" s="13" t="str">
        <x:v>M85098</x:v>
      </x:c>
      <x:c r="D1107" s="13" t="n">
        <x:v>54</x:v>
      </x:c>
      <x:c r="E1107" s="30" t="n">
        <x:v>88.9</x:v>
      </x:c>
      <x:c r="F1107" s="13" t="str">
        <x:v>同码不同ICB</x:v>
      </x:c>
      <x:c r="G1107" s="13" t="str">
        <x:v>I03 QUA 原行5523</x:v>
      </x:c>
      <x:c r="H1107" s="13" t="str">
        <x:v>I04 Table_1!D759/P759/U759</x:v>
      </x:c>
      <x:c r="I1107" s="12"/>
      <x:c r="J1107" s="12"/>
      <x:c r="K1107" s="12"/>
      <x:c r="L1107" s="12"/>
      <x:c r="M1107" s="12"/>
      <x:c r="N1107" s="12"/>
      <x:c r="O1107" s="12"/>
    </x:row>
    <x:row r="1108" ht="24" customHeight="1">
      <x:c r="A1108" s="13" t="str">
        <x:v>I04</x:v>
      </x:c>
      <x:c r="B1108" s="13" t="str">
        <x:v>QHL</x:v>
      </x:c>
      <x:c r="C1108" s="13" t="str">
        <x:v>M85145</x:v>
      </x:c>
      <x:c r="D1108" s="13" t="n">
        <x:v>105</x:v>
      </x:c>
      <x:c r="E1108" s="30" t="n">
        <x:v>79</x:v>
      </x:c>
      <x:c r="F1108" s="13" t="str">
        <x:v>同码不同ICB</x:v>
      </x:c>
      <x:c r="G1108" s="13" t="str">
        <x:v>I03 QUA 原行5524</x:v>
      </x:c>
      <x:c r="H1108" s="13" t="str">
        <x:v>I04 Table_1!D778/P778/U778</x:v>
      </x:c>
      <x:c r="I1108" s="12"/>
      <x:c r="J1108" s="12"/>
      <x:c r="K1108" s="12"/>
      <x:c r="L1108" s="12"/>
      <x:c r="M1108" s="12"/>
      <x:c r="N1108" s="12"/>
      <x:c r="O1108" s="12"/>
    </x:row>
    <x:row r="1109" ht="24" customHeight="1">
      <x:c r="A1109" s="13" t="str">
        <x:v>I04</x:v>
      </x:c>
      <x:c r="B1109" s="13" t="str">
        <x:v>QHL</x:v>
      </x:c>
      <x:c r="C1109" s="13" t="str">
        <x:v>M85176</x:v>
      </x:c>
      <x:c r="D1109" s="13" t="n">
        <x:v>71</x:v>
      </x:c>
      <x:c r="E1109" s="30" t="n">
        <x:v>80.3</x:v>
      </x:c>
      <x:c r="F1109" s="13" t="str">
        <x:v>同码不同ICB</x:v>
      </x:c>
      <x:c r="G1109" s="13" t="str">
        <x:v>I03 QUA 原行5525</x:v>
      </x:c>
      <x:c r="H1109" s="13" t="str">
        <x:v>I04 Table_1!D793/P793/U793</x:v>
      </x:c>
      <x:c r="I1109" s="12"/>
      <x:c r="J1109" s="12"/>
      <x:c r="K1109" s="12"/>
      <x:c r="L1109" s="12"/>
      <x:c r="M1109" s="12"/>
      <x:c r="N1109" s="12"/>
      <x:c r="O1109" s="12"/>
    </x:row>
    <x:row r="1110" ht="24" customHeight="1">
      <x:c r="A1110" s="13" t="str">
        <x:v>I04</x:v>
      </x:c>
      <x:c r="B1110" s="13" t="str">
        <x:v>QHL</x:v>
      </x:c>
      <x:c r="C1110" s="13" t="str">
        <x:v>M85178</x:v>
      </x:c>
      <x:c r="D1110" s="13" t="n">
        <x:v>128</x:v>
      </x:c>
      <x:c r="E1110" s="30" t="n">
        <x:v>69.5</x:v>
      </x:c>
      <x:c r="F1110" s="13" t="str">
        <x:v>同码不同ICB</x:v>
      </x:c>
      <x:c r="G1110" s="13" t="str">
        <x:v>I03 QUA 原行5526</x:v>
      </x:c>
      <x:c r="H1110" s="13" t="str">
        <x:v>I04 Table_1!D795/P795/U795</x:v>
      </x:c>
      <x:c r="I1110" s="12"/>
      <x:c r="J1110" s="12"/>
      <x:c r="K1110" s="12"/>
      <x:c r="L1110" s="12"/>
      <x:c r="M1110" s="12"/>
      <x:c r="N1110" s="12"/>
      <x:c r="O1110" s="12"/>
    </x:row>
    <x:row r="1111" ht="24" customHeight="1">
      <x:c r="A1111" s="13" t="str">
        <x:v>I04</x:v>
      </x:c>
      <x:c r="B1111" s="13" t="str">
        <x:v>QHL</x:v>
      </x:c>
      <x:c r="C1111" s="13" t="str">
        <x:v>M85634</x:v>
      </x:c>
      <x:c r="D1111" s="13" t="n">
        <x:v>126</x:v>
      </x:c>
      <x:c r="E1111" s="30" t="n">
        <x:v>81.7</x:v>
      </x:c>
      <x:c r="F1111" s="13" t="str">
        <x:v>同码不同ICB</x:v>
      </x:c>
      <x:c r="G1111" s="13" t="str">
        <x:v>I03 QUA 原行5527</x:v>
      </x:c>
      <x:c r="H1111" s="13" t="str">
        <x:v>I04 Table_1!D799/P799/U799</x:v>
      </x:c>
      <x:c r="I1111" s="12"/>
      <x:c r="J1111" s="12"/>
      <x:c r="K1111" s="12"/>
      <x:c r="L1111" s="12"/>
      <x:c r="M1111" s="12"/>
      <x:c r="N1111" s="12"/>
      <x:c r="O1111" s="12"/>
    </x:row>
    <x:row r="1112" ht="24" customHeight="1">
      <x:c r="A1112" s="13" t="str">
        <x:v>I04</x:v>
      </x:c>
      <x:c r="B1112" s="13" t="str">
        <x:v>QHL</x:v>
      </x:c>
      <x:c r="C1112" s="13" t="str">
        <x:v>M85676</x:v>
      </x:c>
      <x:c r="D1112" s="13" t="n">
        <x:v>92</x:v>
      </x:c>
      <x:c r="E1112" s="30" t="n">
        <x:v>72.8</x:v>
      </x:c>
      <x:c r="F1112" s="13" t="str">
        <x:v>同码不同ICB</x:v>
      </x:c>
      <x:c r="G1112" s="13" t="str">
        <x:v>I03 QUA 原行5528</x:v>
      </x:c>
      <x:c r="H1112" s="13" t="str">
        <x:v>I04 Table_1!D803/P803/U803</x:v>
      </x:c>
      <x:c r="I1112" s="12"/>
      <x:c r="J1112" s="12"/>
      <x:c r="K1112" s="12"/>
      <x:c r="L1112" s="12"/>
      <x:c r="M1112" s="12"/>
      <x:c r="N1112" s="12"/>
      <x:c r="O1112" s="12"/>
    </x:row>
    <x:row r="1113" ht="24" customHeight="1">
      <x:c r="A1113" s="13" t="str">
        <x:v>I04</x:v>
      </x:c>
      <x:c r="B1113" s="13" t="str">
        <x:v>QHL</x:v>
      </x:c>
      <x:c r="C1113" s="13" t="str">
        <x:v>M85684</x:v>
      </x:c>
      <x:c r="D1113" s="13" t="n">
        <x:v>42</x:v>
      </x:c>
      <x:c r="E1113" s="30" t="n">
        <x:v>83.3</x:v>
      </x:c>
      <x:c r="F1113" s="13" t="str">
        <x:v>同码不同ICB</x:v>
      </x:c>
      <x:c r="G1113" s="13" t="str">
        <x:v>I03 QUA 原行5529</x:v>
      </x:c>
      <x:c r="H1113" s="13" t="str">
        <x:v>I04 Table_1!D806/P806/U806</x:v>
      </x:c>
      <x:c r="I1113" s="12"/>
      <x:c r="J1113" s="12"/>
      <x:c r="K1113" s="12"/>
      <x:c r="L1113" s="12"/>
      <x:c r="M1113" s="12"/>
      <x:c r="N1113" s="12"/>
      <x:c r="O1113" s="12"/>
    </x:row>
    <x:row r="1114" ht="24" customHeight="1">
      <x:c r="A1114" s="13" t="str">
        <x:v>I04</x:v>
      </x:c>
      <x:c r="B1114" s="13" t="str">
        <x:v>QHL</x:v>
      </x:c>
      <x:c r="C1114" s="13" t="str">
        <x:v>M85697</x:v>
      </x:c>
      <x:c r="D1114" s="13" t="n">
        <x:v>55</x:v>
      </x:c>
      <x:c r="E1114" s="30" t="n">
        <x:v>76.4</x:v>
      </x:c>
      <x:c r="F1114" s="13" t="str">
        <x:v>同码不同ICB</x:v>
      </x:c>
      <x:c r="G1114" s="13" t="str">
        <x:v>I03 QUA 原行5530</x:v>
      </x:c>
      <x:c r="H1114" s="13" t="str">
        <x:v>I04 Table_1!D810/P810/U810</x:v>
      </x:c>
      <x:c r="I1114" s="12"/>
      <x:c r="J1114" s="12"/>
      <x:c r="K1114" s="12"/>
      <x:c r="L1114" s="12"/>
      <x:c r="M1114" s="12"/>
      <x:c r="N1114" s="12"/>
      <x:c r="O1114" s="12"/>
    </x:row>
    <x:row r="1115" ht="24" customHeight="1">
      <x:c r="A1115" s="13" t="str">
        <x:v>I04</x:v>
      </x:c>
      <x:c r="B1115" s="13" t="str">
        <x:v>QHL</x:v>
      </x:c>
      <x:c r="C1115" s="13" t="str">
        <x:v>M85715</x:v>
      </x:c>
      <x:c r="D1115" s="13" t="n">
        <x:v>158</x:v>
      </x:c>
      <x:c r="E1115" s="30" t="n">
        <x:v>74.7</x:v>
      </x:c>
      <x:c r="F1115" s="13" t="str">
        <x:v>同码不同ICB</x:v>
      </x:c>
      <x:c r="G1115" s="13" t="str">
        <x:v>I03 QUA 原行5531</x:v>
      </x:c>
      <x:c r="H1115" s="13" t="str">
        <x:v>I04 Table_1!D816/P816/U816</x:v>
      </x:c>
      <x:c r="I1115" s="12"/>
      <x:c r="J1115" s="12"/>
      <x:c r="K1115" s="12"/>
      <x:c r="L1115" s="12"/>
      <x:c r="M1115" s="12"/>
      <x:c r="N1115" s="12"/>
      <x:c r="O1115" s="12"/>
    </x:row>
    <x:row r="1116" ht="24" customHeight="1">
      <x:c r="A1116" s="13" t="str">
        <x:v>I04</x:v>
      </x:c>
      <x:c r="B1116" s="13" t="str">
        <x:v>QHL</x:v>
      </x:c>
      <x:c r="C1116" s="13" t="str">
        <x:v>M85721</x:v>
      </x:c>
      <x:c r="D1116" s="13" t="n">
        <x:v>88</x:v>
      </x:c>
      <x:c r="E1116" s="30" t="n">
        <x:v>79.5</x:v>
      </x:c>
      <x:c r="F1116" s="13" t="str">
        <x:v>同码不同ICB</x:v>
      </x:c>
      <x:c r="G1116" s="13" t="str">
        <x:v>I03 QUA 原行5532</x:v>
      </x:c>
      <x:c r="H1116" s="13" t="str">
        <x:v>I04 Table_1!D819/P819/U819</x:v>
      </x:c>
      <x:c r="I1116" s="12"/>
      <x:c r="J1116" s="12"/>
      <x:c r="K1116" s="12"/>
      <x:c r="L1116" s="12"/>
      <x:c r="M1116" s="12"/>
      <x:c r="N1116" s="12"/>
      <x:c r="O1116" s="12"/>
    </x:row>
    <x:row r="1117" ht="24" customHeight="1">
      <x:c r="A1117" s="13" t="str">
        <x:v>I04</x:v>
      </x:c>
      <x:c r="B1117" s="13" t="str">
        <x:v>QHL</x:v>
      </x:c>
      <x:c r="C1117" s="13" t="str">
        <x:v>M85757</x:v>
      </x:c>
      <x:c r="D1117" s="13" t="n">
        <x:v>62</x:v>
      </x:c>
      <x:c r="E1117" s="30" t="n">
        <x:v>72.6</x:v>
      </x:c>
      <x:c r="F1117" s="13" t="str">
        <x:v>同码不同ICB</x:v>
      </x:c>
      <x:c r="G1117" s="13" t="str">
        <x:v>I03 QUA 原行5533</x:v>
      </x:c>
      <x:c r="H1117" s="13" t="str">
        <x:v>I04 Table_1!D830/P830/U830</x:v>
      </x:c>
      <x:c r="I1117" s="12"/>
      <x:c r="J1117" s="12"/>
      <x:c r="K1117" s="12"/>
      <x:c r="L1117" s="12"/>
      <x:c r="M1117" s="12"/>
      <x:c r="N1117" s="12"/>
      <x:c r="O1117" s="12"/>
    </x:row>
    <x:row r="1118" ht="24" customHeight="1">
      <x:c r="A1118" s="13" t="str">
        <x:v>I04</x:v>
      </x:c>
      <x:c r="B1118" s="13" t="str">
        <x:v>QHL</x:v>
      </x:c>
      <x:c r="C1118" s="13" t="str">
        <x:v>M85778</x:v>
      </x:c>
      <x:c r="D1118" s="13" t="n">
        <x:v>64</x:v>
      </x:c>
      <x:c r="E1118" s="30" t="n">
        <x:v>67.2</x:v>
      </x:c>
      <x:c r="F1118" s="13" t="str">
        <x:v>同码不同ICB</x:v>
      </x:c>
      <x:c r="G1118" s="13" t="str">
        <x:v>I03 QUA 原行5534</x:v>
      </x:c>
      <x:c r="H1118" s="13" t="str">
        <x:v>I04 Table_1!D835/P835/U835</x:v>
      </x:c>
      <x:c r="I1118" s="12"/>
      <x:c r="J1118" s="12"/>
      <x:c r="K1118" s="12"/>
      <x:c r="L1118" s="12"/>
      <x:c r="M1118" s="12"/>
      <x:c r="N1118" s="12"/>
      <x:c r="O1118" s="12"/>
    </x:row>
    <x:row r="1119" ht="24" customHeight="1">
      <x:c r="A1119" s="13" t="str">
        <x:v>I04</x:v>
      </x:c>
      <x:c r="B1119" s="13" t="str">
        <x:v>QHL</x:v>
      </x:c>
      <x:c r="C1119" s="13" t="str">
        <x:v>M85797</x:v>
      </x:c>
      <x:c r="D1119" s="13" t="n">
        <x:v>105</x:v>
      </x:c>
      <x:c r="E1119" s="30" t="n">
        <x:v>52.4</x:v>
      </x:c>
      <x:c r="F1119" s="13" t="str">
        <x:v>同码不同ICB</x:v>
      </x:c>
      <x:c r="G1119" s="13" t="str">
        <x:v>I03 QUA 原行5535</x:v>
      </x:c>
      <x:c r="H1119" s="13" t="str">
        <x:v>I04 Table_1!D841/P841/U841</x:v>
      </x:c>
      <x:c r="I1119" s="12"/>
      <x:c r="J1119" s="12"/>
      <x:c r="K1119" s="12"/>
      <x:c r="L1119" s="12"/>
      <x:c r="M1119" s="12"/>
      <x:c r="N1119" s="12"/>
      <x:c r="O1119" s="12"/>
    </x:row>
    <x:row r="1120" ht="39" customHeight="1">
      <x:c r="A1120" s="13" t="str">
        <x:v>I04</x:v>
      </x:c>
      <x:c r="B1120" s="13" t="str">
        <x:v>QHL</x:v>
      </x:c>
      <x:c r="C1120" s="13" t="str">
        <x:v>V81999</x:v>
      </x:c>
      <x:c r="D1120" s="13" t="n">
        <x:v>897</x:v>
      </x:c>
      <x:c r="E1120" s="30" t="n">
        <x:v>13.9</x:v>
      </x:c>
      <x:c r="F1120" s="13" t="str">
        <x:v>未知或非真实诊所代码</x:v>
      </x:c>
      <x:c r="G1120" s="13" t="str">
        <x:v>另一文件无该编码；不推断关闭或迁移</x:v>
      </x:c>
      <x:c r="H1120" s="13" t="str">
        <x:v>I04 Table_1!D865/P865/U865</x:v>
      </x:c>
      <x:c r="I1120" s="12"/>
      <x:c r="J1120" s="12"/>
      <x:c r="K1120" s="12"/>
      <x:c r="L1120" s="12"/>
      <x:c r="M1120" s="12"/>
      <x:c r="N1120" s="12"/>
      <x:c r="O1120" s="12"/>
    </x:row>
    <x:row r="1121" ht="24" customHeight="1">
      <x:c r="A1121" s="13" t="str">
        <x:v>I04</x:v>
      </x:c>
      <x:c r="B1121" s="13" t="str">
        <x:v>QHL</x:v>
      </x:c>
      <x:c r="C1121" s="13" t="str">
        <x:v>Y00412</x:v>
      </x:c>
      <x:c r="D1121" s="13" t="n">
        <x:v>68</x:v>
      </x:c>
      <x:c r="E1121" s="30" t="n">
        <x:v>77.9</x:v>
      </x:c>
      <x:c r="F1121" s="13" t="str">
        <x:v>同码不同ICB</x:v>
      </x:c>
      <x:c r="G1121" s="13" t="str">
        <x:v>I03 QUA 原行5708</x:v>
      </x:c>
      <x:c r="H1121" s="13" t="str">
        <x:v>I04 Table_1!D867/P867/U867</x:v>
      </x:c>
      <x:c r="I1121" s="12"/>
      <x:c r="J1121" s="12"/>
      <x:c r="K1121" s="12"/>
      <x:c r="L1121" s="12"/>
      <x:c r="M1121" s="12"/>
      <x:c r="N1121" s="12"/>
      <x:c r="O1121" s="12"/>
    </x:row>
    <x:row r="1122" ht="24" customHeight="1">
      <x:c r="A1122" s="13" t="str">
        <x:v>I04</x:v>
      </x:c>
      <x:c r="B1122" s="13" t="str">
        <x:v>QHL</x:v>
      </x:c>
      <x:c r="C1122" s="13" t="str">
        <x:v>Y00471</x:v>
      </x:c>
      <x:c r="D1122" s="13" t="n">
        <x:v>81</x:v>
      </x:c>
      <x:c r="E1122" s="30" t="n">
        <x:v>70.4</x:v>
      </x:c>
      <x:c r="F1122" s="13" t="str">
        <x:v>同码不同ICB</x:v>
      </x:c>
      <x:c r="G1122" s="13" t="str">
        <x:v>I03 QUA 原行5709</x:v>
      </x:c>
      <x:c r="H1122" s="13" t="str">
        <x:v>I04 Table_1!D868/P868/U868</x:v>
      </x:c>
      <x:c r="I1122" s="12"/>
      <x:c r="J1122" s="12"/>
      <x:c r="K1122" s="12"/>
      <x:c r="L1122" s="12"/>
      <x:c r="M1122" s="12"/>
      <x:c r="N1122" s="12"/>
      <x:c r="O1122" s="12"/>
    </x:row>
    <x:row r="1123" ht="24" customHeight="1">
      <x:c r="A1123" s="13" t="str">
        <x:v>I04</x:v>
      </x:c>
      <x:c r="B1123" s="13" t="str">
        <x:v>QHL</x:v>
      </x:c>
      <x:c r="C1123" s="13" t="str">
        <x:v>Y00492</x:v>
      </x:c>
      <x:c r="D1123" s="13" t="n">
        <x:v>149</x:v>
      </x:c>
      <x:c r="E1123" s="30" t="n">
        <x:v>69.8</x:v>
      </x:c>
      <x:c r="F1123" s="13" t="str">
        <x:v>同码不同ICB</x:v>
      </x:c>
      <x:c r="G1123" s="13" t="str">
        <x:v>I03 QUA 原行5710</x:v>
      </x:c>
      <x:c r="H1123" s="13" t="str">
        <x:v>I04 Table_1!D869/P869/U869</x:v>
      </x:c>
      <x:c r="I1123" s="12"/>
      <x:c r="J1123" s="12"/>
      <x:c r="K1123" s="12"/>
      <x:c r="L1123" s="12"/>
      <x:c r="M1123" s="12"/>
      <x:c r="N1123" s="12"/>
      <x:c r="O1123" s="12"/>
    </x:row>
    <x:row r="1124" ht="24" customHeight="1">
      <x:c r="A1124" s="13" t="str">
        <x:v>I04</x:v>
      </x:c>
      <x:c r="B1124" s="13" t="str">
        <x:v>QHL</x:v>
      </x:c>
      <x:c r="C1124" s="13" t="str">
        <x:v>Y06378</x:v>
      </x:c>
      <x:c r="D1124" s="13" t="n">
        <x:v>131</x:v>
      </x:c>
      <x:c r="E1124" s="30" t="n">
        <x:v>59.5</x:v>
      </x:c>
      <x:c r="F1124" s="13" t="str">
        <x:v>同码不同ICB</x:v>
      </x:c>
      <x:c r="G1124" s="13" t="str">
        <x:v>I03 QUA 原行5720</x:v>
      </x:c>
      <x:c r="H1124" s="13" t="str">
        <x:v>I04 Table_1!D877/P877/U877</x:v>
      </x:c>
      <x:c r="I1124" s="12"/>
      <x:c r="J1124" s="12"/>
      <x:c r="K1124" s="12"/>
      <x:c r="L1124" s="12"/>
      <x:c r="M1124" s="12"/>
      <x:c r="N1124" s="12"/>
      <x:c r="O1124" s="12"/>
    </x:row>
    <x:row r="1125" ht="24" customHeight="1">
      <x:c r="A1125" s="13" t="str">
        <x:v>I03</x:v>
      </x:c>
      <x:c r="B1125" s="13" t="str">
        <x:v>QUA</x:v>
      </x:c>
      <x:c r="C1125" s="13" t="str">
        <x:v>M85002</x:v>
      </x:c>
      <x:c r="D1125" s="13" t="n">
        <x:v>204</x:v>
      </x:c>
      <x:c r="E1125" s="30" t="n">
        <x:v>77.5</x:v>
      </x:c>
      <x:c r="F1125" s="13" t="str">
        <x:v>同码不同ICB</x:v>
      </x:c>
      <x:c r="G1125" s="13" t="str">
        <x:v>I04 QHL 原行700</x:v>
      </x:c>
      <x:c r="H1125" s="13" t="str">
        <x:v>I03 GP_Code!D5517/P5517/U5517</x:v>
      </x:c>
      <x:c r="I1125" s="12"/>
      <x:c r="J1125" s="12"/>
      <x:c r="K1125" s="12"/>
      <x:c r="L1125" s="12"/>
      <x:c r="M1125" s="12"/>
      <x:c r="N1125" s="12"/>
      <x:c r="O1125" s="12"/>
    </x:row>
    <x:row r="1126" ht="24" customHeight="1">
      <x:c r="A1126" s="13" t="str">
        <x:v>I03</x:v>
      </x:c>
      <x:c r="B1126" s="13" t="str">
        <x:v>QUA</x:v>
      </x:c>
      <x:c r="C1126" s="13" t="str">
        <x:v>M85009</x:v>
      </x:c>
      <x:c r="D1126" s="13" t="n">
        <x:v>74</x:v>
      </x:c>
      <x:c r="E1126" s="30" t="n">
        <x:v>79.7</x:v>
      </x:c>
      <x:c r="F1126" s="13" t="str">
        <x:v>同码不同ICB</x:v>
      </x:c>
      <x:c r="G1126" s="13" t="str">
        <x:v>I04 QHL 原行704</x:v>
      </x:c>
      <x:c r="H1126" s="13" t="str">
        <x:v>I03 GP_Code!D5518/P5518/U5518</x:v>
      </x:c>
      <x:c r="I1126" s="12"/>
      <x:c r="J1126" s="12"/>
      <x:c r="K1126" s="12"/>
      <x:c r="L1126" s="12"/>
      <x:c r="M1126" s="12"/>
      <x:c r="N1126" s="12"/>
      <x:c r="O1126" s="12"/>
    </x:row>
    <x:row r="1127" ht="24" customHeight="1">
      <x:c r="A1127" s="13" t="str">
        <x:v>I03</x:v>
      </x:c>
      <x:c r="B1127" s="13" t="str">
        <x:v>QUA</x:v>
      </x:c>
      <x:c r="C1127" s="13" t="str">
        <x:v>M85019</x:v>
      </x:c>
      <x:c r="D1127" s="13" t="n">
        <x:v>232</x:v>
      </x:c>
      <x:c r="E1127" s="30" t="n">
        <x:v>75.9</x:v>
      </x:c>
      <x:c r="F1127" s="13" t="str">
        <x:v>同码不同ICB</x:v>
      </x:c>
      <x:c r="G1127" s="13" t="str">
        <x:v>I04 QHL 原行710</x:v>
      </x:c>
      <x:c r="H1127" s="13" t="str">
        <x:v>I03 GP_Code!D5519/P5519/U5519</x:v>
      </x:c>
      <x:c r="I1127" s="12"/>
      <x:c r="J1127" s="12"/>
      <x:c r="K1127" s="12"/>
      <x:c r="L1127" s="12"/>
      <x:c r="M1127" s="12"/>
      <x:c r="N1127" s="12"/>
      <x:c r="O1127" s="12"/>
    </x:row>
    <x:row r="1128" ht="24" customHeight="1">
      <x:c r="A1128" s="13" t="str">
        <x:v>I03</x:v>
      </x:c>
      <x:c r="B1128" s="13" t="str">
        <x:v>QUA</x:v>
      </x:c>
      <x:c r="C1128" s="13" t="str">
        <x:v>M85020</x:v>
      </x:c>
      <x:c r="D1128" s="13" t="n">
        <x:v>333</x:v>
      </x:c>
      <x:c r="E1128" s="30" t="n">
        <x:v>67.6</x:v>
      </x:c>
      <x:c r="F1128" s="13" t="str">
        <x:v>同码不同ICB</x:v>
      </x:c>
      <x:c r="G1128" s="13" t="str">
        <x:v>I04 QHL 原行711</x:v>
      </x:c>
      <x:c r="H1128" s="13" t="str">
        <x:v>I03 GP_Code!D5520/P5520/U5520</x:v>
      </x:c>
      <x:c r="I1128" s="12"/>
      <x:c r="J1128" s="12"/>
      <x:c r="K1128" s="12"/>
      <x:c r="L1128" s="12"/>
      <x:c r="M1128" s="12"/>
      <x:c r="N1128" s="12"/>
      <x:c r="O1128" s="12"/>
    </x:row>
    <x:row r="1129" ht="24" customHeight="1">
      <x:c r="A1129" s="13" t="str">
        <x:v>I03</x:v>
      </x:c>
      <x:c r="B1129" s="13" t="str">
        <x:v>QUA</x:v>
      </x:c>
      <x:c r="C1129" s="13" t="str">
        <x:v>M85069</x:v>
      </x:c>
      <x:c r="D1129" s="13" t="n">
        <x:v>254</x:v>
      </x:c>
      <x:c r="E1129" s="30" t="n">
        <x:v>74</x:v>
      </x:c>
      <x:c r="F1129" s="13" t="str">
        <x:v>同码不同ICB</x:v>
      </x:c>
      <x:c r="G1129" s="13" t="str">
        <x:v>I04 QHL 原行743</x:v>
      </x:c>
      <x:c r="H1129" s="13" t="str">
        <x:v>I03 GP_Code!D5521/P5521/U5521</x:v>
      </x:c>
      <x:c r="I1129" s="12"/>
      <x:c r="J1129" s="12"/>
      <x:c r="K1129" s="12"/>
      <x:c r="L1129" s="12"/>
      <x:c r="M1129" s="12"/>
      <x:c r="N1129" s="12"/>
      <x:c r="O1129" s="12"/>
    </x:row>
    <x:row r="1130" ht="24" customHeight="1">
      <x:c r="A1130" s="13" t="str">
        <x:v>I03</x:v>
      </x:c>
      <x:c r="B1130" s="13" t="str">
        <x:v>QUA</x:v>
      </x:c>
      <x:c r="C1130" s="13" t="str">
        <x:v>M85082</x:v>
      </x:c>
      <x:c r="D1130" s="13" t="n">
        <x:v>62</x:v>
      </x:c>
      <x:c r="E1130" s="30" t="n">
        <x:v>90.3</x:v>
      </x:c>
      <x:c r="F1130" s="13" t="str">
        <x:v>同码不同ICB</x:v>
      </x:c>
      <x:c r="G1130" s="13" t="str">
        <x:v>I04 QHL 原行752</x:v>
      </x:c>
      <x:c r="H1130" s="13" t="str">
        <x:v>I03 GP_Code!D5522/P5522/U5522</x:v>
      </x:c>
      <x:c r="I1130" s="12"/>
      <x:c r="J1130" s="12"/>
      <x:c r="K1130" s="12"/>
      <x:c r="L1130" s="12"/>
      <x:c r="M1130" s="12"/>
      <x:c r="N1130" s="12"/>
      <x:c r="O1130" s="12"/>
    </x:row>
    <x:row r="1131" ht="24" customHeight="1">
      <x:c r="A1131" s="13" t="str">
        <x:v>I03</x:v>
      </x:c>
      <x:c r="B1131" s="13" t="str">
        <x:v>QUA</x:v>
      </x:c>
      <x:c r="C1131" s="13" t="str">
        <x:v>M85098</x:v>
      </x:c>
      <x:c r="D1131" s="13" t="n">
        <x:v>54</x:v>
      </x:c>
      <x:c r="E1131" s="30" t="n">
        <x:v>79.6</x:v>
      </x:c>
      <x:c r="F1131" s="13" t="str">
        <x:v>同码不同ICB</x:v>
      </x:c>
      <x:c r="G1131" s="13" t="str">
        <x:v>I04 QHL 原行759</x:v>
      </x:c>
      <x:c r="H1131" s="13" t="str">
        <x:v>I03 GP_Code!D5523/P5523/U5523</x:v>
      </x:c>
      <x:c r="I1131" s="12"/>
      <x:c r="J1131" s="12"/>
      <x:c r="K1131" s="12"/>
      <x:c r="L1131" s="12"/>
      <x:c r="M1131" s="12"/>
      <x:c r="N1131" s="12"/>
      <x:c r="O1131" s="12"/>
    </x:row>
    <x:row r="1132" ht="24" customHeight="1">
      <x:c r="A1132" s="13" t="str">
        <x:v>I03</x:v>
      </x:c>
      <x:c r="B1132" s="13" t="str">
        <x:v>QUA</x:v>
      </x:c>
      <x:c r="C1132" s="13" t="str">
        <x:v>M85145</x:v>
      </x:c>
      <x:c r="D1132" s="13" t="n">
        <x:v>88</x:v>
      </x:c>
      <x:c r="E1132" s="30" t="n">
        <x:v>76.1</x:v>
      </x:c>
      <x:c r="F1132" s="13" t="str">
        <x:v>同码不同ICB</x:v>
      </x:c>
      <x:c r="G1132" s="13" t="str">
        <x:v>I04 QHL 原行778</x:v>
      </x:c>
      <x:c r="H1132" s="13" t="str">
        <x:v>I03 GP_Code!D5524/P5524/U5524</x:v>
      </x:c>
      <x:c r="I1132" s="12"/>
      <x:c r="J1132" s="12"/>
      <x:c r="K1132" s="12"/>
      <x:c r="L1132" s="12"/>
      <x:c r="M1132" s="12"/>
      <x:c r="N1132" s="12"/>
      <x:c r="O1132" s="12"/>
    </x:row>
    <x:row r="1133" ht="24" customHeight="1">
      <x:c r="A1133" s="13" t="str">
        <x:v>I03</x:v>
      </x:c>
      <x:c r="B1133" s="13" t="str">
        <x:v>QUA</x:v>
      </x:c>
      <x:c r="C1133" s="13" t="str">
        <x:v>M85176</x:v>
      </x:c>
      <x:c r="D1133" s="13" t="n">
        <x:v>59</x:v>
      </x:c>
      <x:c r="E1133" s="30" t="n">
        <x:v>72.9</x:v>
      </x:c>
      <x:c r="F1133" s="13" t="str">
        <x:v>同码不同ICB</x:v>
      </x:c>
      <x:c r="G1133" s="13" t="str">
        <x:v>I04 QHL 原行793</x:v>
      </x:c>
      <x:c r="H1133" s="13" t="str">
        <x:v>I03 GP_Code!D5525/P5525/U5525</x:v>
      </x:c>
      <x:c r="I1133" s="12"/>
      <x:c r="J1133" s="12"/>
      <x:c r="K1133" s="12"/>
      <x:c r="L1133" s="12"/>
      <x:c r="M1133" s="12"/>
      <x:c r="N1133" s="12"/>
      <x:c r="O1133" s="12"/>
    </x:row>
    <x:row r="1134" ht="24" customHeight="1">
      <x:c r="A1134" s="13" t="str">
        <x:v>I03</x:v>
      </x:c>
      <x:c r="B1134" s="13" t="str">
        <x:v>QUA</x:v>
      </x:c>
      <x:c r="C1134" s="13" t="str">
        <x:v>M85178</x:v>
      </x:c>
      <x:c r="D1134" s="13" t="n">
        <x:v>103</x:v>
      </x:c>
      <x:c r="E1134" s="30" t="n">
        <x:v>60.2</x:v>
      </x:c>
      <x:c r="F1134" s="13" t="str">
        <x:v>同码不同ICB</x:v>
      </x:c>
      <x:c r="G1134" s="13" t="str">
        <x:v>I04 QHL 原行795</x:v>
      </x:c>
      <x:c r="H1134" s="13" t="str">
        <x:v>I03 GP_Code!D5526/P5526/U5526</x:v>
      </x:c>
      <x:c r="I1134" s="12"/>
      <x:c r="J1134" s="12"/>
      <x:c r="K1134" s="12"/>
      <x:c r="L1134" s="12"/>
      <x:c r="M1134" s="12"/>
      <x:c r="N1134" s="12"/>
      <x:c r="O1134" s="12"/>
    </x:row>
    <x:row r="1135" ht="24" customHeight="1">
      <x:c r="A1135" s="13" t="str">
        <x:v>I03</x:v>
      </x:c>
      <x:c r="B1135" s="13" t="str">
        <x:v>QUA</x:v>
      </x:c>
      <x:c r="C1135" s="13" t="str">
        <x:v>M85634</x:v>
      </x:c>
      <x:c r="D1135" s="13" t="n">
        <x:v>138</x:v>
      </x:c>
      <x:c r="E1135" s="30" t="n">
        <x:v>74.6</x:v>
      </x:c>
      <x:c r="F1135" s="13" t="str">
        <x:v>同码不同ICB</x:v>
      </x:c>
      <x:c r="G1135" s="13" t="str">
        <x:v>I04 QHL 原行799</x:v>
      </x:c>
      <x:c r="H1135" s="13" t="str">
        <x:v>I03 GP_Code!D5527/P5527/U5527</x:v>
      </x:c>
      <x:c r="I1135" s="12"/>
      <x:c r="J1135" s="12"/>
      <x:c r="K1135" s="12"/>
      <x:c r="L1135" s="12"/>
      <x:c r="M1135" s="12"/>
      <x:c r="N1135" s="12"/>
      <x:c r="O1135" s="12"/>
    </x:row>
    <x:row r="1136" ht="24" customHeight="1">
      <x:c r="A1136" s="13" t="str">
        <x:v>I03</x:v>
      </x:c>
      <x:c r="B1136" s="13" t="str">
        <x:v>QUA</x:v>
      </x:c>
      <x:c r="C1136" s="13" t="str">
        <x:v>M85676</x:v>
      </x:c>
      <x:c r="D1136" s="13" t="n">
        <x:v>73</x:v>
      </x:c>
      <x:c r="E1136" s="30" t="n">
        <x:v>74</x:v>
      </x:c>
      <x:c r="F1136" s="13" t="str">
        <x:v>同码不同ICB</x:v>
      </x:c>
      <x:c r="G1136" s="13" t="str">
        <x:v>I04 QHL 原行803</x:v>
      </x:c>
      <x:c r="H1136" s="13" t="str">
        <x:v>I03 GP_Code!D5528/P5528/U5528</x:v>
      </x:c>
      <x:c r="I1136" s="12"/>
      <x:c r="J1136" s="12"/>
      <x:c r="K1136" s="12"/>
      <x:c r="L1136" s="12"/>
      <x:c r="M1136" s="12"/>
      <x:c r="N1136" s="12"/>
      <x:c r="O1136" s="12"/>
    </x:row>
    <x:row r="1137" ht="24" customHeight="1">
      <x:c r="A1137" s="13" t="str">
        <x:v>I03</x:v>
      </x:c>
      <x:c r="B1137" s="13" t="str">
        <x:v>QUA</x:v>
      </x:c>
      <x:c r="C1137" s="13" t="str">
        <x:v>M85684</x:v>
      </x:c>
      <x:c r="D1137" s="13" t="n">
        <x:v>31</x:v>
      </x:c>
      <x:c r="E1137" s="30" t="n">
        <x:v>80.6</x:v>
      </x:c>
      <x:c r="F1137" s="13" t="str">
        <x:v>同码不同ICB</x:v>
      </x:c>
      <x:c r="G1137" s="13" t="str">
        <x:v>I04 QHL 原行806</x:v>
      </x:c>
      <x:c r="H1137" s="13" t="str">
        <x:v>I03 GP_Code!D5529/P5529/U5529</x:v>
      </x:c>
      <x:c r="I1137" s="12"/>
      <x:c r="J1137" s="12"/>
      <x:c r="K1137" s="12"/>
      <x:c r="L1137" s="12"/>
      <x:c r="M1137" s="12"/>
      <x:c r="N1137" s="12"/>
      <x:c r="O1137" s="12"/>
    </x:row>
    <x:row r="1138" ht="24" customHeight="1">
      <x:c r="A1138" s="13" t="str">
        <x:v>I03</x:v>
      </x:c>
      <x:c r="B1138" s="13" t="str">
        <x:v>QUA</x:v>
      </x:c>
      <x:c r="C1138" s="13" t="str">
        <x:v>M85697</x:v>
      </x:c>
      <x:c r="D1138" s="13" t="n">
        <x:v>61</x:v>
      </x:c>
      <x:c r="E1138" s="30" t="n">
        <x:v>63.9</x:v>
      </x:c>
      <x:c r="F1138" s="13" t="str">
        <x:v>同码不同ICB</x:v>
      </x:c>
      <x:c r="G1138" s="13" t="str">
        <x:v>I04 QHL 原行810</x:v>
      </x:c>
      <x:c r="H1138" s="13" t="str">
        <x:v>I03 GP_Code!D5530/P5530/U5530</x:v>
      </x:c>
      <x:c r="I1138" s="12"/>
      <x:c r="J1138" s="12"/>
      <x:c r="K1138" s="12"/>
      <x:c r="L1138" s="12"/>
      <x:c r="M1138" s="12"/>
      <x:c r="N1138" s="12"/>
      <x:c r="O1138" s="12"/>
    </x:row>
    <x:row r="1139" ht="24" customHeight="1">
      <x:c r="A1139" s="13" t="str">
        <x:v>I03</x:v>
      </x:c>
      <x:c r="B1139" s="13" t="str">
        <x:v>QUA</x:v>
      </x:c>
      <x:c r="C1139" s="13" t="str">
        <x:v>M85715</x:v>
      </x:c>
      <x:c r="D1139" s="13" t="n">
        <x:v>174</x:v>
      </x:c>
      <x:c r="E1139" s="30" t="n">
        <x:v>82.8</x:v>
      </x:c>
      <x:c r="F1139" s="13" t="str">
        <x:v>同码不同ICB</x:v>
      </x:c>
      <x:c r="G1139" s="13" t="str">
        <x:v>I04 QHL 原行816</x:v>
      </x:c>
      <x:c r="H1139" s="13" t="str">
        <x:v>I03 GP_Code!D5531/P5531/U5531</x:v>
      </x:c>
      <x:c r="I1139" s="12"/>
      <x:c r="J1139" s="12"/>
      <x:c r="K1139" s="12"/>
      <x:c r="L1139" s="12"/>
      <x:c r="M1139" s="12"/>
      <x:c r="N1139" s="12"/>
      <x:c r="O1139" s="12"/>
    </x:row>
    <x:row r="1140" ht="24" customHeight="1">
      <x:c r="A1140" s="13" t="str">
        <x:v>I03</x:v>
      </x:c>
      <x:c r="B1140" s="13" t="str">
        <x:v>QUA</x:v>
      </x:c>
      <x:c r="C1140" s="13" t="str">
        <x:v>M85721</x:v>
      </x:c>
      <x:c r="D1140" s="13" t="n">
        <x:v>92</x:v>
      </x:c>
      <x:c r="E1140" s="30" t="n">
        <x:v>63</x:v>
      </x:c>
      <x:c r="F1140" s="13" t="str">
        <x:v>同码不同ICB</x:v>
      </x:c>
      <x:c r="G1140" s="13" t="str">
        <x:v>I04 QHL 原行819</x:v>
      </x:c>
      <x:c r="H1140" s="13" t="str">
        <x:v>I03 GP_Code!D5532/P5532/U5532</x:v>
      </x:c>
      <x:c r="I1140" s="12"/>
      <x:c r="J1140" s="12"/>
      <x:c r="K1140" s="12"/>
      <x:c r="L1140" s="12"/>
      <x:c r="M1140" s="12"/>
      <x:c r="N1140" s="12"/>
      <x:c r="O1140" s="12"/>
    </x:row>
    <x:row r="1141" ht="24" customHeight="1">
      <x:c r="A1141" s="13" t="str">
        <x:v>I03</x:v>
      </x:c>
      <x:c r="B1141" s="13" t="str">
        <x:v>QUA</x:v>
      </x:c>
      <x:c r="C1141" s="13" t="str">
        <x:v>M85757</x:v>
      </x:c>
      <x:c r="D1141" s="13" t="n">
        <x:v>55</x:v>
      </x:c>
      <x:c r="E1141" s="30" t="n">
        <x:v>67.3</x:v>
      </x:c>
      <x:c r="F1141" s="13" t="str">
        <x:v>同码不同ICB</x:v>
      </x:c>
      <x:c r="G1141" s="13" t="str">
        <x:v>I04 QHL 原行830</x:v>
      </x:c>
      <x:c r="H1141" s="13" t="str">
        <x:v>I03 GP_Code!D5533/P5533/U5533</x:v>
      </x:c>
      <x:c r="I1141" s="12"/>
      <x:c r="J1141" s="12"/>
      <x:c r="K1141" s="12"/>
      <x:c r="L1141" s="12"/>
      <x:c r="M1141" s="12"/>
      <x:c r="N1141" s="12"/>
      <x:c r="O1141" s="12"/>
    </x:row>
    <x:row r="1142" ht="24" customHeight="1">
      <x:c r="A1142" s="13" t="str">
        <x:v>I03</x:v>
      </x:c>
      <x:c r="B1142" s="13" t="str">
        <x:v>QUA</x:v>
      </x:c>
      <x:c r="C1142" s="13" t="str">
        <x:v>M85778</x:v>
      </x:c>
      <x:c r="D1142" s="13" t="n">
        <x:v>52</x:v>
      </x:c>
      <x:c r="E1142" s="30" t="n">
        <x:v>78.8</x:v>
      </x:c>
      <x:c r="F1142" s="13" t="str">
        <x:v>同码不同ICB</x:v>
      </x:c>
      <x:c r="G1142" s="13" t="str">
        <x:v>I04 QHL 原行835</x:v>
      </x:c>
      <x:c r="H1142" s="13" t="str">
        <x:v>I03 GP_Code!D5534/P5534/U5534</x:v>
      </x:c>
      <x:c r="I1142" s="12"/>
      <x:c r="J1142" s="12"/>
      <x:c r="K1142" s="12"/>
      <x:c r="L1142" s="12"/>
      <x:c r="M1142" s="12"/>
      <x:c r="N1142" s="12"/>
      <x:c r="O1142" s="12"/>
    </x:row>
    <x:row r="1143" ht="24" customHeight="1">
      <x:c r="A1143" s="13" t="str">
        <x:v>I03</x:v>
      </x:c>
      <x:c r="B1143" s="13" t="str">
        <x:v>QUA</x:v>
      </x:c>
      <x:c r="C1143" s="13" t="str">
        <x:v>M85797</x:v>
      </x:c>
      <x:c r="D1143" s="13" t="n">
        <x:v>82</x:v>
      </x:c>
      <x:c r="E1143" s="30" t="n">
        <x:v>57.3</x:v>
      </x:c>
      <x:c r="F1143" s="13" t="str">
        <x:v>同码不同ICB</x:v>
      </x:c>
      <x:c r="G1143" s="13" t="str">
        <x:v>I04 QHL 原行841</x:v>
      </x:c>
      <x:c r="H1143" s="13" t="str">
        <x:v>I03 GP_Code!D5535/P5535/U5535</x:v>
      </x:c>
      <x:c r="I1143" s="12"/>
      <x:c r="J1143" s="12"/>
      <x:c r="K1143" s="12"/>
      <x:c r="L1143" s="12"/>
      <x:c r="M1143" s="12"/>
      <x:c r="N1143" s="12"/>
      <x:c r="O1143" s="12"/>
    </x:row>
    <x:row r="1144" ht="39" customHeight="1">
      <x:c r="A1144" s="13" t="str">
        <x:v>I03</x:v>
      </x:c>
      <x:c r="B1144" s="13" t="str">
        <x:v>QUA</x:v>
      </x:c>
      <x:c r="C1144" s="13" t="str">
        <x:v>M88044</x:v>
      </x:c>
      <x:c r="D1144" s="13" t="n">
        <x:v>37</x:v>
      </x:c>
      <x:c r="E1144" s="30" t="n">
        <x:v>83.8</x:v>
      </x:c>
      <x:c r="F1144" s="13" t="str">
        <x:v>另一年度文件无该码</x:v>
      </x:c>
      <x:c r="G1144" s="13" t="str">
        <x:v>另一文件无该编码；不推断关闭或迁移</x:v>
      </x:c>
      <x:c r="H1144" s="13" t="str">
        <x:v>I03 GP_Code!D5604/P5604/U5604</x:v>
      </x:c>
      <x:c r="I1144" s="12"/>
      <x:c r="J1144" s="12"/>
      <x:c r="K1144" s="12"/>
      <x:c r="L1144" s="12"/>
      <x:c r="M1144" s="12"/>
      <x:c r="N1144" s="12"/>
      <x:c r="O1144" s="12"/>
    </x:row>
    <x:row r="1145" ht="39" customHeight="1">
      <x:c r="A1145" s="13" t="str">
        <x:v>I03</x:v>
      </x:c>
      <x:c r="B1145" s="13" t="str">
        <x:v>QUA</x:v>
      </x:c>
      <x:c r="C1145" s="13" t="str">
        <x:v>M91011</x:v>
      </x:c>
      <x:c r="D1145" s="13" t="n">
        <x:v>66</x:v>
      </x:c>
      <x:c r="E1145" s="30" t="n">
        <x:v>80.3</x:v>
      </x:c>
      <x:c r="F1145" s="13" t="str">
        <x:v>两年5y分母或MMR2百分比不满足可比条件</x:v>
      </x:c>
      <x:c r="G1145" s="13" t="str">
        <x:v>I04 QUA 原行5002</x:v>
      </x:c>
      <x:c r="H1145" s="13" t="str">
        <x:v>I03 GP_Code!D5631/P5631/U5631</x:v>
      </x:c>
      <x:c r="I1145" s="12"/>
      <x:c r="J1145" s="12"/>
      <x:c r="K1145" s="12"/>
      <x:c r="L1145" s="12"/>
      <x:c r="M1145" s="12"/>
      <x:c r="N1145" s="12"/>
      <x:c r="O1145" s="12"/>
    </x:row>
    <x:row r="1146" ht="39" customHeight="1">
      <x:c r="A1146" s="13" t="str">
        <x:v>I03</x:v>
      </x:c>
      <x:c r="B1146" s="13" t="str">
        <x:v>QUA</x:v>
      </x:c>
      <x:c r="C1146" s="13" t="str">
        <x:v>M91020</x:v>
      </x:c>
      <x:c r="D1146" s="13" t="n">
        <x:v>76</x:v>
      </x:c>
      <x:c r="E1146" s="30" t="n">
        <x:v>94.7</x:v>
      </x:c>
      <x:c r="F1146" s="13" t="str">
        <x:v>另一年度文件无该码</x:v>
      </x:c>
      <x:c r="G1146" s="13" t="str">
        <x:v>另一文件无该编码；不推断关闭或迁移</x:v>
      </x:c>
      <x:c r="H1146" s="13" t="str">
        <x:v>I03 GP_Code!D5639/P5639/U5639</x:v>
      </x:c>
      <x:c r="I1146" s="12"/>
      <x:c r="J1146" s="12"/>
      <x:c r="K1146" s="12"/>
      <x:c r="L1146" s="12"/>
      <x:c r="M1146" s="12"/>
      <x:c r="N1146" s="12"/>
      <x:c r="O1146" s="12"/>
    </x:row>
    <x:row r="1147" ht="39" customHeight="1">
      <x:c r="A1147" s="13" t="str">
        <x:v>I03</x:v>
      </x:c>
      <x:c r="B1147" s="13" t="str">
        <x:v>QUA</x:v>
      </x:c>
      <x:c r="C1147" s="13" t="str">
        <x:v>M92002</x:v>
      </x:c>
      <x:c r="D1147" s="13" t="n">
        <x:v>91</x:v>
      </x:c>
      <x:c r="E1147" s="30" t="n">
        <x:v>85.7</x:v>
      </x:c>
      <x:c r="F1147" s="13" t="str">
        <x:v>另一年度文件无该码</x:v>
      </x:c>
      <x:c r="G1147" s="13" t="str">
        <x:v>另一文件无该编码；不推断关闭或迁移</x:v>
      </x:c>
      <x:c r="H1147" s="13" t="str">
        <x:v>I03 GP_Code!D5673/P5673/U5673</x:v>
      </x:c>
      <x:c r="I1147" s="12"/>
      <x:c r="J1147" s="12"/>
      <x:c r="K1147" s="12"/>
      <x:c r="L1147" s="12"/>
      <x:c r="M1147" s="12"/>
      <x:c r="N1147" s="12"/>
      <x:c r="O1147" s="12"/>
    </x:row>
    <x:row r="1148" ht="39" customHeight="1">
      <x:c r="A1148" s="13" t="str">
        <x:v>I03</x:v>
      </x:c>
      <x:c r="B1148" s="13" t="str">
        <x:v>QUA</x:v>
      </x:c>
      <x:c r="C1148" s="13" t="str">
        <x:v>M92014</x:v>
      </x:c>
      <x:c r="D1148" s="13" t="n">
        <x:v>33</x:v>
      </x:c>
      <x:c r="E1148" s="30" t="n">
        <x:v>78.8</x:v>
      </x:c>
      <x:c r="F1148" s="13" t="str">
        <x:v>另一年度文件无该码</x:v>
      </x:c>
      <x:c r="G1148" s="13" t="str">
        <x:v>另一文件无该编码；不推断关闭或迁移</x:v>
      </x:c>
      <x:c r="H1148" s="13" t="str">
        <x:v>I03 GP_Code!D5683/P5683/U5683</x:v>
      </x:c>
      <x:c r="I1148" s="12"/>
      <x:c r="J1148" s="12"/>
      <x:c r="K1148" s="12"/>
      <x:c r="L1148" s="12"/>
      <x:c r="M1148" s="12"/>
      <x:c r="N1148" s="12"/>
      <x:c r="O1148" s="12"/>
    </x:row>
    <x:row r="1149" ht="39" customHeight="1">
      <x:c r="A1149" s="13" t="str">
        <x:v>I03</x:v>
      </x:c>
      <x:c r="B1149" s="13" t="str">
        <x:v>QUA</x:v>
      </x:c>
      <x:c r="C1149" s="13" t="str">
        <x:v>M92042</x:v>
      </x:c>
      <x:c r="D1149" s="13" t="n">
        <x:v>48</x:v>
      </x:c>
      <x:c r="E1149" s="30" t="n">
        <x:v>81.3</x:v>
      </x:c>
      <x:c r="F1149" s="13" t="str">
        <x:v>另一年度文件无该码</x:v>
      </x:c>
      <x:c r="G1149" s="13" t="str">
        <x:v>另一文件无该编码；不推断关闭或迁移</x:v>
      </x:c>
      <x:c r="H1149" s="13" t="str">
        <x:v>I03 GP_Code!D5694/P5694/U5694</x:v>
      </x:c>
      <x:c r="I1149" s="12"/>
      <x:c r="J1149" s="12"/>
      <x:c r="K1149" s="12"/>
      <x:c r="L1149" s="12"/>
      <x:c r="M1149" s="12"/>
      <x:c r="N1149" s="12"/>
      <x:c r="O1149" s="12"/>
    </x:row>
    <x:row r="1150" ht="39" customHeight="1">
      <x:c r="A1150" s="13" t="str">
        <x:v>I03</x:v>
      </x:c>
      <x:c r="B1150" s="13" t="str">
        <x:v>QUA</x:v>
      </x:c>
      <x:c r="C1150" s="13" t="str">
        <x:v>M92044</x:v>
      </x:c>
      <x:c r="D1150" s="13" t="n">
        <x:v>46</x:v>
      </x:c>
      <x:c r="E1150" s="30" t="n">
        <x:v>97.8</x:v>
      </x:c>
      <x:c r="F1150" s="13" t="str">
        <x:v>另一年度文件无该码</x:v>
      </x:c>
      <x:c r="G1150" s="13" t="str">
        <x:v>另一文件无该编码；不推断关闭或迁移</x:v>
      </x:c>
      <x:c r="H1150" s="13" t="str">
        <x:v>I03 GP_Code!D5696/P5696/U5696</x:v>
      </x:c>
      <x:c r="I1150" s="12"/>
      <x:c r="J1150" s="12"/>
      <x:c r="K1150" s="12"/>
      <x:c r="L1150" s="12"/>
      <x:c r="M1150" s="12"/>
      <x:c r="N1150" s="12"/>
      <x:c r="O1150" s="12"/>
    </x:row>
    <x:row r="1151" ht="24" customHeight="1">
      <x:c r="A1151" s="13" t="str">
        <x:v>I03</x:v>
      </x:c>
      <x:c r="B1151" s="13" t="str">
        <x:v>QUA</x:v>
      </x:c>
      <x:c r="C1151" s="13" t="str">
        <x:v>Y00412</x:v>
      </x:c>
      <x:c r="D1151" s="13" t="n">
        <x:v>56</x:v>
      </x:c>
      <x:c r="E1151" s="30" t="n">
        <x:v>75</x:v>
      </x:c>
      <x:c r="F1151" s="13" t="str">
        <x:v>同码不同ICB</x:v>
      </x:c>
      <x:c r="G1151" s="13" t="str">
        <x:v>I04 QHL 原行867</x:v>
      </x:c>
      <x:c r="H1151" s="13" t="str">
        <x:v>I03 GP_Code!D5708/P5708/U5708</x:v>
      </x:c>
      <x:c r="I1151" s="12"/>
      <x:c r="J1151" s="12"/>
      <x:c r="K1151" s="12"/>
      <x:c r="L1151" s="12"/>
      <x:c r="M1151" s="12"/>
      <x:c r="N1151" s="12"/>
      <x:c r="O1151" s="12"/>
    </x:row>
    <x:row r="1152" ht="24" customHeight="1">
      <x:c r="A1152" s="13" t="str">
        <x:v>I03</x:v>
      </x:c>
      <x:c r="B1152" s="13" t="str">
        <x:v>QUA</x:v>
      </x:c>
      <x:c r="C1152" s="13" t="str">
        <x:v>Y00471</x:v>
      </x:c>
      <x:c r="D1152" s="13" t="n">
        <x:v>64</x:v>
      </x:c>
      <x:c r="E1152" s="30" t="n">
        <x:v>71.9</x:v>
      </x:c>
      <x:c r="F1152" s="13" t="str">
        <x:v>同码不同ICB</x:v>
      </x:c>
      <x:c r="G1152" s="13" t="str">
        <x:v>I04 QHL 原行868</x:v>
      </x:c>
      <x:c r="H1152" s="13" t="str">
        <x:v>I03 GP_Code!D5709/P5709/U5709</x:v>
      </x:c>
      <x:c r="I1152" s="12"/>
      <x:c r="J1152" s="12"/>
      <x:c r="K1152" s="12"/>
      <x:c r="L1152" s="12"/>
      <x:c r="M1152" s="12"/>
      <x:c r="N1152" s="12"/>
      <x:c r="O1152" s="12"/>
    </x:row>
    <x:row r="1153" ht="24" customHeight="1">
      <x:c r="A1153" s="13" t="str">
        <x:v>I03</x:v>
      </x:c>
      <x:c r="B1153" s="13" t="str">
        <x:v>QUA</x:v>
      </x:c>
      <x:c r="C1153" s="13" t="str">
        <x:v>Y00492</x:v>
      </x:c>
      <x:c r="D1153" s="13" t="n">
        <x:v>153</x:v>
      </x:c>
      <x:c r="E1153" s="30" t="n">
        <x:v>67.3</x:v>
      </x:c>
      <x:c r="F1153" s="13" t="str">
        <x:v>同码不同ICB</x:v>
      </x:c>
      <x:c r="G1153" s="13" t="str">
        <x:v>I04 QHL 原行869</x:v>
      </x:c>
      <x:c r="H1153" s="13" t="str">
        <x:v>I03 GP_Code!D5710/P5710/U5710</x:v>
      </x:c>
      <x:c r="I1153" s="12"/>
      <x:c r="J1153" s="12"/>
      <x:c r="K1153" s="12"/>
      <x:c r="L1153" s="12"/>
      <x:c r="M1153" s="12"/>
      <x:c r="N1153" s="12"/>
      <x:c r="O1153" s="12"/>
    </x:row>
    <x:row r="1154" ht="24" customHeight="1">
      <x:c r="A1154" s="13" t="str">
        <x:v>I03</x:v>
      </x:c>
      <x:c r="B1154" s="13" t="str">
        <x:v>QUA</x:v>
      </x:c>
      <x:c r="C1154" s="13" t="str">
        <x:v>Y06378</x:v>
      </x:c>
      <x:c r="D1154" s="13" t="n">
        <x:v>98</x:v>
      </x:c>
      <x:c r="E1154" s="30" t="n">
        <x:v>61.2</x:v>
      </x:c>
      <x:c r="F1154" s="13" t="str">
        <x:v>同码不同ICB</x:v>
      </x:c>
      <x:c r="G1154" s="13" t="str">
        <x:v>I04 QHL 原行877</x:v>
      </x:c>
      <x:c r="H1154" s="13" t="str">
        <x:v>I03 GP_Code!D5720/P5720/U5720</x:v>
      </x:c>
      <x:c r="I1154" s="12"/>
      <x:c r="J1154" s="12"/>
      <x:c r="K1154" s="12"/>
      <x:c r="L1154" s="12"/>
      <x:c r="M1154" s="12"/>
      <x:c r="N1154" s="12"/>
      <x:c r="O1154" s="12"/>
    </x:row>
    <x:row r="1155" ht="39" customHeight="1">
      <x:c r="A1155" s="13" t="str">
        <x:v>I04</x:v>
      </x:c>
      <x:c r="B1155" s="13" t="str">
        <x:v>QUA</x:v>
      </x:c>
      <x:c r="C1155" s="13" t="str">
        <x:v>M91011</x:v>
      </x:c>
      <x:c r="D1155" s="13" t="n">
        <x:v>0</x:v>
      </x:c>
      <x:c r="E1155" s="12"/>
      <x:c r="F1155" s="13" t="str">
        <x:v>两年5y分母或MMR2百分比不满足可比条件</x:v>
      </x:c>
      <x:c r="G1155" s="13" t="str">
        <x:v>I03 QUA 原行5631</x:v>
      </x:c>
      <x:c r="H1155" s="13" t="str">
        <x:v>I04 Table_1!D5002/P5002/U5002</x:v>
      </x:c>
      <x:c r="I1155" s="12"/>
      <x:c r="J1155" s="12"/>
      <x:c r="K1155" s="12"/>
      <x:c r="L1155" s="12"/>
      <x:c r="M1155" s="12"/>
      <x:c r="N1155" s="12"/>
      <x:c r="O1155" s="12"/>
    </x:row>
    <x:row r="1156" ht="24" customHeight="1">
      <x:c r="A1156" s="12"/>
      <x:c r="B1156" s="12"/>
      <x:c r="C1156" s="12"/>
      <x:c r="D1156" s="12"/>
      <x:c r="E1156" s="12"/>
      <x:c r="F1156" s="12"/>
      <x:c r="G1156" s="12"/>
      <x:c r="H1156" s="12"/>
      <x:c r="I1156" s="12"/>
      <x:c r="J1156" s="12"/>
      <x:c r="K1156" s="12"/>
      <x:c r="L1156" s="12"/>
      <x:c r="M1156" s="12"/>
      <x:c r="N1156" s="12"/>
      <x:c r="O1156" s="12"/>
    </x:row>
    <x:row r="1157" ht="24" customHeight="1">
      <x:c r="A1157" s="12"/>
      <x:c r="B1157" s="12"/>
      <x:c r="C1157" s="12"/>
      <x:c r="D1157" s="12"/>
      <x:c r="E1157" s="12"/>
      <x:c r="F1157" s="12"/>
      <x:c r="G1157" s="12"/>
      <x:c r="H1157" s="12"/>
      <x:c r="I1157" s="12"/>
      <x:c r="J1157" s="12"/>
      <x:c r="K1157" s="12"/>
      <x:c r="L1157" s="12"/>
      <x:c r="M1157" s="12"/>
      <x:c r="N1157" s="12"/>
      <x:c r="O1157" s="12"/>
    </x:row>
    <x:row r="1158" ht="24" customHeight="1">
      <x:c r="A1158" s="12" t="str">
        <x:v>全GP表重建与公布差值的衔接</x:v>
      </x:c>
      <x:c r="B1158" s="12"/>
      <x:c r="C1158" s="12"/>
      <x:c r="D1158" s="12"/>
      <x:c r="E1158" s="12"/>
      <x:c r="F1158" s="12"/>
      <x:c r="G1158" s="12"/>
      <x:c r="H1158" s="12"/>
      <x:c r="I1158" s="12"/>
      <x:c r="J1158" s="12"/>
      <x:c r="K1158" s="12"/>
      <x:c r="L1158" s="12"/>
      <x:c r="M1158" s="12"/>
      <x:c r="N1158" s="12"/>
      <x:c r="O1158" s="12"/>
    </x:row>
    <x:row r="1159" ht="24" customHeight="1">
      <x:c r="A1159" s="16" t="str">
        <x:v>ICB</x:v>
      </x:c>
      <x:c r="B1159" s="16" t="str">
        <x:v>前全表分母</x:v>
      </x:c>
      <x:c r="C1159" s="16" t="str">
        <x:v>后全表分母</x:v>
      </x:c>
      <x:c r="D1159" s="16" t="str">
        <x:v>前重建（%）</x:v>
      </x:c>
      <x:c r="E1159" s="16" t="str">
        <x:v>后重建（%）</x:v>
      </x:c>
      <x:c r="F1159" s="16" t="str">
        <x:v>重建差值</x:v>
      </x:c>
      <x:c r="G1159" s="16" t="str">
        <x:v>框架差额</x:v>
      </x:c>
      <x:c r="H1159" s="16" t="str">
        <x:v>公布取整差额</x:v>
      </x:c>
      <x:c r="I1159" s="16" t="str">
        <x:v>衔接差额</x:v>
      </x:c>
      <x:c r="J1159" s="16" t="str">
        <x:v>解释范围</x:v>
      </x:c>
      <x:c r="K1159" s="16"/>
      <x:c r="L1159" s="16"/>
      <x:c r="M1159" s="16"/>
      <x:c r="N1159" s="16"/>
      <x:c r="O1159" s="16"/>
    </x:row>
    <x:row r="1160" ht="69" customHeight="1">
      <x:c r="A1160" s="13" t="str">
        <x:v>QHL</x:v>
      </x:c>
      <x:c r="B1160" s="13" t="n">
        <x:f>D374+D375+D376+D377+D378+D379+D380+D381+D382+D383+D384+D385+D386+D387+D388+D389+D390+D391+D392+D393+D394+D395+D396+D397+D398+D399+D400+D401+D402+D403+D404+D405+D406+D407+D408+D409+D410+D411+D412+D413+D414+D415+D416+D417+D418+D419+D420+D421+D422+D423+D424+D425+D426+D427+D428+D429+D430+D431+D432+D433+D434+D435+D436+D437+D438+D439+D440+D441+D442+D443+D444+D445+D446+D447+D448+D449+D450+D451+D452+D453+D454+D455+D456+D457+D458+D459+D460+D461+D462+D463+D464+D465+D466+D467+D468+D469+D470+D471+D472+D473+D474+D475+D476+D477+D478+D479+D480+D481+D482+D483+D484+D485+D486+D487+D488+D489+D490+D491+D492+D493+D494+D495+D496+D497+D498+D499+D500+D501+D502+D503+D504+D505+D506+D507+D508+D509+D510+D511+D512+D513+D514+D515+D516+D517+D518+D519+D520+D521+D522+D523+D524+D525+D526+D527+D528+D529+D530+D531+D532+D533</x:f>
        <x:v>18452</x:v>
      </x:c>
      <x:c r="C1160" s="13" t="n">
        <x:f>D738+D739+D740+D741+D742+D743+D744+D745+D746+D747+D748+D749+D750+D751+D752+D753+D754+D755+D756+D757+D758+D759+D760+D761+D762+D763+D764+D765+D766+D767+D768+D769+D770+D771+D772+D773+D774+D775+D776+D777+D778+D779+D780+D781+D782+D783+D784+D785+D786+D787+D788+D789+D790+D791+D792+D793+D794+D795+D796+D797+D798+D799+D800+D801+D802+D803+D804+D805+D806+D807+D808+D809+D810+D811+D812+D813+D814+D815+D816+D817+D818+D819+D820+D821+D822+D823+D824+D825+D826+D827+D828+D829+D830+D831+D832+D833+D834+D835+D836+D837+D838+D839+D840+D841+D842+D843+D844+D845+D846+D847+D848+D849+D850+D851+D852+D853+D854+D855+D856+D857+D858+D859+D860+D861+D862+D863+D864+D865+D866+D867+D868+D869+D870+D871+D872+D873+D874+D875+D876+D877+D878+D879+D880+D881+D882+D883+D884+D885+D886+D887+D888+D889+D890+D891+D892+D893+D894+D895+D896+D897+D898+D899+D900+D901+D902+D903+D904+D905+D906+D907+D908+D909+D910+D911+D912+D913+D914+D915+D916+D917</x:f>
        <x:v>20629</x:v>
      </x:c>
      <x:c r="D1160" s="14" t="n">
        <x:f>(D374*E374+D375*E375+D376*E376+D377*E377+D378*E378+D379*E379+D380*E380+D381*E381+D382*E382+D383*E383+D384*E384+D385*E385+D386*E386+D387*E387+D388*E388+D389*E389+D390*E390+D391*E391+D392*E392+D393*E393+D394*E394+D395*E395+D396*E396+D397*E397+D398*E398+D399*E399+D400*E400+D401*E401+D402*E402+D403*E403+D404*E404+D405*E405+D406*E406+D407*E407+D408*E408+D409*E409+D410*E410+D411*E411+D412*E412+D413*E413+D414*E414+D415*E415+D416*E416+D417*E417+D418*E418+D419*E419+D420*E420+D421*E421+D422*E422+D423*E423+D424*E424+D425*E425+D426*E426+D427*E427+D428*E428+D429*E429+D430*E430+D431*E431+D432*E432+D433*E433+D434*E434+D435*E435+D436*E436+D437*E437+D438*E438+D439*E439+D440*E440+D441*E441+D442*E442+D443*E443+D444*E444+D445*E445+D446*E446+D447*E447+D448*E448+D449*E449+D450*E450+D451*E451+D452*E452+D453*E453+D454*E454+D455*E455+D456*E456+D457*E457+D458*E458+D459*E459+D460*E460+D461*E461+D462*E462+D463*E463+D464*E464+D465*E465+D466*E466+D467*E467+D468*E468+D469*E469+D470*E470+D471*E471+D472*E472+D473*E473+D474*E474+D475*E475+D476*E476+D477*E477+D478*E478+D479*E479+D480*E480+D481*E481+D482*E482+D483*E483+D484*E484+D485*E485+D486*E486+D487*E487+D488*E488+D489*E489+D490*E490+D491*E491+D492*E492+D493*E493+D494*E494+D495*E495+D496*E496+D497*E497+D498*E498+D499*E499+D500*E500+D501*E501+D502*E502+D503*E503+D504*E504+D505*E505+D506*E506+D507*E507+D508*E508+D509*E509+D510*E510+D511*E511+D512*E512+D513*E513+D514*E514+D515*E515+D516*E516+D517*E517+D518*E518+D519*E519+D520*E520+D521*E521+D522*E522+D523*E523+D524*E524+D525*E525+D526*E526+D527*E527+D528*E528+D529*E529+D530*E530+D531*E531+D532*E532+D533*E533)/B1160</x:f>
        <x:v>75.22118469542602</x:v>
      </x:c>
      <x:c r="E1160" s="14" t="n">
        <x:f>(D738*E738+D739*E739+D740*E740+D741*E741+D742*E742+D743*E743+D744*E744+D745*E745+D746*E746+D747*E747+D748*E748+D749*E749+D750*E750+D751*E751+D752*E752+D753*E753+D754*E754+D755*E755+D756*E756+D757*E757+D758*E758+D759*E759+D760*E760+D761*E761+D762*E762+D763*E763+D764*E764+D765*E765+D766*E766+D767*E767+D768*E768+D769*E769+D770*E770+D771*E771+D772*E772+D773*E773+D774*E774+D775*E775+D776*E776+D777*E777+D778*E778+D779*E779+D780*E780+D781*E781+D782*E782+D783*E783+D784*E784+D785*E785+D786*E786+D787*E787+D788*E788+D789*E789+D790*E790+D791*E791+D792*E792+D793*E793+D794*E794+D795*E795+D796*E796+D797*E797+D798*E798+D799*E799+D800*E800+D801*E801+D802*E802+D803*E803+D804*E804+D805*E805+D806*E806+D807*E807+D808*E808+D809*E809+D810*E810+D811*E811+D812*E812+D813*E813+D814*E814+D815*E815+D816*E816+D817*E817+D818*E818+D819*E819+D820*E820+D821*E821+D822*E822+D823*E823+D824*E824+D825*E825+D826*E826+D827*E827+D828*E828+D829*E829+D830*E830+D831*E831+D832*E832+D833*E833+D834*E834+D835*E835+D836*E836+D837*E837+D838*E838+D839*E839+D840*E840+D841*E841+D842*E842+D843*E843+D844*E844+D845*E845+D846*E846+D847*E847+D848*E848+D849*E849+D850*E850+D851*E851+D852*E852+D853*E853+D854*E854+D855*E855+D856*E856+D857*E857+D858*E858+D859*E859+D860*E860+D861*E861+D862*E862+D863*E863+D864*E864+D865*E865+D866*E866+D867*E867+D868*E868+D869*E869+D870*E870+D871*E871+D872*E872+D873*E873+D874*E874+D875*E875+D876*E876+D877*E877+D878*E878+D879*E879+D880*E880+D881*E881+D882*E882+D883*E883+D884*E884+D885*E885+D886*E886+D887*E887+D888*E888+D889*E889+D890*E890+D891*E891+D892*E892+D893*E893+D894*E894+D895*E895+D896*E896+D897*E897+D898*E898+D899*E899+D900*E900+D901*E901+D902*E902+D903*E903+D904*E904+D905*E905+D906*E906+D907*E907+D908*E908+D909*E909+D910*E910+D911*E911+D912*E912+D913*E913+D914*E914+D915*E915+D916*E916+D917*E917)/C1160</x:f>
        <x:v>74.50747006641134</x:v>
      </x:c>
      <x:c r="F1160" s="14" t="n">
        <x:f>E1160-D1160</x:f>
        <x:v>-0.7137146290146745</x:v>
      </x:c>
      <x:c r="G1160" s="14" t="n">
        <x:f>F1160-G22</x:f>
        <x:v>0.03832477646733423</x:v>
      </x:c>
      <x:c r="H1160" s="14" t="n">
        <x:f>H22-F1160</x:f>
        <x:v>0.013714629014671686</x:v>
      </x:c>
      <x:c r="I1160" s="14" t="n">
        <x:f>G1160+H1160</x:f>
        <x:v>0.05203940548200592</x:v>
      </x:c>
      <x:c r="J1160" s="13" t="str">
        <x:v>保留未知GP汇总码作全表重建；零分母不贡献权重；框架衔接项不作为单一措施效应</x:v>
      </x:c>
      <x:c r="K1160" s="12"/>
      <x:c r="L1160" s="12"/>
      <x:c r="M1160" s="12"/>
      <x:c r="N1160" s="12"/>
      <x:c r="O1160" s="12"/>
    </x:row>
    <x:row r="1161" ht="69" customHeight="1">
      <x:c r="A1161" s="13" t="str">
        <x:v>QUA</x:v>
      </x:c>
      <x:c r="B1161" s="13" t="n">
        <x:f>D534+D535+D536+D537+D538+D539+D540+D541+D542+D543+D544+D545+D546+D547+D548+D549+D550+D551+D552+D553+D554+D555+D556+D557+D558+D559+D560+D561+D562+D563+D564+D565+D566+D567+D568+D569+D570+D571+D572+D573+D574+D575+D576+D577+D578+D579+D580+D581+D582+D583+D584+D585+D586+D587+D588+D589+D590+D591+D592+D593+D594+D595+D596+D597+D598+D599+D600+D601+D602+D603+D604+D605+D606+D607+D608+D609+D610+D611+D612+D613+D614+D615+D616+D617+D618+D619+D620+D621+D622+D623+D624+D625+D626+D627+D628+D629+D630+D631+D632+D633+D634+D635+D636+D637+D638+D639+D640+D641+D642+D643+D644+D645+D646+D647+D648+D649+D650+D651+D652+D653+D654+D655+D656+D657+D658+D659+D660+D661+D662+D663+D664+D665+D666+D667+D668+D669+D670+D671+D672+D673+D674+D675+D676+D677+D678+D679+D680+D681+D682+D683+D684+D685+D686+D687+D688+D689+D690+D691+D692+D693+D694+D695+D696+D697+D698+D699+D700+D701+D702+D703+D704+D705+D706+D707+D708+D709+D710+D711+D712+D713+D714+D715+D716+D717+D718+D719+D720+D721+D722+D723+D724+D725+D726+D727+D728+D729+D730+D731+D732+D733+D734+D735+D736+D737</x:f>
        <x:v>18727</x:v>
      </x:c>
      <x:c r="C1161" s="13" t="n">
        <x:f>D918+D919+D920+D921+D922+D923+D924+D925+D926+D927+D928+D929+D930+D931+D932+D933+D934+D935+D936+D937+D938+D939+D940+D941+D942+D943+D944+D945+D946+D947+D948+D949+D950+D951+D952+D953+D954+D955+D956+D957+D958+D959+D960+D961+D962+D963+D964+D965+D966+D967+D968+D969+D970+D971+D972+D973+D974+D975+D976+D977+D978+D979+D980+D981+D982+D983+D984+D985+D986+D987+D988+D989+D990+D991+D992+D993+D994+D995+D996+D997+D998+D999+D1000+D1001+D1002+D1003+D1004+D1005+D1006+D1007+D1008+D1009+D1010+D1011+D1013+D1014+D1015+D1016+D1017+D1018+D1019+D1020+D1021+D1022+D1023+D1024+D1025+D1026+D1027+D1028+D1029+D1030+D1031+D1032+D1033+D1034+D1035+D1036+D1037+D1038+D1039+D1040+D1041+D1042+D1043+D1044+D1045+D1046+D1047+D1048+D1049+D1050+D1051+D1052+D1053+D1054+D1055+D1056+D1057+D1058+D1059+D1060+D1061+D1062+D1063+D1064+D1065+D1066+D1067+D1068+D1069+D1070+D1071+D1072+D1073+D1074+D1075+D1076+D1077+D1078+D1079+D1080+D1081+D1082+D1083+D1084+D1085+D1086+D1087+D1088+D1089+D1090+D1091+D1092</x:f>
        <x:v>16164</x:v>
      </x:c>
      <x:c r="D1161" s="14" t="n">
        <x:f>(D534*E534+D535*E535+D536*E536+D537*E537+D538*E538+D539*E539+D540*E540+D541*E541+D542*E542+D543*E543+D544*E544+D545*E545+D546*E546+D547*E547+D548*E548+D549*E549+D550*E550+D551*E551+D552*E552+D553*E553+D554*E554+D555*E555+D556*E556+D557*E557+D558*E558+D559*E559+D560*E560+D561*E561+D562*E562+D563*E563+D564*E564+D565*E565+D566*E566+D567*E567+D568*E568+D569*E569+D570*E570+D571*E571+D572*E572+D573*E573+D574*E574+D575*E575+D576*E576+D577*E577+D578*E578+D579*E579+D580*E580+D581*E581+D582*E582+D583*E583+D584*E584+D585*E585+D586*E586+D587*E587+D588*E588+D589*E589+D590*E590+D591*E591+D592*E592+D593*E593+D594*E594+D595*E595+D596*E596+D597*E597+D598*E598+D599*E599+D600*E600+D601*E601+D602*E602+D603*E603+D604*E604+D605*E605+D606*E606+D607*E607+D608*E608+D609*E609+D610*E610+D611*E611+D612*E612+D613*E613+D614*E614+D615*E615+D616*E616+D617*E617+D618*E618+D619*E619+D620*E620+D621*E621+D622*E622+D623*E623+D624*E624+D625*E625+D626*E626+D627*E627+D628*E628+D629*E629+D630*E630+D631*E631+D632*E632+D633*E633+D634*E634+D635*E635+D636*E636+D637*E637+D638*E638+D639*E639+D640*E640+D641*E641+D642*E642+D643*E643+D644*E644+D645*E645+D646*E646+D647*E647+D648*E648+D649*E649+D650*E650+D651*E651+D652*E652+D653*E653+D654*E654+D655*E655+D656*E656+D657*E657+D658*E658+D659*E659+D660*E660+D661*E661+D662*E662+D663*E663+D664*E664+D665*E665+D666*E666+D667*E667+D668*E668+D669*E669+D670*E670+D671*E671+D672*E672+D673*E673+D674*E674+D675*E675+D676*E676+D677*E677+D678*E678+D679*E679+D680*E680+D681*E681+D682*E682+D683*E683+D684*E684+D685*E685+D686*E686+D687*E687+D688*E688+D689*E689+D690*E690+D691*E691+D692*E692+D693*E693+D694*E694+D695*E695+D696*E696+D697*E697+D698*E698+D699*E699+D700*E700+D701*E701+D702*E702+D703*E703+D704*E704+D705*E705+D706*E706+D707*E707+D708*E708+D709*E709+D710*E710+D711*E711+D712*E712+D713*E713+D714*E714+D715*E715+D716*E716+D717*E717+D718*E718+D719*E719+D720*E720+D721*E721+D722*E722+D723*E723+D724*E724+D725*E725+D726*E726+D727*E727+D728*E728+D729*E729+D730*E730+D731*E731+D732*E732+D733*E733+D734*E734+D735*E735+D736*E736+D737*E737)/B1161</x:f>
        <x:v>81.6007155444011</x:v>
      </x:c>
      <x:c r="E1161" s="14" t="n">
        <x:f>(D918*E918+D919*E919+D920*E920+D921*E921+D922*E922+D923*E923+D924*E924+D925*E925+D926*E926+D927*E927+D928*E928+D929*E929+D930*E930+D931*E931+D932*E932+D933*E933+D934*E934+D935*E935+D936*E936+D937*E937+D938*E938+D939*E939+D940*E940+D941*E941+D942*E942+D943*E943+D944*E944+D945*E945+D946*E946+D947*E947+D948*E948+D949*E949+D950*E950+D951*E951+D952*E952+D953*E953+D954*E954+D955*E955+D956*E956+D957*E957+D958*E958+D959*E959+D960*E960+D961*E961+D962*E962+D963*E963+D964*E964+D965*E965+D966*E966+D967*E967+D968*E968+D969*E969+D970*E970+D971*E971+D972*E972+D973*E973+D974*E974+D975*E975+D976*E976+D977*E977+D978*E978+D979*E979+D980*E980+D981*E981+D982*E982+D983*E983+D984*E984+D985*E985+D986*E986+D987*E987+D988*E988+D989*E989+D990*E990+D991*E991+D992*E992+D993*E993+D994*E994+D995*E995+D996*E996+D997*E997+D998*E998+D999*E999+D1000*E1000+D1001*E1001+D1002*E1002+D1003*E1003+D1004*E1004+D1005*E1005+D1006*E1006+D1007*E1007+D1008*E1008+D1009*E1009+D1010*E1010+D1011*E1011+D1013*E1013+D1014*E1014+D1015*E1015+D1016*E1016+D1017*E1017+D1018*E1018+D1019*E1019+D1020*E1020+D1021*E1021+D1022*E1022+D1023*E1023+D1024*E1024+D1025*E1025+D1026*E1026+D1027*E1027+D1028*E1028+D1029*E1029+D1030*E1030+D1031*E1031+D1032*E1032+D1033*E1033+D1034*E1034+D1035*E1035+D1036*E1036+D1037*E1037+D1038*E1038+D1039*E1039+D1040*E1040+D1041*E1041+D1042*E1042+D1043*E1043+D1044*E1044+D1045*E1045+D1046*E1046+D1047*E1047+D1048*E1048+D1049*E1049+D1050*E1050+D1051*E1051+D1052*E1052+D1053*E1053+D1054*E1054+D1055*E1055+D1056*E1056+D1057*E1057+D1058*E1058+D1059*E1059+D1060*E1060+D1061*E1061+D1062*E1062+D1063*E1063+D1064*E1064+D1065*E1065+D1066*E1066+D1067*E1067+D1068*E1068+D1069*E1069+D1070*E1070+D1071*E1071+D1072*E1072+D1073*E1073+D1074*E1074+D1075*E1075+D1076*E1076+D1077*E1077+D1078*E1078+D1079*E1079+D1080*E1080+D1081*E1081+D1082*E1082+D1083*E1083+D1084*E1084+D1085*E1085+D1086*E1086+D1087*E1087+D1088*E1088+D1089*E1089+D1090*E1090+D1091*E1091+D1092*E1092)/C1161</x:f>
        <x:v>82.06602326156894</x:v>
      </x:c>
      <x:c r="F1161" s="14" t="n">
        <x:f>E1161-D1161</x:f>
        <x:v>0.46530771716784614</x:v>
      </x:c>
      <x:c r="G1161" s="14" t="n">
        <x:f>F1161-G23</x:f>
        <x:v>1.391373666426162</x:v>
      </x:c>
      <x:c r="H1161" s="14" t="n">
        <x:f>H23-F1161</x:f>
        <x:v>0.034692282832153865</x:v>
      </x:c>
      <x:c r="I1161" s="14" t="n">
        <x:f>G1161+H1161</x:f>
        <x:v>1.4260659492583159</x:v>
      </x:c>
      <x:c r="J1161" s="13" t="str">
        <x:v>保留未知GP汇总码作全表重建；零分母不贡献权重；框架衔接项不作为单一措施效应</x:v>
      </x:c>
      <x:c r="K1161" s="12"/>
      <x:c r="L1161" s="12"/>
      <x:c r="M1161" s="12"/>
      <x:c r="N1161" s="12"/>
      <x:c r="O1161" s="12"/>
    </x:row>
    <x:row r="1162" ht="24" customHeight="1">
      <x:c r="A1162" s="12"/>
      <x:c r="B1162" s="12"/>
      <x:c r="C1162" s="12"/>
      <x:c r="D1162" s="12"/>
      <x:c r="E1162" s="12"/>
      <x:c r="F1162" s="12"/>
      <x:c r="G1162" s="12"/>
      <x:c r="H1162" s="12"/>
      <x:c r="I1162" s="12"/>
      <x:c r="J1162" s="12"/>
      <x:c r="K1162" s="12"/>
      <x:c r="L1162" s="12"/>
      <x:c r="M1162" s="12"/>
      <x:c r="N1162" s="12"/>
      <x:c r="O1162" s="12"/>
    </x:row>
    <x:row r="1163" ht="24" customHeight="1">
      <x:c r="A1163" s="12"/>
      <x:c r="B1163" s="12"/>
      <x:c r="C1163" s="12"/>
      <x:c r="D1163" s="12"/>
      <x:c r="E1163" s="12"/>
      <x:c r="F1163" s="12"/>
      <x:c r="G1163" s="12"/>
      <x:c r="H1163" s="12"/>
      <x:c r="I1163" s="12"/>
      <x:c r="J1163" s="12"/>
      <x:c r="K1163" s="12"/>
      <x:c r="L1163" s="12"/>
      <x:c r="M1163" s="12"/>
      <x:c r="N1163" s="12"/>
      <x:c r="O1163" s="12"/>
    </x:row>
    <x:row r="1164" ht="24" customHeight="1">
      <x:c r="A1164" s="12" t="str">
        <x:v>相容百分比端点使两ICB下降幅度次序反转</x:v>
      </x:c>
      <x:c r="B1164" s="12"/>
      <x:c r="C1164" s="12"/>
      <x:c r="D1164" s="12"/>
      <x:c r="E1164" s="12"/>
      <x:c r="F1164" s="12"/>
      <x:c r="G1164" s="12"/>
      <x:c r="H1164" s="12"/>
      <x:c r="I1164" s="12"/>
      <x:c r="J1164" s="12"/>
      <x:c r="K1164" s="12"/>
      <x:c r="L1164" s="12"/>
      <x:c r="M1164" s="12"/>
      <x:c r="N1164" s="12"/>
      <x:c r="O1164" s="12"/>
    </x:row>
    <x:row r="1165" ht="24" customHeight="1">
      <x:c r="A1165" s="16" t="str">
        <x:v>方案</x:v>
      </x:c>
      <x:c r="B1165" s="16" t="str">
        <x:v>ICB</x:v>
      </x:c>
      <x:c r="C1165" s="16" t="str">
        <x:v>前百分比取值</x:v>
      </x:c>
      <x:c r="D1165" s="16" t="str">
        <x:v>后百分比取值</x:v>
      </x:c>
      <x:c r="E1165" s="16" t="str">
        <x:v>加权前（%）</x:v>
      </x:c>
      <x:c r="F1165" s="16" t="str">
        <x:v>加权后（%）</x:v>
      </x:c>
      <x:c r="G1165" s="16" t="str">
        <x:v>集合变化（百分点）</x:v>
      </x:c>
      <x:c r="H1165" s="16" t="str">
        <x:v>诊所内分量</x:v>
      </x:c>
      <x:c r="I1165" s="16" t="str">
        <x:v>QUA−QHL集合差</x:v>
      </x:c>
      <x:c r="J1165" s="16" t="str">
        <x:v>QUA−QHL诊所内差</x:v>
      </x:c>
      <x:c r="K1165" s="16"/>
      <x:c r="L1165" s="16"/>
      <x:c r="M1165" s="16"/>
      <x:c r="N1165" s="16"/>
      <x:c r="O1165" s="16"/>
    </x:row>
    <x:row r="1166" ht="24" customHeight="1">
      <x:c r="A1166" s="13" t="str">
        <x:v>A</x:v>
      </x:c>
      <x:c r="B1166" s="13" t="str">
        <x:v>QHL</x:v>
      </x:c>
      <x:c r="C1166" s="13" t="str">
        <x:v>每家GP取下界</x:v>
      </x:c>
      <x:c r="D1166" s="13" t="str">
        <x:v>每家GP取上界</x:v>
      </x:c>
      <x:c r="E1166" s="31" t="n">
        <x:f>E22-$B$3</x:f>
        <x:v>78.56084819387294</x:v>
      </x:c>
      <x:c r="F1166" s="31" t="n">
        <x:f>F22+$B$3-SUMIF(F40:F195,100,E40:E195)/D22*$B$3</x:f>
        <x:v>77.90880878839093</x:v>
      </x:c>
      <x:c r="G1166" s="31" t="n">
        <x:f>F1166-E1166</x:f>
        <x:v>-0.6520394054820144</x:v>
      </x:c>
      <x:c r="H1166" s="31" t="n">
        <x:f>SUM(L40:L195)</x:f>
        <x:v>-0.634878052966939</x:v>
      </x:c>
      <x:c r="I1166" s="12"/>
      <x:c r="J1166" s="12"/>
      <x:c r="K1166" s="12"/>
      <x:c r="L1166" s="12"/>
      <x:c r="M1166" s="12"/>
      <x:c r="N1166" s="12"/>
      <x:c r="O1166" s="12"/>
    </x:row>
    <x:row r="1167" ht="24" customHeight="1">
      <x:c r="A1167" s="13" t="str">
        <x:v>A</x:v>
      </x:c>
      <x:c r="B1167" s="13" t="str">
        <x:v>QUA</x:v>
      </x:c>
      <x:c r="C1167" s="13" t="str">
        <x:v>每家GP取上界</x:v>
      </x:c>
      <x:c r="D1167" s="13" t="str">
        <x:v>每家GP取下界</x:v>
      </x:c>
      <x:c r="E1167" s="31" t="n">
        <x:f>E23+$B$3-SUMIF(D196:D369,100,C196:C369)/C23*$B$3</x:f>
        <x:v>83.04171432202308</x:v>
      </x:c>
      <x:c r="F1167" s="31" t="n">
        <x:f>F23-$B$3</x:f>
        <x:v>82.01602326156895</x:v>
      </x:c>
      <x:c r="G1167" s="31" t="n">
        <x:f>F1167-E1167</x:f>
        <x:v>-1.025691060454136</x:v>
      </x:c>
      <x:c r="H1167" s="31" t="n">
        <x:f>SUM(K196:K369)</x:f>
        <x:v>-0.9743835990145933</x:v>
      </x:c>
      <x:c r="I1167" s="31" t="n">
        <x:f>G1167-G1166</x:f>
        <x:v>-0.3736516549721216</x:v>
      </x:c>
      <x:c r="J1167" s="31" t="n">
        <x:f>H1167-H1166</x:f>
        <x:v>-0.33950554604765426</x:v>
      </x:c>
      <x:c r="K1167" s="12"/>
      <x:c r="L1167" s="12"/>
      <x:c r="M1167" s="12"/>
      <x:c r="N1167" s="12"/>
      <x:c r="O1167" s="12"/>
    </x:row>
    <x:row r="1168" ht="24" customHeight="1">
      <x:c r="A1168" s="13" t="str">
        <x:v>B</x:v>
      </x:c>
      <x:c r="B1168" s="13" t="str">
        <x:v>QHL</x:v>
      </x:c>
      <x:c r="C1168" s="13" t="str">
        <x:v>每家GP取上界</x:v>
      </x:c>
      <x:c r="D1168" s="13" t="str">
        <x:v>每家GP取下界</x:v>
      </x:c>
      <x:c r="E1168" s="31" t="n">
        <x:f>E22+$B$3-SUMIF(D40:D195,100,C40:C195)/C22*$B$3</x:f>
        <x:v>78.6607796067673</x:v>
      </x:c>
      <x:c r="F1168" s="31" t="n">
        <x:f>F22-$B$3</x:f>
        <x:v>77.80880878839093</x:v>
      </x:c>
      <x:c r="G1168" s="31" t="n">
        <x:f>F1168-E1168</x:f>
        <x:v>-0.8519708183763726</x:v>
      </x:c>
      <x:c r="H1168" s="31" t="n">
        <x:f>SUM(K40:K195)</x:f>
        <x:v>-0.8348029644959973</x:v>
      </x:c>
      <x:c r="I1168" s="12"/>
      <x:c r="J1168" s="12"/>
      <x:c r="K1168" s="12"/>
      <x:c r="L1168" s="12"/>
      <x:c r="M1168" s="12"/>
      <x:c r="N1168" s="12"/>
      <x:c r="O1168" s="12"/>
    </x:row>
    <x:row r="1169" ht="24" customHeight="1">
      <x:c r="A1169" s="13" t="str">
        <x:v>B</x:v>
      </x:c>
      <x:c r="B1169" s="13" t="str">
        <x:v>QUA</x:v>
      </x:c>
      <x:c r="C1169" s="13" t="str">
        <x:v>每家GP取下界</x:v>
      </x:c>
      <x:c r="D1169" s="13" t="str">
        <x:v>每家GP取上界</x:v>
      </x:c>
      <x:c r="E1169" s="31" t="n">
        <x:f>E23-$B$3</x:f>
        <x:v>82.94208921082726</x:v>
      </x:c>
      <x:c r="F1169" s="31" t="n">
        <x:f>F23+$B$3-SUMIF(F196:F369,100,E196:E369)/D23*$B$3</x:f>
        <x:v>82.11596758228164</x:v>
      </x:c>
      <x:c r="G1169" s="31" t="n">
        <x:f>F1169-E1169</x:f>
        <x:v>-0.8261216285456214</x:v>
      </x:c>
      <x:c r="H1169" s="31" t="n">
        <x:f>SUM(L196:L369)</x:f>
        <x:v>-0.7748642807053148</x:v>
      </x:c>
      <x:c r="I1169" s="31" t="n">
        <x:f>G1169-G1168</x:f>
        <x:v>0.02584918983075113</x:v>
      </x:c>
      <x:c r="J1169" s="31" t="n">
        <x:f>H1169-H1168</x:f>
        <x:v>0.05993868379068257</x:v>
      </x:c>
      <x:c r="K1169" s="12"/>
      <x:c r="L1169" s="12"/>
      <x:c r="M1169" s="12"/>
      <x:c r="N1169" s="12"/>
      <x:c r="O1169" s="12"/>
    </x:row>
  </x:sheetData>
  <x:mergeCells>
    <x:mergeCell ref="A2:F2"/>
    <x:mergeCell ref="A20:L20"/>
    <x:mergeCell ref="A26:G26"/>
    <x:mergeCell ref="A38:O38"/>
    <x:mergeCell ref="A372:G372"/>
    <x:mergeCell ref="A1095:H1095"/>
    <x:mergeCell ref="A1158:J1158"/>
    <x:mergeCell ref="A1164:J116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38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8" hidden="0" customWidth="1"/>
    <x:col min="13" max="13" width="65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  <x:col min="19" max="19" width="23" hidden="0" customWidth="1"/>
  </x:cols>
  <x:sheetData>
    <x:row r="1" ht="24" customHeight="1">
      <x:c r="A1" s="12"/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</x:row>
    <x:row r="2" ht="24" customHeight="1">
      <x:c r="A2" s="12" t="str">
        <x:v>固定队列记录变化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</x:row>
    <x:row r="3" ht="24" customHeight="1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2"/>
      <x:c r="Q3" s="12"/>
      <x:c r="R3" s="12"/>
      <x:c r="S3" s="12"/>
    </x:row>
    <x:row r="4" ht="24" customHeight="1">
      <x:c r="A4" s="12"/>
      <x:c r="B4" s="12"/>
      <x:c r="C4" s="12"/>
      <x:c r="D4" s="12"/>
      <x:c r="E4" s="12"/>
      <x:c r="F4" s="12"/>
      <x:c r="G4" s="12"/>
      <x:c r="H4" s="12"/>
      <x:c r="I4" s="12"/>
      <x:c r="J4" s="12"/>
      <x:c r="K4" s="12"/>
      <x:c r="L4" s="12"/>
      <x:c r="M4" s="12"/>
      <x:c r="N4" s="12"/>
      <x:c r="O4" s="12"/>
      <x:c r="P4" s="12"/>
      <x:c r="Q4" s="12"/>
      <x:c r="R4" s="12"/>
      <x:c r="S4" s="12"/>
    </x:row>
    <x:row r="5" ht="40" customHeight="1">
      <x:c r="A5" s="16" t="str">
        <x:v>ICB原码</x:v>
      </x:c>
      <x:c r="B5" s="16" t="str">
        <x:v>分龄剂次</x:v>
      </x:c>
      <x:c r="C5" s="16" t="str">
        <x:v>n（人）</x:v>
      </x:c>
      <x:c r="D5" s="16" t="str">
        <x:v>b（人）</x:v>
      </x:c>
      <x:c r="E5" s="16" t="str">
        <x:v>e（人）</x:v>
      </x:c>
      <x:c r="F5" s="16" t="str">
        <x:v>前覆盖率（%）</x:v>
      </x:c>
      <x:c r="G5" s="16" t="str">
        <x:v>后覆盖率（%）</x:v>
      </x:c>
      <x:c r="H5" s="16" t="str">
        <x:v>基线缺口（人）</x:v>
      </x:c>
      <x:c r="I5" s="16" t="str">
        <x:v>期末缺口（人）</x:v>
      </x:c>
      <x:c r="J5" s="16" t="str">
        <x:v>净增量（人）</x:v>
      </x:c>
      <x:c r="K5" s="16" t="str">
        <x:v>变化（百分点）</x:v>
      </x:c>
      <x:c r="L5" s="16" t="str">
        <x:v>增量/基线缺口（%）</x:v>
      </x:c>
      <x:c r="M5" s="16" t="str">
        <x:v>原队列表</x:v>
      </x:c>
      <x:c r="N5" s="16"/>
      <x:c r="O5" s="16"/>
      <x:c r="P5" s="16"/>
      <x:c r="Q5" s="16"/>
      <x:c r="R5" s="16"/>
      <x:c r="S5" s="16"/>
    </x:row>
    <x:row r="6" ht="24" customHeight="1">
      <x:c r="A6" s="13" t="str">
        <x:v>QHL</x:v>
      </x:c>
      <x:c r="B6" s="13" t="str">
        <x:v>15月龄至5岁 MMR1</x:v>
      </x:c>
      <x:c r="C6" s="13" t="n">
        <x:v>67737</x:v>
      </x:c>
      <x:c r="D6" s="13" t="n">
        <x:v>55012</x:v>
      </x:c>
      <x:c r="E6" s="13" t="n">
        <x:v>56765</x:v>
      </x:c>
      <x:c r="F6" s="14" t="n">
        <x:f>D6/C6*100</x:f>
        <x:v>81.21410750402292</x:v>
      </x:c>
      <x:c r="G6" s="14" t="n">
        <x:f>E6/C6*100</x:f>
        <x:v>83.80205795946085</x:v>
      </x:c>
      <x:c r="H6" s="13" t="n">
        <x:f>C6-D6</x:f>
        <x:v>12725</x:v>
      </x:c>
      <x:c r="I6" s="13" t="n">
        <x:f>C6-E6</x:f>
        <x:v>10972</x:v>
      </x:c>
      <x:c r="J6" s="13" t="n">
        <x:f>E6-D6</x:f>
        <x:v>1753</x:v>
      </x:c>
      <x:c r="K6" s="14" t="n">
        <x:f>J6/C6*100</x:f>
        <x:v>2.587950455437944</x:v>
      </x:c>
      <x:c r="L6" s="14" t="n">
        <x:f>IF(H6=0,"不适用",J6/H6*100)</x:f>
        <x:v>13.776031434184677</x:v>
      </x:c>
      <x:c r="M6" s="13" t="str">
        <x:v>n/b/e：I07 MMR1_15m_5y!B39 / I07 MMR1_15m_5y!C39 / I07 MMR1_15m_5y!D39</x:v>
      </x:c>
      <x:c r="N6" s="12"/>
      <x:c r="O6" s="12"/>
      <x:c r="P6" s="12"/>
      <x:c r="Q6" s="12"/>
      <x:c r="R6" s="12"/>
      <x:c r="S6" s="12"/>
    </x:row>
    <x:row r="7" ht="24" customHeight="1">
      <x:c r="A7" s="13" t="str">
        <x:v>QUA</x:v>
      </x:c>
      <x:c r="B7" s="13" t="str">
        <x:v>15月龄至5岁 MMR1</x:v>
      </x:c>
      <x:c r="C7" s="13" t="n">
        <x:v>58674</x:v>
      </x:c>
      <x:c r="D7" s="13" t="n">
        <x:v>48938</x:v>
      </x:c>
      <x:c r="E7" s="13" t="n">
        <x:v>50356</x:v>
      </x:c>
      <x:c r="F7" s="14" t="n">
        <x:f>D7/C7*100</x:f>
        <x:v>83.40661962709207</x:v>
      </x:c>
      <x:c r="G7" s="14" t="n">
        <x:f>E7/C7*100</x:f>
        <x:v>85.82336298871732</x:v>
      </x:c>
      <x:c r="H7" s="13" t="n">
        <x:f>C7-D7</x:f>
        <x:v>9736</x:v>
      </x:c>
      <x:c r="I7" s="13" t="n">
        <x:f>C7-E7</x:f>
        <x:v>8318</x:v>
      </x:c>
      <x:c r="J7" s="13" t="n">
        <x:f>E7-D7</x:f>
        <x:v>1418</x:v>
      </x:c>
      <x:c r="K7" s="14" t="n">
        <x:f>J7/C7*100</x:f>
        <x:v>2.4167433616252514</x:v>
      </x:c>
      <x:c r="L7" s="14" t="n">
        <x:f>IF(H7=0,"不适用",J7/H7*100)</x:f>
        <x:v>14.564502875924404</x:v>
      </x:c>
      <x:c r="M7" s="13" t="str">
        <x:v>n/b/e：I07 MMR1_15m_5y!B34 / I07 MMR1_15m_5y!C34 / I07 MMR1_15m_5y!D34</x:v>
      </x:c>
      <x:c r="N7" s="12"/>
      <x:c r="O7" s="12"/>
      <x:c r="P7" s="12"/>
      <x:c r="Q7" s="12"/>
      <x:c r="R7" s="12"/>
      <x:c r="S7" s="12"/>
    </x:row>
    <x:row r="8" ht="24" customHeight="1">
      <x:c r="A8" s="13" t="str">
        <x:v>QHL</x:v>
      </x:c>
      <x:c r="B8" s="13" t="str">
        <x:v>3岁7月至5岁 MMR1</x:v>
      </x:c>
      <x:c r="C8" s="13" t="n">
        <x:v>27761</x:v>
      </x:c>
      <x:c r="D8" s="13" t="n">
        <x:v>23219</x:v>
      </x:c>
      <x:c r="E8" s="13" t="n">
        <x:v>23609</x:v>
      </x:c>
      <x:c r="F8" s="14" t="n">
        <x:f>D8/C8*100</x:f>
        <x:v>83.63891790641547</x:v>
      </x:c>
      <x:c r="G8" s="14" t="n">
        <x:f>E8/C8*100</x:f>
        <x:v>85.0437664349267</x:v>
      </x:c>
      <x:c r="H8" s="13" t="n">
        <x:f>C8-D8</x:f>
        <x:v>4542</x:v>
      </x:c>
      <x:c r="I8" s="13" t="n">
        <x:f>C8-E8</x:f>
        <x:v>4152</x:v>
      </x:c>
      <x:c r="J8" s="13" t="n">
        <x:f>E8-D8</x:f>
        <x:v>390</x:v>
      </x:c>
      <x:c r="K8" s="14" t="n">
        <x:f>J8/C8*100</x:f>
        <x:v>1.4048485285112207</x:v>
      </x:c>
      <x:c r="L8" s="14" t="n">
        <x:f>IF(H8=0,"不适用",J8/H8*100)</x:f>
        <x:v>8.58652575957728</x:v>
      </x:c>
      <x:c r="M8" s="13" t="str">
        <x:v>n/b/e：I07 MMR1_3y7m_5y!B6 / I07 MMR1_3y7m_5y!C6 / I07 MMR1_3y7m_5y!D6</x:v>
      </x:c>
      <x:c r="N8" s="12"/>
      <x:c r="O8" s="12"/>
      <x:c r="P8" s="12"/>
      <x:c r="Q8" s="12"/>
      <x:c r="R8" s="12"/>
      <x:c r="S8" s="12"/>
    </x:row>
    <x:row r="9" ht="24" customHeight="1">
      <x:c r="A9" s="13" t="str">
        <x:v>QUA</x:v>
      </x:c>
      <x:c r="B9" s="13" t="str">
        <x:v>3岁7月至5岁 MMR1</x:v>
      </x:c>
      <x:c r="C9" s="13" t="n">
        <x:v>23738</x:v>
      </x:c>
      <x:c r="D9" s="13" t="n">
        <x:v>20237</x:v>
      </x:c>
      <x:c r="E9" s="13" t="n">
        <x:v>20501</x:v>
      </x:c>
      <x:c r="F9" s="14" t="n">
        <x:f>D9/C9*100</x:f>
        <x:v>85.25149549245936</x:v>
      </x:c>
      <x:c r="G9" s="14" t="n">
        <x:f>E9/C9*100</x:f>
        <x:v>86.36363636363636</x:v>
      </x:c>
      <x:c r="H9" s="13" t="n">
        <x:f>C9-D9</x:f>
        <x:v>3501</x:v>
      </x:c>
      <x:c r="I9" s="13" t="n">
        <x:f>C9-E9</x:f>
        <x:v>3237</x:v>
      </x:c>
      <x:c r="J9" s="13" t="n">
        <x:f>E9-D9</x:f>
        <x:v>264</x:v>
      </x:c>
      <x:c r="K9" s="14" t="n">
        <x:f>J9/C9*100</x:f>
        <x:v>1.1121408711770158</x:v>
      </x:c>
      <x:c r="L9" s="14" t="n">
        <x:f>IF(H9=0,"不适用",J9/H9*100)</x:f>
        <x:v>7.540702656383891</x:v>
      </x:c>
      <x:c r="M9" s="13" t="str">
        <x:v>n/b/e：I07 MMR1_3y7m_5y!B7 / I07 MMR1_3y7m_5y!C7 / I07 MMR1_3y7m_5y!D7</x:v>
      </x:c>
      <x:c r="N9" s="12"/>
      <x:c r="O9" s="12"/>
      <x:c r="P9" s="12"/>
      <x:c r="Q9" s="12"/>
      <x:c r="R9" s="12"/>
      <x:c r="S9" s="12"/>
    </x:row>
    <x:row r="10" ht="24" customHeight="1">
      <x:c r="A10" s="13" t="str">
        <x:v>QHL</x:v>
      </x:c>
      <x:c r="B10" s="13" t="str">
        <x:v>3岁7月至5岁 MMR2</x:v>
      </x:c>
      <x:c r="C10" s="13" t="n">
        <x:v>27761</x:v>
      </x:c>
      <x:c r="D10" s="13" t="n">
        <x:v>19098</x:v>
      </x:c>
      <x:c r="E10" s="13" t="n">
        <x:v>20435</x:v>
      </x:c>
      <x:c r="F10" s="14" t="n">
        <x:f>D10/C10*100</x:f>
        <x:v>68.79435178848024</x:v>
      </x:c>
      <x:c r="G10" s="14" t="n">
        <x:f>E10/C10*100</x:f>
        <x:v>73.61046071827384</x:v>
      </x:c>
      <x:c r="H10" s="13" t="n">
        <x:f>C10-D10</x:f>
        <x:v>8663</x:v>
      </x:c>
      <x:c r="I10" s="13" t="n">
        <x:f>C10-E10</x:f>
        <x:v>7326</x:v>
      </x:c>
      <x:c r="J10" s="13" t="n">
        <x:f>E10-D10</x:f>
        <x:v>1337</x:v>
      </x:c>
      <x:c r="K10" s="14" t="n">
        <x:f>J10/C10*100</x:f>
        <x:v>4.816108929793595</x:v>
      </x:c>
      <x:c r="L10" s="14" t="n">
        <x:f>IF(H10=0,"不适用",J10/H10*100)</x:f>
        <x:v>15.433452614567702</x:v>
      </x:c>
      <x:c r="M10" s="13" t="str">
        <x:v>n/b/e：I07 MMR2_3y7m_5y!B6 / I07 MMR2_3y7m_5y!C6 / I07 MMR2_3y7m_5y!D6</x:v>
      </x:c>
      <x:c r="N10" s="12"/>
      <x:c r="O10" s="12"/>
      <x:c r="P10" s="12"/>
      <x:c r="Q10" s="12"/>
      <x:c r="R10" s="12"/>
      <x:c r="S10" s="12"/>
    </x:row>
    <x:row r="11" ht="24" customHeight="1">
      <x:c r="A11" s="13" t="str">
        <x:v>QUA</x:v>
      </x:c>
      <x:c r="B11" s="13" t="str">
        <x:v>3岁7月至5岁 MMR2</x:v>
      </x:c>
      <x:c r="C11" s="13" t="n">
        <x:v>23738</x:v>
      </x:c>
      <x:c r="D11" s="13" t="n">
        <x:v>16700</x:v>
      </x:c>
      <x:c r="E11" s="13" t="n">
        <x:v>17729</x:v>
      </x:c>
      <x:c r="F11" s="14" t="n">
        <x:f>D11/C11*100</x:f>
        <x:v>70.35133541157637</x:v>
      </x:c>
      <x:c r="G11" s="14" t="n">
        <x:f>E11/C11*100</x:f>
        <x:v>74.68615721627769</x:v>
      </x:c>
      <x:c r="H11" s="13" t="n">
        <x:f>C11-D11</x:f>
        <x:v>7038</x:v>
      </x:c>
      <x:c r="I11" s="13" t="n">
        <x:f>C11-E11</x:f>
        <x:v>6009</x:v>
      </x:c>
      <x:c r="J11" s="13" t="n">
        <x:f>E11-D11</x:f>
        <x:v>1029</x:v>
      </x:c>
      <x:c r="K11" s="14" t="n">
        <x:f>J11/C11*100</x:f>
        <x:v>4.334821804701323</x:v>
      </x:c>
      <x:c r="L11" s="14" t="n">
        <x:f>IF(H11=0,"不适用",J11/H11*100)</x:f>
        <x:v>14.620630861040068</x:v>
      </x:c>
      <x:c r="M11" s="13" t="str">
        <x:v>n/b/e：I07 MMR2_3y7m_5y!B7 / I07 MMR2_3y7m_5y!C7 / I07 MMR2_3y7m_5y!D7</x:v>
      </x:c>
      <x:c r="N11" s="12"/>
      <x:c r="O11" s="12"/>
      <x:c r="P11" s="12"/>
      <x:c r="Q11" s="12"/>
      <x:c r="R11" s="12"/>
      <x:c r="S11" s="12"/>
    </x:row>
    <x:row r="12" ht="24" customHeight="1">
      <x:c r="A12" s="13" t="str">
        <x:v>QHL</x:v>
      </x:c>
      <x:c r="B12" s="13" t="str">
        <x:v>6至11岁 MMR1</x:v>
      </x:c>
      <x:c r="C12" s="13" t="n">
        <x:v>144648</x:v>
      </x:c>
      <x:c r="D12" s="13" t="n">
        <x:v>121140</x:v>
      </x:c>
      <x:c r="E12" s="13" t="n">
        <x:v>122241</x:v>
      </x:c>
      <x:c r="F12" s="14" t="n">
        <x:f>D12/C12*100</x:f>
        <x:v>83.74813339970135</x:v>
      </x:c>
      <x:c r="G12" s="14" t="n">
        <x:f>E12/C12*100</x:f>
        <x:v>84.50929152148665</x:v>
      </x:c>
      <x:c r="H12" s="13" t="n">
        <x:f>C12-D12</x:f>
        <x:v>23508</x:v>
      </x:c>
      <x:c r="I12" s="13" t="n">
        <x:f>C12-E12</x:f>
        <x:v>22407</x:v>
      </x:c>
      <x:c r="J12" s="13" t="n">
        <x:f>E12-D12</x:f>
        <x:v>1101</x:v>
      </x:c>
      <x:c r="K12" s="14" t="n">
        <x:f>J12/C12*100</x:f>
        <x:v>0.7611581217852995</x:v>
      </x:c>
      <x:c r="L12" s="14" t="n">
        <x:f>IF(H12=0,"不适用",J12/H12*100)</x:f>
        <x:v>4.683511995916284</x:v>
      </x:c>
      <x:c r="M12" s="13" t="str">
        <x:v>n/b/e：I07 MMR1_6_11y!B6 / I07 MMR1_6_11y!C6 / I07 MMR1_6_11y!D6</x:v>
      </x:c>
      <x:c r="N12" s="12"/>
      <x:c r="O12" s="12"/>
      <x:c r="P12" s="12"/>
      <x:c r="Q12" s="12"/>
      <x:c r="R12" s="12"/>
      <x:c r="S12" s="12"/>
    </x:row>
    <x:row r="13" ht="24" customHeight="1">
      <x:c r="A13" s="13" t="str">
        <x:v>QUA</x:v>
      </x:c>
      <x:c r="B13" s="13" t="str">
        <x:v>6至11岁 MMR1</x:v>
      </x:c>
      <x:c r="C13" s="13" t="n">
        <x:v>120872</x:v>
      </x:c>
      <x:c r="D13" s="13" t="n">
        <x:v>103248</x:v>
      </x:c>
      <x:c r="E13" s="13" t="n">
        <x:v>103975</x:v>
      </x:c>
      <x:c r="F13" s="14" t="n">
        <x:f>D13/C13*100</x:f>
        <x:v>85.41928651796941</x:v>
      </x:c>
      <x:c r="G13" s="14" t="n">
        <x:f>E13/C13*100</x:f>
        <x:v>86.02074922231783</x:v>
      </x:c>
      <x:c r="H13" s="13" t="n">
        <x:f>C13-D13</x:f>
        <x:v>17624</x:v>
      </x:c>
      <x:c r="I13" s="13" t="n">
        <x:f>C13-E13</x:f>
        <x:v>16897</x:v>
      </x:c>
      <x:c r="J13" s="13" t="n">
        <x:f>E13-D13</x:f>
        <x:v>727</x:v>
      </x:c>
      <x:c r="K13" s="14" t="n">
        <x:f>J13/C13*100</x:f>
        <x:v>0.6014627043484017</x:v>
      </x:c>
      <x:c r="L13" s="14" t="n">
        <x:f>IF(H13=0,"不适用",J13/H13*100)</x:f>
        <x:v>4.125056740807989</x:v>
      </x:c>
      <x:c r="M13" s="13" t="str">
        <x:v>n/b/e：I07 MMR1_6_11y!B7 / I07 MMR1_6_11y!C7 / I07 MMR1_6_11y!D7</x:v>
      </x:c>
      <x:c r="N13" s="12"/>
      <x:c r="O13" s="12"/>
      <x:c r="P13" s="12"/>
      <x:c r="Q13" s="12"/>
      <x:c r="R13" s="12"/>
      <x:c r="S13" s="12"/>
    </x:row>
    <x:row r="14" ht="24" customHeight="1">
      <x:c r="A14" s="13" t="str">
        <x:v>QHL</x:v>
      </x:c>
      <x:c r="B14" s="13" t="str">
        <x:v>6至11岁 MMR2</x:v>
      </x:c>
      <x:c r="C14" s="13" t="n">
        <x:v>144648</x:v>
      </x:c>
      <x:c r="D14" s="13" t="n">
        <x:v>104930</x:v>
      </x:c>
      <x:c r="E14" s="13" t="n">
        <x:v>106249</x:v>
      </x:c>
      <x:c r="F14" s="14" t="n">
        <x:f>D14/C14*100</x:f>
        <x:v>72.5416182733256</x:v>
      </x:c>
      <x:c r="G14" s="14" t="n">
        <x:f>E14/C14*100</x:f>
        <x:v>73.45348708589127</x:v>
      </x:c>
      <x:c r="H14" s="13" t="n">
        <x:f>C14-D14</x:f>
        <x:v>39718</x:v>
      </x:c>
      <x:c r="I14" s="13" t="n">
        <x:f>C14-E14</x:f>
        <x:v>38399</x:v>
      </x:c>
      <x:c r="J14" s="13" t="n">
        <x:f>E14-D14</x:f>
        <x:v>1319</x:v>
      </x:c>
      <x:c r="K14" s="14" t="n">
        <x:f>J14/C14*100</x:f>
        <x:v>0.9118688125656766</x:v>
      </x:c>
      <x:c r="L14" s="14" t="n">
        <x:f>IF(H14=0,"不适用",J14/H14*100)</x:f>
        <x:v>3.320912432650184</x:v>
      </x:c>
      <x:c r="M14" s="13" t="str">
        <x:v>n/b/e：I07 MMR2_6_11y!B6 / I07 MMR2_6_11y!C6 / I07 MMR2_6_11y!D6</x:v>
      </x:c>
      <x:c r="N14" s="12"/>
      <x:c r="O14" s="12"/>
      <x:c r="P14" s="12"/>
      <x:c r="Q14" s="12"/>
      <x:c r="R14" s="12"/>
      <x:c r="S14" s="12"/>
    </x:row>
    <x:row r="15" ht="24" customHeight="1">
      <x:c r="A15" s="13" t="str">
        <x:v>QUA</x:v>
      </x:c>
      <x:c r="B15" s="13" t="str">
        <x:v>6至11岁 MMR2</x:v>
      </x:c>
      <x:c r="C15" s="13" t="n">
        <x:v>120872</x:v>
      </x:c>
      <x:c r="D15" s="13" t="n">
        <x:v>90961</x:v>
      </x:c>
      <x:c r="E15" s="13" t="n">
        <x:v>91837</x:v>
      </x:c>
      <x:c r="F15" s="14" t="n">
        <x:f>D15/C15*100</x:f>
        <x:v>75.25398768945661</x:v>
      </x:c>
      <x:c r="G15" s="14" t="n">
        <x:f>E15/C15*100</x:f>
        <x:v>75.97872129194519</x:v>
      </x:c>
      <x:c r="H15" s="13" t="n">
        <x:f>C15-D15</x:f>
        <x:v>29911</x:v>
      </x:c>
      <x:c r="I15" s="13" t="n">
        <x:f>C15-E15</x:f>
        <x:v>29035</x:v>
      </x:c>
      <x:c r="J15" s="13" t="n">
        <x:f>E15-D15</x:f>
        <x:v>876</x:v>
      </x:c>
      <x:c r="K15" s="14" t="n">
        <x:f>J15/C15*100</x:f>
        <x:v>0.724733602488583</x:v>
      </x:c>
      <x:c r="L15" s="14" t="n">
        <x:f>IF(H15=0,"不适用",J15/H15*100)</x:f>
        <x:v>2.928688442379058</x:v>
      </x:c>
      <x:c r="M15" s="13" t="str">
        <x:v>n/b/e：I07 MMR2_6_11y!B7 / I07 MMR2_6_11y!C7 / I07 MMR2_6_11y!D7</x:v>
      </x:c>
      <x:c r="N15" s="12"/>
      <x:c r="O15" s="12"/>
      <x:c r="P15" s="12"/>
      <x:c r="Q15" s="12"/>
      <x:c r="R15" s="12"/>
      <x:c r="S15" s="12"/>
    </x:row>
    <x:row r="16" ht="24" customHeight="1">
      <x:c r="A16" s="13" t="str">
        <x:v>QHL</x:v>
      </x:c>
      <x:c r="B16" s="13" t="str">
        <x:v>12至25岁 MMR1</x:v>
      </x:c>
      <x:c r="C16" s="13" t="n">
        <x:v>306068</x:v>
      </x:c>
      <x:c r="D16" s="13" t="n">
        <x:v>206968</x:v>
      </x:c>
      <x:c r="E16" s="13" t="n">
        <x:v>208015</x:v>
      </x:c>
      <x:c r="F16" s="14" t="n">
        <x:f>D16/C16*100</x:f>
        <x:v>67.6215742906805</x:v>
      </x:c>
      <x:c r="G16" s="14" t="n">
        <x:f>E16/C16*100</x:f>
        <x:v>67.9636551354601</x:v>
      </x:c>
      <x:c r="H16" s="13" t="n">
        <x:f>C16-D16</x:f>
        <x:v>99100</x:v>
      </x:c>
      <x:c r="I16" s="13" t="n">
        <x:f>C16-E16</x:f>
        <x:v>98053</x:v>
      </x:c>
      <x:c r="J16" s="13" t="n">
        <x:f>E16-D16</x:f>
        <x:v>1047</x:v>
      </x:c>
      <x:c r="K16" s="14" t="n">
        <x:f>J16/C16*100</x:f>
        <x:v>0.34208084477959144</x:v>
      </x:c>
      <x:c r="L16" s="14" t="n">
        <x:f>IF(H16=0,"不适用",J16/H16*100)</x:f>
        <x:v>1.0565085771947529</x:v>
      </x:c>
      <x:c r="M16" s="13" t="str">
        <x:v>n/b/e：I07 MMR1_12_25y!B6 / I07 MMR1_12_25y!C6 / I07 MMR1_12_25y!D6</x:v>
      </x:c>
      <x:c r="N16" s="12"/>
      <x:c r="O16" s="12"/>
      <x:c r="P16" s="12"/>
      <x:c r="Q16" s="12"/>
      <x:c r="R16" s="12"/>
      <x:c r="S16" s="12"/>
    </x:row>
    <x:row r="17" ht="24" customHeight="1">
      <x:c r="A17" s="13" t="str">
        <x:v>QUA</x:v>
      </x:c>
      <x:c r="B17" s="13" t="str">
        <x:v>12至25岁 MMR1</x:v>
      </x:c>
      <x:c r="C17" s="13" t="n">
        <x:v>229767</x:v>
      </x:c>
      <x:c r="D17" s="13" t="n">
        <x:v>161182</x:v>
      </x:c>
      <x:c r="E17" s="13" t="n">
        <x:v>161667</x:v>
      </x:c>
      <x:c r="F17" s="14" t="n">
        <x:f>D17/C17*100</x:f>
        <x:v>70.15019563296731</x:v>
      </x:c>
      <x:c r="G17" s="14" t="n">
        <x:f>E17/C17*100</x:f>
        <x:v>70.36127903484835</x:v>
      </x:c>
      <x:c r="H17" s="13" t="n">
        <x:f>C17-D17</x:f>
        <x:v>68585</x:v>
      </x:c>
      <x:c r="I17" s="13" t="n">
        <x:f>C17-E17</x:f>
        <x:v>68100</x:v>
      </x:c>
      <x:c r="J17" s="13" t="n">
        <x:f>E17-D17</x:f>
        <x:v>485</x:v>
      </x:c>
      <x:c r="K17" s="14" t="n">
        <x:f>J17/C17*100</x:f>
        <x:v>0.21108340188103603</x:v>
      </x:c>
      <x:c r="L17" s="14" t="n">
        <x:f>IF(H17=0,"不适用",J17/H17*100)</x:f>
        <x:v>0.7071517095574834</x:v>
      </x:c>
      <x:c r="M17" s="13" t="str">
        <x:v>n/b/e：I07 MMR1_12_25y!B7 / I07 MMR1_12_25y!C7 / I07 MMR1_12_25y!D7</x:v>
      </x:c>
      <x:c r="N17" s="12"/>
      <x:c r="O17" s="12"/>
      <x:c r="P17" s="12"/>
      <x:c r="Q17" s="12"/>
      <x:c r="R17" s="12"/>
      <x:c r="S17" s="12"/>
    </x:row>
    <x:row r="18" ht="24" customHeight="1">
      <x:c r="A18" s="13" t="str">
        <x:v>QHL</x:v>
      </x:c>
      <x:c r="B18" s="13" t="str">
        <x:v>12至25岁 MMR2</x:v>
      </x:c>
      <x:c r="C18" s="13" t="n">
        <x:v>306068</x:v>
      </x:c>
      <x:c r="D18" s="13" t="n">
        <x:v>170803</x:v>
      </x:c>
      <x:c r="E18" s="13" t="n">
        <x:v>171745</x:v>
      </x:c>
      <x:c r="F18" s="14" t="n">
        <x:f>D18/C18*100</x:f>
        <x:v>55.80557261784963</x:v>
      </x:c>
      <x:c r="G18" s="14" t="n">
        <x:f>E18/C18*100</x:f>
        <x:v>56.11334736071723</x:v>
      </x:c>
      <x:c r="H18" s="13" t="n">
        <x:f>C18-D18</x:f>
        <x:v>135265</x:v>
      </x:c>
      <x:c r="I18" s="13" t="n">
        <x:f>C18-E18</x:f>
        <x:v>134323</x:v>
      </x:c>
      <x:c r="J18" s="13" t="n">
        <x:f>E18-D18</x:f>
        <x:v>942</x:v>
      </x:c>
      <x:c r="K18" s="14" t="n">
        <x:f>J18/C18*100</x:f>
        <x:v>0.30777474286759804</x:v>
      </x:c>
      <x:c r="L18" s="14" t="n">
        <x:f>IF(H18=0,"不适用",J18/H18*100)</x:f>
        <x:v>0.6964107492699515</x:v>
      </x:c>
      <x:c r="M18" s="13" t="str">
        <x:v>n/b/e：I07 MMR2_12_25y!B6 / I07 MMR2_12_25y!C6 / I07 MMR2_12_25y!D6</x:v>
      </x:c>
      <x:c r="N18" s="12"/>
      <x:c r="O18" s="12"/>
      <x:c r="P18" s="12"/>
      <x:c r="Q18" s="12"/>
      <x:c r="R18" s="12"/>
      <x:c r="S18" s="12"/>
    </x:row>
    <x:row r="19" ht="24" customHeight="1">
      <x:c r="A19" s="13" t="str">
        <x:v>QUA</x:v>
      </x:c>
      <x:c r="B19" s="13" t="str">
        <x:v>12至25岁 MMR2</x:v>
      </x:c>
      <x:c r="C19" s="13" t="n">
        <x:v>229767</x:v>
      </x:c>
      <x:c r="D19" s="13" t="n">
        <x:v>138119</x:v>
      </x:c>
      <x:c r="E19" s="13" t="n">
        <x:v>138481</x:v>
      </x:c>
      <x:c r="F19" s="14" t="n">
        <x:f>D19/C19*100</x:f>
        <x:v>60.11263584413775</x:v>
      </x:c>
      <x:c r="G19" s="14" t="n">
        <x:f>E19/C19*100</x:f>
        <x:v>60.27018675440773</x:v>
      </x:c>
      <x:c r="H19" s="13" t="n">
        <x:f>C19-D19</x:f>
        <x:v>91648</x:v>
      </x:c>
      <x:c r="I19" s="13" t="n">
        <x:f>C19-E19</x:f>
        <x:v>91286</x:v>
      </x:c>
      <x:c r="J19" s="13" t="n">
        <x:f>E19-D19</x:f>
        <x:v>362</x:v>
      </x:c>
      <x:c r="K19" s="14" t="n">
        <x:f>J19/C19*100</x:f>
        <x:v>0.15755091026996915</x:v>
      </x:c>
      <x:c r="L19" s="14" t="n">
        <x:f>IF(H19=0,"不适用",J19/H19*100)</x:f>
        <x:v>0.39498952513966484</x:v>
      </x:c>
      <x:c r="M19" s="13" t="str">
        <x:v>n/b/e：I07 MMR2_12_25y!B7 / I07 MMR2_12_25y!C7 / I07 MMR2_12_25y!D7</x:v>
      </x:c>
      <x:c r="N19" s="12"/>
      <x:c r="O19" s="12"/>
      <x:c r="P19" s="12"/>
      <x:c r="Q19" s="12"/>
      <x:c r="R19" s="12"/>
      <x:c r="S19" s="12"/>
    </x:row>
    <x:row r="20" ht="24" customHeight="1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  <x:c r="Q20" s="12"/>
      <x:c r="R20" s="12"/>
      <x:c r="S20" s="12"/>
    </x:row>
    <x:row r="21" ht="24" customHeight="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  <x:c r="Q21" s="12"/>
      <x:c r="R21" s="12"/>
      <x:c r="S21" s="12"/>
    </x:row>
    <x:row r="22" ht="24" customHeight="1">
      <x:c r="A22" s="12" t="str">
        <x:v>最年轻互斥组的MMR1状态与人数界限</x:v>
      </x:c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  <x:c r="Q22" s="12"/>
      <x:c r="R22" s="12"/>
      <x:c r="S22" s="12"/>
    </x:row>
    <x:row r="23" ht="24" customHeight="1">
      <x:c r="A23" s="16" t="str">
        <x:v>ICB</x:v>
      </x:c>
      <x:c r="B23" s="16" t="str">
        <x:v>互斥年龄组</x:v>
      </x:c>
      <x:c r="C23" s="16" t="str">
        <x:v>n</x:v>
      </x:c>
      <x:c r="D23" s="16" t="str">
        <x:v>前已记录</x:v>
      </x:c>
      <x:c r="E23" s="16" t="str">
        <x:v>后已记录</x:v>
      </x:c>
      <x:c r="F23" s="16" t="str">
        <x:v>前未记录</x:v>
      </x:c>
      <x:c r="G23" s="16" t="str">
        <x:v>后未记录</x:v>
      </x:c>
      <x:c r="H23" s="16" t="str">
        <x:v>MMR1净增量</x:v>
      </x:c>
      <x:c r="I23" s="16" t="str">
        <x:v>仅边际下界</x:v>
      </x:c>
      <x:c r="J23" s="16" t="str">
        <x:v>仅边际上界</x:v>
      </x:c>
      <x:c r="K23" s="16" t="str">
        <x:v>不下降下界</x:v>
      </x:c>
      <x:c r="L23" s="16" t="str">
        <x:v>不下降上界</x:v>
      </x:c>
      <x:c r="M23" s="16" t="str">
        <x:v>阈值定义</x:v>
      </x:c>
      <x:c r="N23" s="16"/>
      <x:c r="O23" s="16"/>
      <x:c r="P23" s="16"/>
      <x:c r="Q23" s="16"/>
      <x:c r="R23" s="16"/>
      <x:c r="S23" s="16"/>
    </x:row>
    <x:row r="24" ht="24" customHeight="1">
      <x:c r="A24" s="13" t="str">
        <x:v>QHL</x:v>
      </x:c>
      <x:c r="B24" s="13" t="str">
        <x:v>15m–5y扣除3y7m–5y</x:v>
      </x:c>
      <x:c r="C24" s="13" t="n">
        <x:f>C6-C8</x:f>
        <x:v>39976</x:v>
      </x:c>
      <x:c r="D24" s="13" t="n">
        <x:f>D6-D8</x:f>
        <x:v>31793</x:v>
      </x:c>
      <x:c r="E24" s="13" t="n">
        <x:f>E6-E8</x:f>
        <x:v>33156</x:v>
      </x:c>
      <x:c r="F24" s="13" t="n">
        <x:f>C24-D24</x:f>
        <x:v>8183</x:v>
      </x:c>
      <x:c r="G24" s="13" t="n">
        <x:f>C24-E24</x:f>
        <x:v>6820</x:v>
      </x:c>
      <x:c r="H24" s="13" t="n">
        <x:f>E24-D24</x:f>
        <x:v>1363</x:v>
      </x:c>
      <x:c r="I24" s="13" t="n">
        <x:f>MAX(0,H24)</x:f>
        <x:v>1363</x:v>
      </x:c>
      <x:c r="J24" s="13" t="n">
        <x:f>MIN(F24,E24)</x:f>
        <x:v>8183</x:v>
      </x:c>
      <x:c r="K24" s="13" t="n">
        <x:f>H24</x:f>
        <x:v>1363</x:v>
      </x:c>
      <x:c r="L24" s="13" t="n">
        <x:f>H24</x:f>
        <x:v>1363</x:v>
      </x:c>
      <x:c r="M24" s="13" t="str">
        <x:v>二状态；MMR1阈值；固定基线年龄</x:v>
      </x:c>
      <x:c r="N24" s="12"/>
      <x:c r="O24" s="12"/>
      <x:c r="P24" s="12"/>
      <x:c r="Q24" s="12"/>
      <x:c r="R24" s="12"/>
      <x:c r="S24" s="12"/>
    </x:row>
    <x:row r="25" ht="24" customHeight="1">
      <x:c r="A25" s="13" t="str">
        <x:v>QUA</x:v>
      </x:c>
      <x:c r="B25" s="13" t="str">
        <x:v>15m–5y扣除3y7m–5y</x:v>
      </x:c>
      <x:c r="C25" s="13" t="n">
        <x:f>C7-C9</x:f>
        <x:v>34936</x:v>
      </x:c>
      <x:c r="D25" s="13" t="n">
        <x:f>D7-D9</x:f>
        <x:v>28701</x:v>
      </x:c>
      <x:c r="E25" s="13" t="n">
        <x:f>E7-E9</x:f>
        <x:v>29855</x:v>
      </x:c>
      <x:c r="F25" s="13" t="n">
        <x:f>C25-D25</x:f>
        <x:v>6235</x:v>
      </x:c>
      <x:c r="G25" s="13" t="n">
        <x:f>C25-E25</x:f>
        <x:v>5081</x:v>
      </x:c>
      <x:c r="H25" s="13" t="n">
        <x:f>E25-D25</x:f>
        <x:v>1154</x:v>
      </x:c>
      <x:c r="I25" s="13" t="n">
        <x:f>MAX(0,H25)</x:f>
        <x:v>1154</x:v>
      </x:c>
      <x:c r="J25" s="13" t="n">
        <x:f>MIN(F25,E25)</x:f>
        <x:v>6235</x:v>
      </x:c>
      <x:c r="K25" s="13" t="n">
        <x:f>H25</x:f>
        <x:v>1154</x:v>
      </x:c>
      <x:c r="L25" s="13" t="n">
        <x:f>H25</x:f>
        <x:v>1154</x:v>
      </x:c>
      <x:c r="M25" s="13" t="str">
        <x:v>二状态；MMR1阈值；固定基线年龄</x:v>
      </x:c>
      <x:c r="N25" s="12"/>
      <x:c r="O25" s="12"/>
      <x:c r="P25" s="12"/>
      <x:c r="Q25" s="12"/>
      <x:c r="R25" s="12"/>
      <x:c r="S25" s="12"/>
    </x:row>
    <x:row r="26" ht="24" customHeight="1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  <x:c r="Q26" s="12"/>
      <x:c r="R26" s="12"/>
      <x:c r="S26" s="12"/>
    </x:row>
    <x:row r="27" ht="24" customHeight="1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2"/>
      <x:c r="R27" s="12"/>
      <x:c r="S27" s="12"/>
    </x:row>
    <x:row r="28" ht="24" customHeight="1">
      <x:c r="A28" s="12" t="str">
        <x:v>较年长互斥组的三状态分布及状态提升人数锐界</x:v>
      </x:c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2"/>
      <x:c r="R28" s="12"/>
      <x:c r="S28" s="12"/>
    </x:row>
    <x:row r="29" ht="24" customHeight="1">
      <x:c r="A29" s="16" t="str">
        <x:v>ICB</x:v>
      </x:c>
      <x:c r="B29" s="16" t="str">
        <x:v>固定年龄组</x:v>
      </x:c>
      <x:c r="C29" s="16" t="str">
        <x:v>n</x:v>
      </x:c>
      <x:c r="D29" s="16" t="str">
        <x:v>前0剂</x:v>
      </x:c>
      <x:c r="E29" s="16" t="str">
        <x:v>前恰1剂</x:v>
      </x:c>
      <x:c r="F29" s="16" t="str">
        <x:v>前至少2剂</x:v>
      </x:c>
      <x:c r="G29" s="16" t="str">
        <x:v>后0剂</x:v>
      </x:c>
      <x:c r="H29" s="16" t="str">
        <x:v>后恰1剂</x:v>
      </x:c>
      <x:c r="I29" s="16" t="str">
        <x:v>后至少2剂</x:v>
      </x:c>
      <x:c r="J29" s="16" t="str">
        <x:v>MMR1净增量</x:v>
      </x:c>
      <x:c r="K29" s="16" t="str">
        <x:v>MMR2净增量</x:v>
      </x:c>
      <x:c r="L29" s="16" t="str">
        <x:v>仅边际下界</x:v>
      </x:c>
      <x:c r="M29" s="16" t="str">
        <x:v>仅边际上界</x:v>
      </x:c>
      <x:c r="N29" s="16" t="str">
        <x:v>不下降下界</x:v>
      </x:c>
      <x:c r="O29" s="16" t="str">
        <x:v>不下降上界</x:v>
      </x:c>
      <x:c r="P29" s="16" t="str">
        <x:v>前合计差</x:v>
      </x:c>
      <x:c r="Q29" s="16" t="str">
        <x:v>后合计差</x:v>
      </x:c>
      <x:c r="R29" s="16" t="str">
        <x:v>固定总人数差</x:v>
      </x:c>
      <x:c r="S29" s="16" t="str">
        <x:v>对象及口径</x:v>
      </x:c>
    </x:row>
    <x:row r="30" ht="39" customHeight="1">
      <x:c r="A30" s="13" t="str">
        <x:v>QHL</x:v>
      </x:c>
      <x:c r="B30" s="13" t="str">
        <x:v>3y7m–5y</x:v>
      </x:c>
      <x:c r="C30" s="13" t="n">
        <x:f>C8</x:f>
        <x:v>27761</x:v>
      </x:c>
      <x:c r="D30" s="13" t="n">
        <x:f>C8-D8</x:f>
        <x:v>4542</x:v>
      </x:c>
      <x:c r="E30" s="13" t="n">
        <x:f>D8-D10</x:f>
        <x:v>4121</x:v>
      </x:c>
      <x:c r="F30" s="13" t="n">
        <x:f>D10</x:f>
        <x:v>19098</x:v>
      </x:c>
      <x:c r="G30" s="13" t="n">
        <x:f>C8-E8</x:f>
        <x:v>4152</x:v>
      </x:c>
      <x:c r="H30" s="13" t="n">
        <x:f>E8-E10</x:f>
        <x:v>3174</x:v>
      </x:c>
      <x:c r="I30" s="13" t="n">
        <x:f>E10</x:f>
        <x:v>20435</x:v>
      </x:c>
      <x:c r="J30" s="13" t="n">
        <x:f>E8-D8</x:f>
        <x:v>390</x:v>
      </x:c>
      <x:c r="K30" s="13" t="n">
        <x:f>E10-D10</x:f>
        <x:v>1337</x:v>
      </x:c>
      <x:c r="L30" s="13" t="n">
        <x:f>MAX(0,J30,K30)</x:f>
        <x:v>1337</x:v>
      </x:c>
      <x:c r="M30" s="13" t="n">
        <x:f>MIN(D30+E30,H30+I30,D30+I30)</x:f>
        <x:v>8663</x:v>
      </x:c>
      <x:c r="N30" s="13" t="n">
        <x:f>MAX(J30,K30)</x:f>
        <x:v>1337</x:v>
      </x:c>
      <x:c r="O30" s="13" t="n">
        <x:f>J30+K30-MAX(0,K30-E30)</x:f>
        <x:v>1727</x:v>
      </x:c>
      <x:c r="P30" s="13" t="n">
        <x:f>C30-SUM(D30:F30)</x:f>
        <x:v>0</x:v>
      </x:c>
      <x:c r="Q30" s="13" t="n">
        <x:f>C30-SUM(G30:I30)</x:f>
        <x:v>0</x:v>
      </x:c>
      <x:c r="R30" s="13" t="n">
        <x:f>SUM(D30:F30)-SUM(G30:I30)</x:f>
        <x:v>0</x:v>
      </x:c>
      <x:c r="S30" s="13" t="str">
        <x:v>状态0／恰1／至少2；增人一次计数</x:v>
      </x:c>
    </x:row>
    <x:row r="31" ht="39" customHeight="1">
      <x:c r="A31" s="13" t="str">
        <x:v>QHL</x:v>
      </x:c>
      <x:c r="B31" s="13" t="str">
        <x:v>6–11y</x:v>
      </x:c>
      <x:c r="C31" s="13" t="n">
        <x:f>C12</x:f>
        <x:v>144648</x:v>
      </x:c>
      <x:c r="D31" s="13" t="n">
        <x:f>C12-D12</x:f>
        <x:v>23508</x:v>
      </x:c>
      <x:c r="E31" s="13" t="n">
        <x:f>D12-D14</x:f>
        <x:v>16210</x:v>
      </x:c>
      <x:c r="F31" s="13" t="n">
        <x:f>D14</x:f>
        <x:v>104930</x:v>
      </x:c>
      <x:c r="G31" s="13" t="n">
        <x:f>C12-E12</x:f>
        <x:v>22407</x:v>
      </x:c>
      <x:c r="H31" s="13" t="n">
        <x:f>E12-E14</x:f>
        <x:v>15992</x:v>
      </x:c>
      <x:c r="I31" s="13" t="n">
        <x:f>E14</x:f>
        <x:v>106249</x:v>
      </x:c>
      <x:c r="J31" s="13" t="n">
        <x:f>E12-D12</x:f>
        <x:v>1101</x:v>
      </x:c>
      <x:c r="K31" s="13" t="n">
        <x:f>E14-D14</x:f>
        <x:v>1319</x:v>
      </x:c>
      <x:c r="L31" s="13" t="n">
        <x:f>MAX(0,J31,K31)</x:f>
        <x:v>1319</x:v>
      </x:c>
      <x:c r="M31" s="13" t="n">
        <x:f>MIN(D31+E31,H31+I31,D31+I31)</x:f>
        <x:v>39718</x:v>
      </x:c>
      <x:c r="N31" s="13" t="n">
        <x:f>MAX(J31,K31)</x:f>
        <x:v>1319</x:v>
      </x:c>
      <x:c r="O31" s="13" t="n">
        <x:f>J31+K31-MAX(0,K31-E31)</x:f>
        <x:v>2420</x:v>
      </x:c>
      <x:c r="P31" s="13" t="n">
        <x:f>C31-SUM(D31:F31)</x:f>
        <x:v>0</x:v>
      </x:c>
      <x:c r="Q31" s="13" t="n">
        <x:f>C31-SUM(G31:I31)</x:f>
        <x:v>0</x:v>
      </x:c>
      <x:c r="R31" s="13" t="n">
        <x:f>SUM(D31:F31)-SUM(G31:I31)</x:f>
        <x:v>0</x:v>
      </x:c>
      <x:c r="S31" s="13" t="str">
        <x:v>状态0／恰1／至少2；增人一次计数</x:v>
      </x:c>
    </x:row>
    <x:row r="32" ht="39" customHeight="1">
      <x:c r="A32" s="13" t="str">
        <x:v>QHL</x:v>
      </x:c>
      <x:c r="B32" s="13" t="str">
        <x:v>12–25y</x:v>
      </x:c>
      <x:c r="C32" s="13" t="n">
        <x:f>C16</x:f>
        <x:v>306068</x:v>
      </x:c>
      <x:c r="D32" s="13" t="n">
        <x:f>C16-D16</x:f>
        <x:v>99100</x:v>
      </x:c>
      <x:c r="E32" s="13" t="n">
        <x:f>D16-D18</x:f>
        <x:v>36165</x:v>
      </x:c>
      <x:c r="F32" s="13" t="n">
        <x:f>D18</x:f>
        <x:v>170803</x:v>
      </x:c>
      <x:c r="G32" s="13" t="n">
        <x:f>C16-E16</x:f>
        <x:v>98053</x:v>
      </x:c>
      <x:c r="H32" s="13" t="n">
        <x:f>E16-E18</x:f>
        <x:v>36270</x:v>
      </x:c>
      <x:c r="I32" s="13" t="n">
        <x:f>E18</x:f>
        <x:v>171745</x:v>
      </x:c>
      <x:c r="J32" s="13" t="n">
        <x:f>E16-D16</x:f>
        <x:v>1047</x:v>
      </x:c>
      <x:c r="K32" s="13" t="n">
        <x:f>E18-D18</x:f>
        <x:v>942</x:v>
      </x:c>
      <x:c r="L32" s="13" t="n">
        <x:f>MAX(0,J32,K32)</x:f>
        <x:v>1047</x:v>
      </x:c>
      <x:c r="M32" s="13" t="n">
        <x:f>MIN(D32+E32,H32+I32,D32+I32)</x:f>
        <x:v>135265</x:v>
      </x:c>
      <x:c r="N32" s="13" t="n">
        <x:f>MAX(J32,K32)</x:f>
        <x:v>1047</x:v>
      </x:c>
      <x:c r="O32" s="13" t="n">
        <x:f>J32+K32-MAX(0,K32-E32)</x:f>
        <x:v>1989</x:v>
      </x:c>
      <x:c r="P32" s="13" t="n">
        <x:f>C32-SUM(D32:F32)</x:f>
        <x:v>0</x:v>
      </x:c>
      <x:c r="Q32" s="13" t="n">
        <x:f>C32-SUM(G32:I32)</x:f>
        <x:v>0</x:v>
      </x:c>
      <x:c r="R32" s="13" t="n">
        <x:f>SUM(D32:F32)-SUM(G32:I32)</x:f>
        <x:v>0</x:v>
      </x:c>
      <x:c r="S32" s="13" t="str">
        <x:v>状态0／恰1／至少2；增人一次计数</x:v>
      </x:c>
    </x:row>
    <x:row r="33" ht="39" customHeight="1">
      <x:c r="A33" s="13" t="str">
        <x:v>QUA</x:v>
      </x:c>
      <x:c r="B33" s="13" t="str">
        <x:v>3y7m–5y</x:v>
      </x:c>
      <x:c r="C33" s="13" t="n">
        <x:f>C9</x:f>
        <x:v>23738</x:v>
      </x:c>
      <x:c r="D33" s="13" t="n">
        <x:f>C9-D9</x:f>
        <x:v>3501</x:v>
      </x:c>
      <x:c r="E33" s="13" t="n">
        <x:f>D9-D11</x:f>
        <x:v>3537</x:v>
      </x:c>
      <x:c r="F33" s="13" t="n">
        <x:f>D11</x:f>
        <x:v>16700</x:v>
      </x:c>
      <x:c r="G33" s="13" t="n">
        <x:f>C9-E9</x:f>
        <x:v>3237</x:v>
      </x:c>
      <x:c r="H33" s="13" t="n">
        <x:f>E9-E11</x:f>
        <x:v>2772</x:v>
      </x:c>
      <x:c r="I33" s="13" t="n">
        <x:f>E11</x:f>
        <x:v>17729</x:v>
      </x:c>
      <x:c r="J33" s="13" t="n">
        <x:f>E9-D9</x:f>
        <x:v>264</x:v>
      </x:c>
      <x:c r="K33" s="13" t="n">
        <x:f>E11-D11</x:f>
        <x:v>1029</x:v>
      </x:c>
      <x:c r="L33" s="13" t="n">
        <x:f>MAX(0,J33,K33)</x:f>
        <x:v>1029</x:v>
      </x:c>
      <x:c r="M33" s="13" t="n">
        <x:f>MIN(D33+E33,H33+I33,D33+I33)</x:f>
        <x:v>7038</x:v>
      </x:c>
      <x:c r="N33" s="13" t="n">
        <x:f>MAX(J33,K33)</x:f>
        <x:v>1029</x:v>
      </x:c>
      <x:c r="O33" s="13" t="n">
        <x:f>J33+K33-MAX(0,K33-E33)</x:f>
        <x:v>1293</x:v>
      </x:c>
      <x:c r="P33" s="13" t="n">
        <x:f>C33-SUM(D33:F33)</x:f>
        <x:v>0</x:v>
      </x:c>
      <x:c r="Q33" s="13" t="n">
        <x:f>C33-SUM(G33:I33)</x:f>
        <x:v>0</x:v>
      </x:c>
      <x:c r="R33" s="13" t="n">
        <x:f>SUM(D33:F33)-SUM(G33:I33)</x:f>
        <x:v>0</x:v>
      </x:c>
      <x:c r="S33" s="13" t="str">
        <x:v>状态0／恰1／至少2；增人一次计数</x:v>
      </x:c>
    </x:row>
    <x:row r="34" ht="39" customHeight="1">
      <x:c r="A34" s="13" t="str">
        <x:v>QUA</x:v>
      </x:c>
      <x:c r="B34" s="13" t="str">
        <x:v>6–11y</x:v>
      </x:c>
      <x:c r="C34" s="13" t="n">
        <x:f>C13</x:f>
        <x:v>120872</x:v>
      </x:c>
      <x:c r="D34" s="13" t="n">
        <x:f>C13-D13</x:f>
        <x:v>17624</x:v>
      </x:c>
      <x:c r="E34" s="13" t="n">
        <x:f>D13-D15</x:f>
        <x:v>12287</x:v>
      </x:c>
      <x:c r="F34" s="13" t="n">
        <x:f>D15</x:f>
        <x:v>90961</x:v>
      </x:c>
      <x:c r="G34" s="13" t="n">
        <x:f>C13-E13</x:f>
        <x:v>16897</x:v>
      </x:c>
      <x:c r="H34" s="13" t="n">
        <x:f>E13-E15</x:f>
        <x:v>12138</x:v>
      </x:c>
      <x:c r="I34" s="13" t="n">
        <x:f>E15</x:f>
        <x:v>91837</x:v>
      </x:c>
      <x:c r="J34" s="13" t="n">
        <x:f>E13-D13</x:f>
        <x:v>727</x:v>
      </x:c>
      <x:c r="K34" s="13" t="n">
        <x:f>E15-D15</x:f>
        <x:v>876</x:v>
      </x:c>
      <x:c r="L34" s="13" t="n">
        <x:f>MAX(0,J34,K34)</x:f>
        <x:v>876</x:v>
      </x:c>
      <x:c r="M34" s="13" t="n">
        <x:f>MIN(D34+E34,H34+I34,D34+I34)</x:f>
        <x:v>29911</x:v>
      </x:c>
      <x:c r="N34" s="13" t="n">
        <x:f>MAX(J34,K34)</x:f>
        <x:v>876</x:v>
      </x:c>
      <x:c r="O34" s="13" t="n">
        <x:f>J34+K34-MAX(0,K34-E34)</x:f>
        <x:v>1603</x:v>
      </x:c>
      <x:c r="P34" s="13" t="n">
        <x:f>C34-SUM(D34:F34)</x:f>
        <x:v>0</x:v>
      </x:c>
      <x:c r="Q34" s="13" t="n">
        <x:f>C34-SUM(G34:I34)</x:f>
        <x:v>0</x:v>
      </x:c>
      <x:c r="R34" s="13" t="n">
        <x:f>SUM(D34:F34)-SUM(G34:I34)</x:f>
        <x:v>0</x:v>
      </x:c>
      <x:c r="S34" s="13" t="str">
        <x:v>状态0／恰1／至少2；增人一次计数</x:v>
      </x:c>
    </x:row>
    <x:row r="35" ht="39" customHeight="1">
      <x:c r="A35" s="13" t="str">
        <x:v>QUA</x:v>
      </x:c>
      <x:c r="B35" s="13" t="str">
        <x:v>12–25y</x:v>
      </x:c>
      <x:c r="C35" s="13" t="n">
        <x:f>C17</x:f>
        <x:v>229767</x:v>
      </x:c>
      <x:c r="D35" s="13" t="n">
        <x:f>C17-D17</x:f>
        <x:v>68585</x:v>
      </x:c>
      <x:c r="E35" s="13" t="n">
        <x:f>D17-D19</x:f>
        <x:v>23063</x:v>
      </x:c>
      <x:c r="F35" s="13" t="n">
        <x:f>D19</x:f>
        <x:v>138119</x:v>
      </x:c>
      <x:c r="G35" s="13" t="n">
        <x:f>C17-E17</x:f>
        <x:v>68100</x:v>
      </x:c>
      <x:c r="H35" s="13" t="n">
        <x:f>E17-E19</x:f>
        <x:v>23186</x:v>
      </x:c>
      <x:c r="I35" s="13" t="n">
        <x:f>E19</x:f>
        <x:v>138481</x:v>
      </x:c>
      <x:c r="J35" s="13" t="n">
        <x:f>E17-D17</x:f>
        <x:v>485</x:v>
      </x:c>
      <x:c r="K35" s="13" t="n">
        <x:f>E19-D19</x:f>
        <x:v>362</x:v>
      </x:c>
      <x:c r="L35" s="13" t="n">
        <x:f>MAX(0,J35,K35)</x:f>
        <x:v>485</x:v>
      </x:c>
      <x:c r="M35" s="13" t="n">
        <x:f>MIN(D35+E35,H35+I35,D35+I35)</x:f>
        <x:v>91648</x:v>
      </x:c>
      <x:c r="N35" s="13" t="n">
        <x:f>MAX(J35,K35)</x:f>
        <x:v>485</x:v>
      </x:c>
      <x:c r="O35" s="13" t="n">
        <x:f>J35+K35-MAX(0,K35-E35)</x:f>
        <x:v>847</x:v>
      </x:c>
      <x:c r="P35" s="13" t="n">
        <x:f>C35-SUM(D35:F35)</x:f>
        <x:v>0</x:v>
      </x:c>
      <x:c r="Q35" s="13" t="n">
        <x:f>C35-SUM(G35:I35)</x:f>
        <x:v>0</x:v>
      </x:c>
      <x:c r="R35" s="13" t="n">
        <x:f>SUM(D35:F35)-SUM(G35:I35)</x:f>
        <x:v>0</x:v>
      </x:c>
      <x:c r="S35" s="13" t="str">
        <x:v>状态0／恰1／至少2；增人一次计数</x:v>
      </x:c>
    </x:row>
    <x:row r="36" ht="24" customHeight="1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  <x:c r="Q36" s="12"/>
      <x:c r="R36" s="12"/>
      <x:c r="S36" s="12"/>
    </x:row>
    <x:row r="37" ht="24" customHeight="1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  <x:c r="P37" s="12"/>
      <x:c r="Q37" s="12"/>
      <x:c r="R37" s="12"/>
      <x:c r="S37" s="12"/>
    </x:row>
    <x:row r="38" ht="24" customHeight="1">
      <x:c r="A38" s="12" t="str">
        <x:v>不同人数的互斥组汇总</x:v>
      </x:c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  <x:c r="Q38" s="12"/>
      <x:c r="R38" s="12"/>
      <x:c r="S38" s="12"/>
    </x:row>
    <x:row r="39" ht="24" customHeight="1">
      <x:c r="A39" s="16" t="str">
        <x:v>ICB</x:v>
      </x:c>
      <x:c r="B39" s="16" t="str">
        <x:v>七单元净增量直接相加</x:v>
      </x:c>
      <x:c r="C39" s="16" t="str">
        <x:v>仅边际下界</x:v>
      </x:c>
      <x:c r="D39" s="16" t="str">
        <x:v>仅边际上界</x:v>
      </x:c>
      <x:c r="E39" s="16" t="str">
        <x:v>不下降下界</x:v>
      </x:c>
      <x:c r="F39" s="16" t="str">
        <x:v>不下降上界</x:v>
      </x:c>
      <x:c r="G39" s="16" t="str">
        <x:v>结论</x:v>
      </x:c>
      <x:c r="H39" s="16"/>
      <x:c r="I39" s="16"/>
      <x:c r="J39" s="16"/>
      <x:c r="K39" s="16"/>
      <x:c r="L39" s="16"/>
      <x:c r="M39" s="16"/>
      <x:c r="N39" s="16"/>
      <x:c r="O39" s="16"/>
      <x:c r="P39" s="16"/>
      <x:c r="Q39" s="16"/>
      <x:c r="R39" s="16"/>
      <x:c r="S39" s="16"/>
    </x:row>
    <x:row r="40" ht="54" customHeight="1">
      <x:c r="A40" s="13" t="str">
        <x:v>QHL</x:v>
      </x:c>
      <x:c r="B40" s="13" t="n">
        <x:f>SUMIF(A6:A19,A40,J6:J19)</x:f>
        <x:v>7889</x:v>
      </x:c>
      <x:c r="C40" s="13" t="n">
        <x:f>I24+SUM(L30:L32)</x:f>
        <x:v>5066</x:v>
      </x:c>
      <x:c r="D40" s="13" t="n">
        <x:f>J24+SUM(M30:M32)</x:f>
        <x:v>191829</x:v>
      </x:c>
      <x:c r="E40" s="13" t="n">
        <x:f>K24+SUM(N30:N32)</x:f>
        <x:v>5066</x:v>
      </x:c>
      <x:c r="F40" s="13" t="n">
        <x:f>L24+SUM(O30:O32)</x:f>
        <x:v>7499</x:v>
      </x:c>
      <x:c r="G40" s="13" t="str">
        <x:v>七单元直接相加重复年龄与剂次；互斥组的界限可独立达到后汇总</x:v>
      </x:c>
      <x:c r="H40" s="12"/>
      <x:c r="I40" s="12"/>
      <x:c r="J40" s="12"/>
      <x:c r="K40" s="12"/>
      <x:c r="L40" s="12"/>
      <x:c r="M40" s="12"/>
      <x:c r="N40" s="12"/>
      <x:c r="O40" s="12"/>
      <x:c r="P40" s="12"/>
      <x:c r="Q40" s="12"/>
      <x:c r="R40" s="12"/>
      <x:c r="S40" s="12"/>
    </x:row>
    <x:row r="41" ht="54" customHeight="1">
      <x:c r="A41" s="13" t="str">
        <x:v>QUA</x:v>
      </x:c>
      <x:c r="B41" s="13" t="n">
        <x:f>SUMIF(A6:A19,A41,J6:J19)</x:f>
        <x:v>5161</x:v>
      </x:c>
      <x:c r="C41" s="13" t="n">
        <x:f>I25+SUM(L33:L35)</x:f>
        <x:v>3544</x:v>
      </x:c>
      <x:c r="D41" s="13" t="n">
        <x:f>J25+SUM(M33:M35)</x:f>
        <x:v>134832</x:v>
      </x:c>
      <x:c r="E41" s="13" t="n">
        <x:f>K25+SUM(N33:N35)</x:f>
        <x:v>3544</x:v>
      </x:c>
      <x:c r="F41" s="13" t="n">
        <x:f>L25+SUM(O33:O35)</x:f>
        <x:v>4897</x:v>
      </x:c>
      <x:c r="G41" s="13" t="str">
        <x:v>七单元直接相加重复年龄与剂次；互斥组的界限可独立达到后汇总</x:v>
      </x:c>
      <x:c r="H41" s="12"/>
      <x:c r="I41" s="12"/>
      <x:c r="J41" s="12"/>
      <x:c r="K41" s="12"/>
      <x:c r="L41" s="12"/>
      <x:c r="M41" s="12"/>
      <x:c r="N41" s="12"/>
      <x:c r="O41" s="12"/>
      <x:c r="P41" s="12"/>
      <x:c r="Q41" s="12"/>
      <x:c r="R41" s="12"/>
      <x:c r="S41" s="12"/>
    </x:row>
    <x:row r="42" ht="24" customHeight="1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  <x:c r="Q42" s="12"/>
      <x:c r="R42" s="12"/>
      <x:c r="S42" s="12"/>
    </x:row>
    <x:row r="43" ht="24" customHeight="1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  <x:c r="N43" s="12"/>
      <x:c r="O43" s="12"/>
      <x:c r="P43" s="12"/>
      <x:c r="Q43" s="12"/>
      <x:c r="R43" s="12"/>
      <x:c r="S43" s="12"/>
    </x:row>
    <x:row r="44" ht="24" customHeight="1">
      <x:c r="A44" s="12" t="str">
        <x:v>3y7m–5y达到界限的整数转移构造</x:v>
      </x:c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  <x:c r="O44" s="12"/>
      <x:c r="P44" s="12"/>
      <x:c r="Q44" s="12"/>
      <x:c r="R44" s="12"/>
      <x:c r="S44" s="12"/>
    </x:row>
    <x:row r="45" ht="24" customHeight="1">
      <x:c r="A45" s="16" t="str">
        <x:v>ICB</x:v>
      </x:c>
      <x:c r="B45" s="16" t="str">
        <x:v>情景</x:v>
      </x:c>
      <x:c r="C45" s="16" t="str">
        <x:v>边界</x:v>
      </x:c>
      <x:c r="D45" s="16" t="str">
        <x:v>原状态</x:v>
      </x:c>
      <x:c r="E45" s="16" t="str">
        <x:v>到0剂</x:v>
      </x:c>
      <x:c r="F45" s="16" t="str">
        <x:v>到恰1剂</x:v>
      </x:c>
      <x:c r="G45" s="16" t="str">
        <x:v>到至少2剂</x:v>
      </x:c>
      <x:c r="H45" s="16" t="str">
        <x:v>行合计</x:v>
      </x:c>
      <x:c r="I45" s="16" t="str">
        <x:v>前边际</x:v>
      </x:c>
      <x:c r="J45" s="16" t="str">
        <x:v>行差</x:v>
      </x:c>
      <x:c r="K45" s="16" t="str">
        <x:v>状态提升人数</x:v>
      </x:c>
      <x:c r="L45" s="16" t="str">
        <x:v>目标边界</x:v>
      </x:c>
      <x:c r="M45" s="16"/>
      <x:c r="N45" s="16"/>
      <x:c r="O45" s="16"/>
      <x:c r="P45" s="16"/>
      <x:c r="Q45" s="16"/>
      <x:c r="R45" s="16"/>
      <x:c r="S45" s="16"/>
    </x:row>
    <x:row r="46" ht="24" customHeight="1">
      <x:c r="A46" s="13" t="str">
        <x:v>QHL</x:v>
      </x:c>
      <x:c r="B46" s="13" t="str">
        <x:v>仅边际</x:v>
      </x:c>
      <x:c r="C46" s="13" t="str">
        <x:v>最小</x:v>
      </x:c>
      <x:c r="D46" s="13" t="n">
        <x:v>0</x:v>
      </x:c>
      <x:c r="E46" s="13" t="n">
        <x:v>3205</x:v>
      </x:c>
      <x:c r="F46" s="13" t="n">
        <x:v>0</x:v>
      </x:c>
      <x:c r="G46" s="13" t="n">
        <x:v>1337</x:v>
      </x:c>
      <x:c r="H46" s="13" t="n">
        <x:f>SUM(E46:G46)</x:f>
        <x:v>4542</x:v>
      </x:c>
      <x:c r="I46" s="13" t="n">
        <x:f>D30</x:f>
        <x:v>4542</x:v>
      </x:c>
      <x:c r="J46" s="13" t="n">
        <x:f>H46-I46</x:f>
        <x:v>0</x:v>
      </x:c>
      <x:c r="K46" s="13" t="n">
        <x:f>F46+G46+G47</x:f>
        <x:v>1337</x:v>
      </x:c>
      <x:c r="L46" s="13" t="n">
        <x:f>L30</x:f>
        <x:v>1337</x:v>
      </x:c>
      <x:c r="M46" s="12"/>
      <x:c r="N46" s="12"/>
      <x:c r="O46" s="12"/>
      <x:c r="P46" s="12"/>
      <x:c r="Q46" s="12"/>
      <x:c r="R46" s="12"/>
      <x:c r="S46" s="12"/>
    </x:row>
    <x:row r="47" ht="24" customHeight="1">
      <x:c r="A47" s="13" t="str">
        <x:v>QHL</x:v>
      </x:c>
      <x:c r="B47" s="13" t="str">
        <x:v>仅边际</x:v>
      </x:c>
      <x:c r="C47" s="13" t="str">
        <x:v>最小</x:v>
      </x:c>
      <x:c r="D47" s="13" t="n">
        <x:v>1</x:v>
      </x:c>
      <x:c r="E47" s="13" t="n">
        <x:v>947</x:v>
      </x:c>
      <x:c r="F47" s="13" t="n">
        <x:v>3174</x:v>
      </x:c>
      <x:c r="G47" s="13" t="n">
        <x:v>0</x:v>
      </x:c>
      <x:c r="H47" s="13" t="n">
        <x:f>SUM(E47:G47)</x:f>
        <x:v>4121</x:v>
      </x:c>
      <x:c r="I47" s="13" t="n">
        <x:f>E30</x:f>
        <x:v>4121</x:v>
      </x:c>
      <x:c r="J47" s="13" t="n">
        <x:f>H47-I47</x:f>
        <x:v>0</x:v>
      </x:c>
      <x:c r="K47" s="12"/>
      <x:c r="L47" s="12"/>
      <x:c r="M47" s="12"/>
      <x:c r="N47" s="12"/>
      <x:c r="O47" s="12"/>
      <x:c r="P47" s="12"/>
      <x:c r="Q47" s="12"/>
      <x:c r="R47" s="12"/>
      <x:c r="S47" s="12"/>
    </x:row>
    <x:row r="48" ht="24" customHeight="1">
      <x:c r="A48" s="13" t="str">
        <x:v>QHL</x:v>
      </x:c>
      <x:c r="B48" s="13" t="str">
        <x:v>仅边际</x:v>
      </x:c>
      <x:c r="C48" s="13" t="str">
        <x:v>最小</x:v>
      </x:c>
      <x:c r="D48" s="13" t="n">
        <x:v>2</x:v>
      </x:c>
      <x:c r="E48" s="13" t="n">
        <x:v>0</x:v>
      </x:c>
      <x:c r="F48" s="13" t="n">
        <x:v>0</x:v>
      </x:c>
      <x:c r="G48" s="13" t="n">
        <x:v>19098</x:v>
      </x:c>
      <x:c r="H48" s="13" t="n">
        <x:f>SUM(E48:G48)</x:f>
        <x:v>19098</x:v>
      </x:c>
      <x:c r="I48" s="13" t="n">
        <x:f>F30</x:f>
        <x:v>19098</x:v>
      </x:c>
      <x:c r="J48" s="13" t="n">
        <x:f>H48-I48</x:f>
        <x:v>0</x:v>
      </x:c>
      <x:c r="K48" s="12"/>
      <x:c r="L48" s="12"/>
      <x:c r="M48" s="12"/>
      <x:c r="N48" s="12"/>
      <x:c r="O48" s="12"/>
      <x:c r="P48" s="12"/>
      <x:c r="Q48" s="12"/>
      <x:c r="R48" s="12"/>
      <x:c r="S48" s="12"/>
    </x:row>
    <x:row r="49" ht="24" customHeight="1">
      <x:c r="A49" s="13" t="str">
        <x:v>QHL</x:v>
      </x:c>
      <x:c r="B49" s="13" t="str">
        <x:v>仅边际</x:v>
      </x:c>
      <x:c r="C49" s="13" t="str">
        <x:v>最大</x:v>
      </x:c>
      <x:c r="D49" s="13" t="n">
        <x:v>0</x:v>
      </x:c>
      <x:c r="E49" s="13" t="n">
        <x:v>0</x:v>
      </x:c>
      <x:c r="F49" s="13" t="n">
        <x:v>3174</x:v>
      </x:c>
      <x:c r="G49" s="13" t="n">
        <x:v>1368</x:v>
      </x:c>
      <x:c r="H49" s="13" t="n">
        <x:f>SUM(E49:G49)</x:f>
        <x:v>4542</x:v>
      </x:c>
      <x:c r="I49" s="13" t="n">
        <x:f>D30</x:f>
        <x:v>4542</x:v>
      </x:c>
      <x:c r="J49" s="13" t="n">
        <x:f>H49-I49</x:f>
        <x:v>0</x:v>
      </x:c>
      <x:c r="K49" s="13" t="n">
        <x:f>F49+G49+G50</x:f>
        <x:v>8663</x:v>
      </x:c>
      <x:c r="L49" s="13" t="n">
        <x:f>M30</x:f>
        <x:v>8663</x:v>
      </x:c>
      <x:c r="M49" s="12"/>
      <x:c r="N49" s="12"/>
      <x:c r="O49" s="12"/>
      <x:c r="P49" s="12"/>
      <x:c r="Q49" s="12"/>
      <x:c r="R49" s="12"/>
      <x:c r="S49" s="12"/>
    </x:row>
    <x:row r="50" ht="24" customHeight="1">
      <x:c r="A50" s="13" t="str">
        <x:v>QHL</x:v>
      </x:c>
      <x:c r="B50" s="13" t="str">
        <x:v>仅边际</x:v>
      </x:c>
      <x:c r="C50" s="13" t="str">
        <x:v>最大</x:v>
      </x:c>
      <x:c r="D50" s="13" t="n">
        <x:v>1</x:v>
      </x:c>
      <x:c r="E50" s="13" t="n">
        <x:v>0</x:v>
      </x:c>
      <x:c r="F50" s="13" t="n">
        <x:v>0</x:v>
      </x:c>
      <x:c r="G50" s="13" t="n">
        <x:v>4121</x:v>
      </x:c>
      <x:c r="H50" s="13" t="n">
        <x:f>SUM(E50:G50)</x:f>
        <x:v>4121</x:v>
      </x:c>
      <x:c r="I50" s="13" t="n">
        <x:f>E30</x:f>
        <x:v>4121</x:v>
      </x:c>
      <x:c r="J50" s="13" t="n">
        <x:f>H50-I50</x:f>
        <x:v>0</x:v>
      </x:c>
      <x:c r="K50" s="12"/>
      <x:c r="L50" s="12"/>
      <x:c r="M50" s="12"/>
      <x:c r="N50" s="12"/>
      <x:c r="O50" s="12"/>
      <x:c r="P50" s="12"/>
      <x:c r="Q50" s="12"/>
      <x:c r="R50" s="12"/>
      <x:c r="S50" s="12"/>
    </x:row>
    <x:row r="51" ht="24" customHeight="1">
      <x:c r="A51" s="13" t="str">
        <x:v>QHL</x:v>
      </x:c>
      <x:c r="B51" s="13" t="str">
        <x:v>仅边际</x:v>
      </x:c>
      <x:c r="C51" s="13" t="str">
        <x:v>最大</x:v>
      </x:c>
      <x:c r="D51" s="13" t="n">
        <x:v>2</x:v>
      </x:c>
      <x:c r="E51" s="13" t="n">
        <x:v>4152</x:v>
      </x:c>
      <x:c r="F51" s="13" t="n">
        <x:v>0</x:v>
      </x:c>
      <x:c r="G51" s="13" t="n">
        <x:v>14946</x:v>
      </x:c>
      <x:c r="H51" s="13" t="n">
        <x:f>SUM(E51:G51)</x:f>
        <x:v>19098</x:v>
      </x:c>
      <x:c r="I51" s="13" t="n">
        <x:f>F30</x:f>
        <x:v>19098</x:v>
      </x:c>
      <x:c r="J51" s="13" t="n">
        <x:f>H51-I51</x:f>
        <x:v>0</x:v>
      </x:c>
      <x:c r="K51" s="12"/>
      <x:c r="L51" s="12"/>
      <x:c r="M51" s="12"/>
      <x:c r="N51" s="12"/>
      <x:c r="O51" s="12"/>
      <x:c r="P51" s="12"/>
      <x:c r="Q51" s="12"/>
      <x:c r="R51" s="12"/>
      <x:c r="S51" s="12"/>
    </x:row>
    <x:row r="52" ht="24" customHeight="1">
      <x:c r="A52" s="13" t="str">
        <x:v>QHL</x:v>
      </x:c>
      <x:c r="B52" s="13" t="str">
        <x:v>状态不下降</x:v>
      </x:c>
      <x:c r="C52" s="13" t="str">
        <x:v>最小</x:v>
      </x:c>
      <x:c r="D52" s="13" t="n">
        <x:v>0</x:v>
      </x:c>
      <x:c r="E52" s="13" t="n">
        <x:v>4152</x:v>
      </x:c>
      <x:c r="F52" s="13" t="n">
        <x:v>0</x:v>
      </x:c>
      <x:c r="G52" s="13" t="n">
        <x:v>390</x:v>
      </x:c>
      <x:c r="H52" s="13" t="n">
        <x:f>SUM(E52:G52)</x:f>
        <x:v>4542</x:v>
      </x:c>
      <x:c r="I52" s="13" t="n">
        <x:f>D30</x:f>
        <x:v>4542</x:v>
      </x:c>
      <x:c r="J52" s="13" t="n">
        <x:f>H52-I52</x:f>
        <x:v>0</x:v>
      </x:c>
      <x:c r="K52" s="13" t="n">
        <x:f>F52+G52+G53</x:f>
        <x:v>1337</x:v>
      </x:c>
      <x:c r="L52" s="13" t="n">
        <x:f>N30</x:f>
        <x:v>1337</x:v>
      </x:c>
      <x:c r="M52" s="12"/>
      <x:c r="N52" s="12"/>
      <x:c r="O52" s="12"/>
      <x:c r="P52" s="12"/>
      <x:c r="Q52" s="12"/>
      <x:c r="R52" s="12"/>
      <x:c r="S52" s="12"/>
    </x:row>
    <x:row r="53" ht="24" customHeight="1">
      <x:c r="A53" s="13" t="str">
        <x:v>QHL</x:v>
      </x:c>
      <x:c r="B53" s="13" t="str">
        <x:v>状态不下降</x:v>
      </x:c>
      <x:c r="C53" s="13" t="str">
        <x:v>最小</x:v>
      </x:c>
      <x:c r="D53" s="13" t="n">
        <x:v>1</x:v>
      </x:c>
      <x:c r="E53" s="13" t="n">
        <x:v>0</x:v>
      </x:c>
      <x:c r="F53" s="13" t="n">
        <x:v>3174</x:v>
      </x:c>
      <x:c r="G53" s="13" t="n">
        <x:v>947</x:v>
      </x:c>
      <x:c r="H53" s="13" t="n">
        <x:f>SUM(E53:G53)</x:f>
        <x:v>4121</x:v>
      </x:c>
      <x:c r="I53" s="13" t="n">
        <x:f>E30</x:f>
        <x:v>4121</x:v>
      </x:c>
      <x:c r="J53" s="13" t="n">
        <x:f>H53-I53</x:f>
        <x:v>0</x:v>
      </x:c>
      <x:c r="K53" s="12"/>
      <x:c r="L53" s="12"/>
      <x:c r="M53" s="12"/>
      <x:c r="N53" s="12"/>
      <x:c r="O53" s="12"/>
      <x:c r="P53" s="12"/>
      <x:c r="Q53" s="12"/>
      <x:c r="R53" s="12"/>
      <x:c r="S53" s="12"/>
    </x:row>
    <x:row r="54" ht="24" customHeight="1">
      <x:c r="A54" s="13" t="str">
        <x:v>QHL</x:v>
      </x:c>
      <x:c r="B54" s="13" t="str">
        <x:v>状态不下降</x:v>
      </x:c>
      <x:c r="C54" s="13" t="str">
        <x:v>最小</x:v>
      </x:c>
      <x:c r="D54" s="13" t="n">
        <x:v>2</x:v>
      </x:c>
      <x:c r="E54" s="13" t="n">
        <x:v>0</x:v>
      </x:c>
      <x:c r="F54" s="13" t="n">
        <x:v>0</x:v>
      </x:c>
      <x:c r="G54" s="13" t="n">
        <x:v>19098</x:v>
      </x:c>
      <x:c r="H54" s="13" t="n">
        <x:f>SUM(E54:G54)</x:f>
        <x:v>19098</x:v>
      </x:c>
      <x:c r="I54" s="13" t="n">
        <x:f>F30</x:f>
        <x:v>19098</x:v>
      </x:c>
      <x:c r="J54" s="13" t="n">
        <x:f>H54-I54</x:f>
        <x:v>0</x:v>
      </x:c>
      <x:c r="K54" s="12"/>
      <x:c r="L54" s="12"/>
      <x:c r="M54" s="12"/>
      <x:c r="N54" s="12"/>
      <x:c r="O54" s="12"/>
      <x:c r="P54" s="12"/>
      <x:c r="Q54" s="12"/>
      <x:c r="R54" s="12"/>
      <x:c r="S54" s="12"/>
    </x:row>
    <x:row r="55" ht="24" customHeight="1">
      <x:c r="A55" s="13" t="str">
        <x:v>QHL</x:v>
      </x:c>
      <x:c r="B55" s="13" t="str">
        <x:v>状态不下降</x:v>
      </x:c>
      <x:c r="C55" s="13" t="str">
        <x:v>最大</x:v>
      </x:c>
      <x:c r="D55" s="13" t="n">
        <x:v>0</x:v>
      </x:c>
      <x:c r="E55" s="13" t="n">
        <x:v>4152</x:v>
      </x:c>
      <x:c r="F55" s="13" t="n">
        <x:v>390</x:v>
      </x:c>
      <x:c r="G55" s="13" t="n">
        <x:v>0</x:v>
      </x:c>
      <x:c r="H55" s="13" t="n">
        <x:f>SUM(E55:G55)</x:f>
        <x:v>4542</x:v>
      </x:c>
      <x:c r="I55" s="13" t="n">
        <x:f>D30</x:f>
        <x:v>4542</x:v>
      </x:c>
      <x:c r="J55" s="13" t="n">
        <x:f>H55-I55</x:f>
        <x:v>0</x:v>
      </x:c>
      <x:c r="K55" s="13" t="n">
        <x:f>F55+G55+G56</x:f>
        <x:v>1727</x:v>
      </x:c>
      <x:c r="L55" s="13" t="n">
        <x:f>O30</x:f>
        <x:v>1727</x:v>
      </x:c>
      <x:c r="M55" s="12"/>
      <x:c r="N55" s="12"/>
      <x:c r="O55" s="12"/>
      <x:c r="P55" s="12"/>
      <x:c r="Q55" s="12"/>
      <x:c r="R55" s="12"/>
      <x:c r="S55" s="12"/>
    </x:row>
    <x:row r="56" ht="24" customHeight="1">
      <x:c r="A56" s="13" t="str">
        <x:v>QHL</x:v>
      </x:c>
      <x:c r="B56" s="13" t="str">
        <x:v>状态不下降</x:v>
      </x:c>
      <x:c r="C56" s="13" t="str">
        <x:v>最大</x:v>
      </x:c>
      <x:c r="D56" s="13" t="n">
        <x:v>1</x:v>
      </x:c>
      <x:c r="E56" s="13" t="n">
        <x:v>0</x:v>
      </x:c>
      <x:c r="F56" s="13" t="n">
        <x:v>2784</x:v>
      </x:c>
      <x:c r="G56" s="13" t="n">
        <x:v>1337</x:v>
      </x:c>
      <x:c r="H56" s="13" t="n">
        <x:f>SUM(E56:G56)</x:f>
        <x:v>4121</x:v>
      </x:c>
      <x:c r="I56" s="13" t="n">
        <x:f>E30</x:f>
        <x:v>4121</x:v>
      </x:c>
      <x:c r="J56" s="13" t="n">
        <x:f>H56-I56</x:f>
        <x:v>0</x:v>
      </x:c>
      <x:c r="K56" s="12"/>
      <x:c r="L56" s="12"/>
      <x:c r="M56" s="12"/>
      <x:c r="N56" s="12"/>
      <x:c r="O56" s="12"/>
      <x:c r="P56" s="12"/>
      <x:c r="Q56" s="12"/>
      <x:c r="R56" s="12"/>
      <x:c r="S56" s="12"/>
    </x:row>
    <x:row r="57" ht="24" customHeight="1">
      <x:c r="A57" s="13" t="str">
        <x:v>QHL</x:v>
      </x:c>
      <x:c r="B57" s="13" t="str">
        <x:v>状态不下降</x:v>
      </x:c>
      <x:c r="C57" s="13" t="str">
        <x:v>最大</x:v>
      </x:c>
      <x:c r="D57" s="13" t="n">
        <x:v>2</x:v>
      </x:c>
      <x:c r="E57" s="13" t="n">
        <x:v>0</x:v>
      </x:c>
      <x:c r="F57" s="13" t="n">
        <x:v>0</x:v>
      </x:c>
      <x:c r="G57" s="13" t="n">
        <x:v>19098</x:v>
      </x:c>
      <x:c r="H57" s="13" t="n">
        <x:f>SUM(E57:G57)</x:f>
        <x:v>19098</x:v>
      </x:c>
      <x:c r="I57" s="13" t="n">
        <x:f>F30</x:f>
        <x:v>19098</x:v>
      </x:c>
      <x:c r="J57" s="13" t="n">
        <x:f>H57-I57</x:f>
        <x:v>0</x:v>
      </x:c>
      <x:c r="K57" s="12"/>
      <x:c r="L57" s="12"/>
      <x:c r="M57" s="12"/>
      <x:c r="N57" s="12"/>
      <x:c r="O57" s="12"/>
      <x:c r="P57" s="12"/>
      <x:c r="Q57" s="12"/>
      <x:c r="R57" s="12"/>
      <x:c r="S57" s="12"/>
    </x:row>
    <x:row r="58" ht="24" customHeight="1">
      <x:c r="A58" s="13" t="str">
        <x:v>QUA</x:v>
      </x:c>
      <x:c r="B58" s="13" t="str">
        <x:v>仅边际</x:v>
      </x:c>
      <x:c r="C58" s="13" t="str">
        <x:v>最小</x:v>
      </x:c>
      <x:c r="D58" s="13" t="n">
        <x:v>0</x:v>
      </x:c>
      <x:c r="E58" s="13" t="n">
        <x:v>2472</x:v>
      </x:c>
      <x:c r="F58" s="13" t="n">
        <x:v>0</x:v>
      </x:c>
      <x:c r="G58" s="13" t="n">
        <x:v>1029</x:v>
      </x:c>
      <x:c r="H58" s="13" t="n">
        <x:f>SUM(E58:G58)</x:f>
        <x:v>3501</x:v>
      </x:c>
      <x:c r="I58" s="13" t="n">
        <x:f>D33</x:f>
        <x:v>3501</x:v>
      </x:c>
      <x:c r="J58" s="13" t="n">
        <x:f>H58-I58</x:f>
        <x:v>0</x:v>
      </x:c>
      <x:c r="K58" s="13" t="n">
        <x:f>F58+G58+G59</x:f>
        <x:v>1029</x:v>
      </x:c>
      <x:c r="L58" s="13" t="n">
        <x:f>L33</x:f>
        <x:v>1029</x:v>
      </x:c>
      <x:c r="M58" s="12"/>
      <x:c r="N58" s="12"/>
      <x:c r="O58" s="12"/>
      <x:c r="P58" s="12"/>
      <x:c r="Q58" s="12"/>
      <x:c r="R58" s="12"/>
      <x:c r="S58" s="12"/>
    </x:row>
    <x:row r="59" ht="24" customHeight="1">
      <x:c r="A59" s="13" t="str">
        <x:v>QUA</x:v>
      </x:c>
      <x:c r="B59" s="13" t="str">
        <x:v>仅边际</x:v>
      </x:c>
      <x:c r="C59" s="13" t="str">
        <x:v>最小</x:v>
      </x:c>
      <x:c r="D59" s="13" t="n">
        <x:v>1</x:v>
      </x:c>
      <x:c r="E59" s="13" t="n">
        <x:v>765</x:v>
      </x:c>
      <x:c r="F59" s="13" t="n">
        <x:v>2772</x:v>
      </x:c>
      <x:c r="G59" s="13" t="n">
        <x:v>0</x:v>
      </x:c>
      <x:c r="H59" s="13" t="n">
        <x:f>SUM(E59:G59)</x:f>
        <x:v>3537</x:v>
      </x:c>
      <x:c r="I59" s="13" t="n">
        <x:f>E33</x:f>
        <x:v>3537</x:v>
      </x:c>
      <x:c r="J59" s="13" t="n">
        <x:f>H59-I59</x:f>
        <x:v>0</x:v>
      </x:c>
      <x:c r="K59" s="12"/>
      <x:c r="L59" s="12"/>
      <x:c r="M59" s="12"/>
      <x:c r="N59" s="12"/>
      <x:c r="O59" s="12"/>
      <x:c r="P59" s="12"/>
      <x:c r="Q59" s="12"/>
      <x:c r="R59" s="12"/>
      <x:c r="S59" s="12"/>
    </x:row>
    <x:row r="60" ht="24" customHeight="1">
      <x:c r="A60" s="13" t="str">
        <x:v>QUA</x:v>
      </x:c>
      <x:c r="B60" s="13" t="str">
        <x:v>仅边际</x:v>
      </x:c>
      <x:c r="C60" s="13" t="str">
        <x:v>最小</x:v>
      </x:c>
      <x:c r="D60" s="13" t="n">
        <x:v>2</x:v>
      </x:c>
      <x:c r="E60" s="13" t="n">
        <x:v>0</x:v>
      </x:c>
      <x:c r="F60" s="13" t="n">
        <x:v>0</x:v>
      </x:c>
      <x:c r="G60" s="13" t="n">
        <x:v>16700</x:v>
      </x:c>
      <x:c r="H60" s="13" t="n">
        <x:f>SUM(E60:G60)</x:f>
        <x:v>16700</x:v>
      </x:c>
      <x:c r="I60" s="13" t="n">
        <x:f>F33</x:f>
        <x:v>16700</x:v>
      </x:c>
      <x:c r="J60" s="13" t="n">
        <x:f>H60-I60</x:f>
        <x:v>0</x:v>
      </x:c>
      <x:c r="K60" s="12"/>
      <x:c r="L60" s="12"/>
      <x:c r="M60" s="12"/>
      <x:c r="N60" s="12"/>
      <x:c r="O60" s="12"/>
      <x:c r="P60" s="12"/>
      <x:c r="Q60" s="12"/>
      <x:c r="R60" s="12"/>
      <x:c r="S60" s="12"/>
    </x:row>
    <x:row r="61" ht="24" customHeight="1">
      <x:c r="A61" s="13" t="str">
        <x:v>QUA</x:v>
      </x:c>
      <x:c r="B61" s="13" t="str">
        <x:v>仅边际</x:v>
      </x:c>
      <x:c r="C61" s="13" t="str">
        <x:v>最大</x:v>
      </x:c>
      <x:c r="D61" s="13" t="n">
        <x:v>0</x:v>
      </x:c>
      <x:c r="E61" s="13" t="n">
        <x:v>0</x:v>
      </x:c>
      <x:c r="F61" s="13" t="n">
        <x:v>2772</x:v>
      </x:c>
      <x:c r="G61" s="13" t="n">
        <x:v>729</x:v>
      </x:c>
      <x:c r="H61" s="13" t="n">
        <x:f>SUM(E61:G61)</x:f>
        <x:v>3501</x:v>
      </x:c>
      <x:c r="I61" s="13" t="n">
        <x:f>D33</x:f>
        <x:v>3501</x:v>
      </x:c>
      <x:c r="J61" s="13" t="n">
        <x:f>H61-I61</x:f>
        <x:v>0</x:v>
      </x:c>
      <x:c r="K61" s="13" t="n">
        <x:f>F61+G61+G62</x:f>
        <x:v>7038</x:v>
      </x:c>
      <x:c r="L61" s="13" t="n">
        <x:f>M33</x:f>
        <x:v>7038</x:v>
      </x:c>
      <x:c r="M61" s="12"/>
      <x:c r="N61" s="12"/>
      <x:c r="O61" s="12"/>
      <x:c r="P61" s="12"/>
      <x:c r="Q61" s="12"/>
      <x:c r="R61" s="12"/>
      <x:c r="S61" s="12"/>
    </x:row>
    <x:row r="62" ht="24" customHeight="1">
      <x:c r="A62" s="13" t="str">
        <x:v>QUA</x:v>
      </x:c>
      <x:c r="B62" s="13" t="str">
        <x:v>仅边际</x:v>
      </x:c>
      <x:c r="C62" s="13" t="str">
        <x:v>最大</x:v>
      </x:c>
      <x:c r="D62" s="13" t="n">
        <x:v>1</x:v>
      </x:c>
      <x:c r="E62" s="13" t="n">
        <x:v>0</x:v>
      </x:c>
      <x:c r="F62" s="13" t="n">
        <x:v>0</x:v>
      </x:c>
      <x:c r="G62" s="13" t="n">
        <x:v>3537</x:v>
      </x:c>
      <x:c r="H62" s="13" t="n">
        <x:f>SUM(E62:G62)</x:f>
        <x:v>3537</x:v>
      </x:c>
      <x:c r="I62" s="13" t="n">
        <x:f>E33</x:f>
        <x:v>3537</x:v>
      </x:c>
      <x:c r="J62" s="13" t="n">
        <x:f>H62-I62</x:f>
        <x:v>0</x:v>
      </x:c>
      <x:c r="K62" s="12"/>
      <x:c r="L62" s="12"/>
      <x:c r="M62" s="12"/>
      <x:c r="N62" s="12"/>
      <x:c r="O62" s="12"/>
      <x:c r="P62" s="12"/>
      <x:c r="Q62" s="12"/>
      <x:c r="R62" s="12"/>
      <x:c r="S62" s="12"/>
    </x:row>
    <x:row r="63" ht="24" customHeight="1">
      <x:c r="A63" s="13" t="str">
        <x:v>QUA</x:v>
      </x:c>
      <x:c r="B63" s="13" t="str">
        <x:v>仅边际</x:v>
      </x:c>
      <x:c r="C63" s="13" t="str">
        <x:v>最大</x:v>
      </x:c>
      <x:c r="D63" s="13" t="n">
        <x:v>2</x:v>
      </x:c>
      <x:c r="E63" s="13" t="n">
        <x:v>3237</x:v>
      </x:c>
      <x:c r="F63" s="13" t="n">
        <x:v>0</x:v>
      </x:c>
      <x:c r="G63" s="13" t="n">
        <x:v>13463</x:v>
      </x:c>
      <x:c r="H63" s="13" t="n">
        <x:f>SUM(E63:G63)</x:f>
        <x:v>16700</x:v>
      </x:c>
      <x:c r="I63" s="13" t="n">
        <x:f>F33</x:f>
        <x:v>16700</x:v>
      </x:c>
      <x:c r="J63" s="13" t="n">
        <x:f>H63-I63</x:f>
        <x:v>0</x:v>
      </x:c>
      <x:c r="K63" s="12"/>
      <x:c r="L63" s="12"/>
      <x:c r="M63" s="12"/>
      <x:c r="N63" s="12"/>
      <x:c r="O63" s="12"/>
      <x:c r="P63" s="12"/>
      <x:c r="Q63" s="12"/>
      <x:c r="R63" s="12"/>
      <x:c r="S63" s="12"/>
    </x:row>
    <x:row r="64" ht="24" customHeight="1">
      <x:c r="A64" s="13" t="str">
        <x:v>QUA</x:v>
      </x:c>
      <x:c r="B64" s="13" t="str">
        <x:v>状态不下降</x:v>
      </x:c>
      <x:c r="C64" s="13" t="str">
        <x:v>最小</x:v>
      </x:c>
      <x:c r="D64" s="13" t="n">
        <x:v>0</x:v>
      </x:c>
      <x:c r="E64" s="13" t="n">
        <x:v>3237</x:v>
      </x:c>
      <x:c r="F64" s="13" t="n">
        <x:v>0</x:v>
      </x:c>
      <x:c r="G64" s="13" t="n">
        <x:v>264</x:v>
      </x:c>
      <x:c r="H64" s="13" t="n">
        <x:f>SUM(E64:G64)</x:f>
        <x:v>3501</x:v>
      </x:c>
      <x:c r="I64" s="13" t="n">
        <x:f>D33</x:f>
        <x:v>3501</x:v>
      </x:c>
      <x:c r="J64" s="13" t="n">
        <x:f>H64-I64</x:f>
        <x:v>0</x:v>
      </x:c>
      <x:c r="K64" s="13" t="n">
        <x:f>F64+G64+G65</x:f>
        <x:v>1029</x:v>
      </x:c>
      <x:c r="L64" s="13" t="n">
        <x:f>N33</x:f>
        <x:v>1029</x:v>
      </x:c>
      <x:c r="M64" s="12"/>
      <x:c r="N64" s="12"/>
      <x:c r="O64" s="12"/>
      <x:c r="P64" s="12"/>
      <x:c r="Q64" s="12"/>
      <x:c r="R64" s="12"/>
      <x:c r="S64" s="12"/>
    </x:row>
    <x:row r="65" ht="24" customHeight="1">
      <x:c r="A65" s="13" t="str">
        <x:v>QUA</x:v>
      </x:c>
      <x:c r="B65" s="13" t="str">
        <x:v>状态不下降</x:v>
      </x:c>
      <x:c r="C65" s="13" t="str">
        <x:v>最小</x:v>
      </x:c>
      <x:c r="D65" s="13" t="n">
        <x:v>1</x:v>
      </x:c>
      <x:c r="E65" s="13" t="n">
        <x:v>0</x:v>
      </x:c>
      <x:c r="F65" s="13" t="n">
        <x:v>2772</x:v>
      </x:c>
      <x:c r="G65" s="13" t="n">
        <x:v>765</x:v>
      </x:c>
      <x:c r="H65" s="13" t="n">
        <x:f>SUM(E65:G65)</x:f>
        <x:v>3537</x:v>
      </x:c>
      <x:c r="I65" s="13" t="n">
        <x:f>E33</x:f>
        <x:v>3537</x:v>
      </x:c>
      <x:c r="J65" s="13" t="n">
        <x:f>H65-I65</x:f>
        <x:v>0</x:v>
      </x:c>
      <x:c r="K65" s="12"/>
      <x:c r="L65" s="12"/>
      <x:c r="M65" s="12"/>
      <x:c r="N65" s="12"/>
      <x:c r="O65" s="12"/>
      <x:c r="P65" s="12"/>
      <x:c r="Q65" s="12"/>
      <x:c r="R65" s="12"/>
      <x:c r="S65" s="12"/>
    </x:row>
    <x:row r="66" ht="24" customHeight="1">
      <x:c r="A66" s="13" t="str">
        <x:v>QUA</x:v>
      </x:c>
      <x:c r="B66" s="13" t="str">
        <x:v>状态不下降</x:v>
      </x:c>
      <x:c r="C66" s="13" t="str">
        <x:v>最小</x:v>
      </x:c>
      <x:c r="D66" s="13" t="n">
        <x:v>2</x:v>
      </x:c>
      <x:c r="E66" s="13" t="n">
        <x:v>0</x:v>
      </x:c>
      <x:c r="F66" s="13" t="n">
        <x:v>0</x:v>
      </x:c>
      <x:c r="G66" s="13" t="n">
        <x:v>16700</x:v>
      </x:c>
      <x:c r="H66" s="13" t="n">
        <x:f>SUM(E66:G66)</x:f>
        <x:v>16700</x:v>
      </x:c>
      <x:c r="I66" s="13" t="n">
        <x:f>F33</x:f>
        <x:v>16700</x:v>
      </x:c>
      <x:c r="J66" s="13" t="n">
        <x:f>H66-I66</x:f>
        <x:v>0</x:v>
      </x:c>
      <x:c r="K66" s="12"/>
      <x:c r="L66" s="12"/>
      <x:c r="M66" s="12"/>
      <x:c r="N66" s="12"/>
      <x:c r="O66" s="12"/>
      <x:c r="P66" s="12"/>
      <x:c r="Q66" s="12"/>
      <x:c r="R66" s="12"/>
      <x:c r="S66" s="12"/>
    </x:row>
    <x:row r="67" ht="24" customHeight="1">
      <x:c r="A67" s="13" t="str">
        <x:v>QUA</x:v>
      </x:c>
      <x:c r="B67" s="13" t="str">
        <x:v>状态不下降</x:v>
      </x:c>
      <x:c r="C67" s="13" t="str">
        <x:v>最大</x:v>
      </x:c>
      <x:c r="D67" s="13" t="n">
        <x:v>0</x:v>
      </x:c>
      <x:c r="E67" s="13" t="n">
        <x:v>3237</x:v>
      </x:c>
      <x:c r="F67" s="13" t="n">
        <x:v>264</x:v>
      </x:c>
      <x:c r="G67" s="13" t="n">
        <x:v>0</x:v>
      </x:c>
      <x:c r="H67" s="13" t="n">
        <x:f>SUM(E67:G67)</x:f>
        <x:v>3501</x:v>
      </x:c>
      <x:c r="I67" s="13" t="n">
        <x:f>D33</x:f>
        <x:v>3501</x:v>
      </x:c>
      <x:c r="J67" s="13" t="n">
        <x:f>H67-I67</x:f>
        <x:v>0</x:v>
      </x:c>
      <x:c r="K67" s="13" t="n">
        <x:f>F67+G67+G68</x:f>
        <x:v>1293</x:v>
      </x:c>
      <x:c r="L67" s="13" t="n">
        <x:f>O33</x:f>
        <x:v>1293</x:v>
      </x:c>
      <x:c r="M67" s="12"/>
      <x:c r="N67" s="12"/>
      <x:c r="O67" s="12"/>
      <x:c r="P67" s="12"/>
      <x:c r="Q67" s="12"/>
      <x:c r="R67" s="12"/>
      <x:c r="S67" s="12"/>
    </x:row>
    <x:row r="68" ht="24" customHeight="1">
      <x:c r="A68" s="13" t="str">
        <x:v>QUA</x:v>
      </x:c>
      <x:c r="B68" s="13" t="str">
        <x:v>状态不下降</x:v>
      </x:c>
      <x:c r="C68" s="13" t="str">
        <x:v>最大</x:v>
      </x:c>
      <x:c r="D68" s="13" t="n">
        <x:v>1</x:v>
      </x:c>
      <x:c r="E68" s="13" t="n">
        <x:v>0</x:v>
      </x:c>
      <x:c r="F68" s="13" t="n">
        <x:v>2508</x:v>
      </x:c>
      <x:c r="G68" s="13" t="n">
        <x:v>1029</x:v>
      </x:c>
      <x:c r="H68" s="13" t="n">
        <x:f>SUM(E68:G68)</x:f>
        <x:v>3537</x:v>
      </x:c>
      <x:c r="I68" s="13" t="n">
        <x:f>E33</x:f>
        <x:v>3537</x:v>
      </x:c>
      <x:c r="J68" s="13" t="n">
        <x:f>H68-I68</x:f>
        <x:v>0</x:v>
      </x:c>
      <x:c r="K68" s="12"/>
      <x:c r="L68" s="12"/>
      <x:c r="M68" s="12"/>
      <x:c r="N68" s="12"/>
      <x:c r="O68" s="12"/>
      <x:c r="P68" s="12"/>
      <x:c r="Q68" s="12"/>
      <x:c r="R68" s="12"/>
      <x:c r="S68" s="12"/>
    </x:row>
    <x:row r="69" ht="24" customHeight="1">
      <x:c r="A69" s="13" t="str">
        <x:v>QUA</x:v>
      </x:c>
      <x:c r="B69" s="13" t="str">
        <x:v>状态不下降</x:v>
      </x:c>
      <x:c r="C69" s="13" t="str">
        <x:v>最大</x:v>
      </x:c>
      <x:c r="D69" s="13" t="n">
        <x:v>2</x:v>
      </x:c>
      <x:c r="E69" s="13" t="n">
        <x:v>0</x:v>
      </x:c>
      <x:c r="F69" s="13" t="n">
        <x:v>0</x:v>
      </x:c>
      <x:c r="G69" s="13" t="n">
        <x:v>16700</x:v>
      </x:c>
      <x:c r="H69" s="13" t="n">
        <x:f>SUM(E69:G69)</x:f>
        <x:v>16700</x:v>
      </x:c>
      <x:c r="I69" s="13" t="n">
        <x:f>F33</x:f>
        <x:v>16700</x:v>
      </x:c>
      <x:c r="J69" s="13" t="n">
        <x:f>H69-I69</x:f>
        <x:v>0</x:v>
      </x:c>
      <x:c r="K69" s="12"/>
      <x:c r="L69" s="12"/>
      <x:c r="M69" s="12"/>
      <x:c r="N69" s="12"/>
      <x:c r="O69" s="12"/>
      <x:c r="P69" s="12"/>
      <x:c r="Q69" s="12"/>
      <x:c r="R69" s="12"/>
      <x:c r="S69" s="12"/>
    </x:row>
    <x:row r="70" ht="24" customHeight="1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  <x:c r="M70" s="12"/>
      <x:c r="N70" s="12"/>
      <x:c r="O70" s="12"/>
      <x:c r="P70" s="12"/>
      <x:c r="Q70" s="12"/>
      <x:c r="R70" s="12"/>
      <x:c r="S70" s="12"/>
    </x:row>
    <x:row r="71" ht="24" customHeight="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  <x:c r="M71" s="12"/>
      <x:c r="N71" s="12"/>
      <x:c r="O71" s="12"/>
      <x:c r="P71" s="12"/>
      <x:c r="Q71" s="12"/>
      <x:c r="R71" s="12"/>
      <x:c r="S71" s="12"/>
    </x:row>
    <x:row r="72" ht="24" customHeight="1">
      <x:c r="A72" s="12" t="str">
        <x:v>整数转移构造的列边际核对</x:v>
      </x:c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  <x:c r="M72" s="12"/>
      <x:c r="N72" s="12"/>
      <x:c r="O72" s="12"/>
      <x:c r="P72" s="12"/>
      <x:c r="Q72" s="12"/>
      <x:c r="R72" s="12"/>
      <x:c r="S72" s="12"/>
    </x:row>
    <x:row r="73" ht="24" customHeight="1">
      <x:c r="A73" s="16" t="str">
        <x:v>ICB</x:v>
      </x:c>
      <x:c r="B73" s="16" t="str">
        <x:v>情景</x:v>
      </x:c>
      <x:c r="C73" s="16" t="str">
        <x:v>边界</x:v>
      </x:c>
      <x:c r="D73" s="16" t="str">
        <x:v>后状态</x:v>
      </x:c>
      <x:c r="E73" s="16" t="str">
        <x:v>列合计</x:v>
      </x:c>
      <x:c r="F73" s="16" t="str">
        <x:v>后边际</x:v>
      </x:c>
      <x:c r="G73" s="16" t="str">
        <x:v>列差</x:v>
      </x:c>
      <x:c r="H73" s="16"/>
      <x:c r="I73" s="16"/>
      <x:c r="J73" s="16"/>
      <x:c r="K73" s="16"/>
      <x:c r="L73" s="16"/>
      <x:c r="M73" s="16"/>
      <x:c r="N73" s="16"/>
      <x:c r="O73" s="16"/>
      <x:c r="P73" s="16"/>
      <x:c r="Q73" s="16"/>
      <x:c r="R73" s="16"/>
      <x:c r="S73" s="16"/>
    </x:row>
    <x:row r="74" ht="24" customHeight="1">
      <x:c r="A74" s="13" t="str">
        <x:v>QHL</x:v>
      </x:c>
      <x:c r="B74" s="13" t="str">
        <x:v>仅边际</x:v>
      </x:c>
      <x:c r="C74" s="13" t="str">
        <x:v>最小</x:v>
      </x:c>
      <x:c r="D74" s="13" t="n">
        <x:v>0</x:v>
      </x:c>
      <x:c r="E74" s="13" t="n">
        <x:f>SUM(E46:E48)</x:f>
        <x:v>4152</x:v>
      </x:c>
      <x:c r="F74" s="13" t="n">
        <x:f>G30</x:f>
        <x:v>4152</x:v>
      </x:c>
      <x:c r="G74" s="13" t="n">
        <x:f>E74-F74</x:f>
        <x:v>0</x:v>
      </x:c>
      <x:c r="H74" s="12"/>
      <x:c r="I74" s="12"/>
      <x:c r="J74" s="12"/>
      <x:c r="K74" s="12"/>
      <x:c r="L74" s="12"/>
      <x:c r="M74" s="12"/>
      <x:c r="N74" s="12"/>
      <x:c r="O74" s="12"/>
      <x:c r="P74" s="12"/>
      <x:c r="Q74" s="12"/>
      <x:c r="R74" s="12"/>
      <x:c r="S74" s="12"/>
    </x:row>
    <x:row r="75" ht="24" customHeight="1">
      <x:c r="A75" s="13" t="str">
        <x:v>QHL</x:v>
      </x:c>
      <x:c r="B75" s="13" t="str">
        <x:v>仅边际</x:v>
      </x:c>
      <x:c r="C75" s="13" t="str">
        <x:v>最小</x:v>
      </x:c>
      <x:c r="D75" s="13" t="n">
        <x:v>1</x:v>
      </x:c>
      <x:c r="E75" s="13" t="n">
        <x:f>SUM(F46:F48)</x:f>
        <x:v>3174</x:v>
      </x:c>
      <x:c r="F75" s="13" t="n">
        <x:f>H30</x:f>
        <x:v>3174</x:v>
      </x:c>
      <x:c r="G75" s="13" t="n">
        <x:f>E75-F75</x:f>
        <x:v>0</x:v>
      </x:c>
      <x:c r="H75" s="12"/>
      <x:c r="I75" s="12"/>
      <x:c r="J75" s="12"/>
      <x:c r="K75" s="12"/>
      <x:c r="L75" s="12"/>
      <x:c r="M75" s="12"/>
      <x:c r="N75" s="12"/>
      <x:c r="O75" s="12"/>
      <x:c r="P75" s="12"/>
      <x:c r="Q75" s="12"/>
      <x:c r="R75" s="12"/>
      <x:c r="S75" s="12"/>
    </x:row>
    <x:row r="76" ht="24" customHeight="1">
      <x:c r="A76" s="13" t="str">
        <x:v>QHL</x:v>
      </x:c>
      <x:c r="B76" s="13" t="str">
        <x:v>仅边际</x:v>
      </x:c>
      <x:c r="C76" s="13" t="str">
        <x:v>最小</x:v>
      </x:c>
      <x:c r="D76" s="13" t="n">
        <x:v>2</x:v>
      </x:c>
      <x:c r="E76" s="13" t="n">
        <x:f>SUM(G46:G48)</x:f>
        <x:v>20435</x:v>
      </x:c>
      <x:c r="F76" s="13" t="n">
        <x:f>I30</x:f>
        <x:v>20435</x:v>
      </x:c>
      <x:c r="G76" s="13" t="n">
        <x:f>E76-F76</x:f>
        <x:v>0</x:v>
      </x:c>
      <x:c r="H76" s="12"/>
      <x:c r="I76" s="12"/>
      <x:c r="J76" s="12"/>
      <x:c r="K76" s="12"/>
      <x:c r="L76" s="12"/>
      <x:c r="M76" s="12"/>
      <x:c r="N76" s="12"/>
      <x:c r="O76" s="12"/>
      <x:c r="P76" s="12"/>
      <x:c r="Q76" s="12"/>
      <x:c r="R76" s="12"/>
      <x:c r="S76" s="12"/>
    </x:row>
    <x:row r="77" ht="24" customHeight="1">
      <x:c r="A77" s="13" t="str">
        <x:v>QHL</x:v>
      </x:c>
      <x:c r="B77" s="13" t="str">
        <x:v>仅边际</x:v>
      </x:c>
      <x:c r="C77" s="13" t="str">
        <x:v>最大</x:v>
      </x:c>
      <x:c r="D77" s="13" t="n">
        <x:v>0</x:v>
      </x:c>
      <x:c r="E77" s="13" t="n">
        <x:f>SUM(E49:E51)</x:f>
        <x:v>4152</x:v>
      </x:c>
      <x:c r="F77" s="13" t="n">
        <x:f>G30</x:f>
        <x:v>4152</x:v>
      </x:c>
      <x:c r="G77" s="13" t="n">
        <x:f>E77-F77</x:f>
        <x:v>0</x:v>
      </x:c>
      <x:c r="H77" s="12"/>
      <x:c r="I77" s="12"/>
      <x:c r="J77" s="12"/>
      <x:c r="K77" s="12"/>
      <x:c r="L77" s="12"/>
      <x:c r="M77" s="12"/>
      <x:c r="N77" s="12"/>
      <x:c r="O77" s="12"/>
      <x:c r="P77" s="12"/>
      <x:c r="Q77" s="12"/>
      <x:c r="R77" s="12"/>
      <x:c r="S77" s="12"/>
    </x:row>
    <x:row r="78" ht="24" customHeight="1">
      <x:c r="A78" s="13" t="str">
        <x:v>QHL</x:v>
      </x:c>
      <x:c r="B78" s="13" t="str">
        <x:v>仅边际</x:v>
      </x:c>
      <x:c r="C78" s="13" t="str">
        <x:v>最大</x:v>
      </x:c>
      <x:c r="D78" s="13" t="n">
        <x:v>1</x:v>
      </x:c>
      <x:c r="E78" s="13" t="n">
        <x:f>SUM(F49:F51)</x:f>
        <x:v>3174</x:v>
      </x:c>
      <x:c r="F78" s="13" t="n">
        <x:f>H30</x:f>
        <x:v>3174</x:v>
      </x:c>
      <x:c r="G78" s="13" t="n">
        <x:f>E78-F78</x:f>
        <x:v>0</x:v>
      </x:c>
      <x:c r="H78" s="12"/>
      <x:c r="I78" s="12"/>
      <x:c r="J78" s="12"/>
      <x:c r="K78" s="12"/>
      <x:c r="L78" s="12"/>
      <x:c r="M78" s="12"/>
      <x:c r="N78" s="12"/>
      <x:c r="O78" s="12"/>
      <x:c r="P78" s="12"/>
      <x:c r="Q78" s="12"/>
      <x:c r="R78" s="12"/>
      <x:c r="S78" s="12"/>
    </x:row>
    <x:row r="79" ht="24" customHeight="1">
      <x:c r="A79" s="13" t="str">
        <x:v>QHL</x:v>
      </x:c>
      <x:c r="B79" s="13" t="str">
        <x:v>仅边际</x:v>
      </x:c>
      <x:c r="C79" s="13" t="str">
        <x:v>最大</x:v>
      </x:c>
      <x:c r="D79" s="13" t="n">
        <x:v>2</x:v>
      </x:c>
      <x:c r="E79" s="13" t="n">
        <x:f>SUM(G49:G51)</x:f>
        <x:v>20435</x:v>
      </x:c>
      <x:c r="F79" s="13" t="n">
        <x:f>I30</x:f>
        <x:v>20435</x:v>
      </x:c>
      <x:c r="G79" s="13" t="n">
        <x:f>E79-F79</x:f>
        <x:v>0</x:v>
      </x:c>
      <x:c r="H79" s="12"/>
      <x:c r="I79" s="12"/>
      <x:c r="J79" s="12"/>
      <x:c r="K79" s="12"/>
      <x:c r="L79" s="12"/>
      <x:c r="M79" s="12"/>
      <x:c r="N79" s="12"/>
      <x:c r="O79" s="12"/>
      <x:c r="P79" s="12"/>
      <x:c r="Q79" s="12"/>
      <x:c r="R79" s="12"/>
      <x:c r="S79" s="12"/>
    </x:row>
    <x:row r="80" ht="24" customHeight="1">
      <x:c r="A80" s="13" t="str">
        <x:v>QHL</x:v>
      </x:c>
      <x:c r="B80" s="13" t="str">
        <x:v>状态不下降</x:v>
      </x:c>
      <x:c r="C80" s="13" t="str">
        <x:v>最小</x:v>
      </x:c>
      <x:c r="D80" s="13" t="n">
        <x:v>0</x:v>
      </x:c>
      <x:c r="E80" s="13" t="n">
        <x:f>SUM(E52:E54)</x:f>
        <x:v>4152</x:v>
      </x:c>
      <x:c r="F80" s="13" t="n">
        <x:f>G30</x:f>
        <x:v>4152</x:v>
      </x:c>
      <x:c r="G80" s="13" t="n">
        <x:f>E80-F80</x:f>
        <x:v>0</x:v>
      </x:c>
      <x:c r="H80" s="12"/>
      <x:c r="I80" s="12"/>
      <x:c r="J80" s="12"/>
      <x:c r="K80" s="12"/>
      <x:c r="L80" s="12"/>
      <x:c r="M80" s="12"/>
      <x:c r="N80" s="12"/>
      <x:c r="O80" s="12"/>
      <x:c r="P80" s="12"/>
      <x:c r="Q80" s="12"/>
      <x:c r="R80" s="12"/>
      <x:c r="S80" s="12"/>
    </x:row>
    <x:row r="81" ht="24" customHeight="1">
      <x:c r="A81" s="13" t="str">
        <x:v>QHL</x:v>
      </x:c>
      <x:c r="B81" s="13" t="str">
        <x:v>状态不下降</x:v>
      </x:c>
      <x:c r="C81" s="13" t="str">
        <x:v>最小</x:v>
      </x:c>
      <x:c r="D81" s="13" t="n">
        <x:v>1</x:v>
      </x:c>
      <x:c r="E81" s="13" t="n">
        <x:f>SUM(F52:F54)</x:f>
        <x:v>3174</x:v>
      </x:c>
      <x:c r="F81" s="13" t="n">
        <x:f>H30</x:f>
        <x:v>3174</x:v>
      </x:c>
      <x:c r="G81" s="13" t="n">
        <x:f>E81-F81</x:f>
        <x:v>0</x:v>
      </x:c>
      <x:c r="H81" s="12"/>
      <x:c r="I81" s="12"/>
      <x:c r="J81" s="12"/>
      <x:c r="K81" s="12"/>
      <x:c r="L81" s="12"/>
      <x:c r="M81" s="12"/>
      <x:c r="N81" s="12"/>
      <x:c r="O81" s="12"/>
      <x:c r="P81" s="12"/>
      <x:c r="Q81" s="12"/>
      <x:c r="R81" s="12"/>
      <x:c r="S81" s="12"/>
    </x:row>
    <x:row r="82" ht="24" customHeight="1">
      <x:c r="A82" s="13" t="str">
        <x:v>QHL</x:v>
      </x:c>
      <x:c r="B82" s="13" t="str">
        <x:v>状态不下降</x:v>
      </x:c>
      <x:c r="C82" s="13" t="str">
        <x:v>最小</x:v>
      </x:c>
      <x:c r="D82" s="13" t="n">
        <x:v>2</x:v>
      </x:c>
      <x:c r="E82" s="13" t="n">
        <x:f>SUM(G52:G54)</x:f>
        <x:v>20435</x:v>
      </x:c>
      <x:c r="F82" s="13" t="n">
        <x:f>I30</x:f>
        <x:v>20435</x:v>
      </x:c>
      <x:c r="G82" s="13" t="n">
        <x:f>E82-F82</x:f>
        <x:v>0</x:v>
      </x:c>
      <x:c r="H82" s="12"/>
      <x:c r="I82" s="12"/>
      <x:c r="J82" s="12"/>
      <x:c r="K82" s="12"/>
      <x:c r="L82" s="12"/>
      <x:c r="M82" s="12"/>
      <x:c r="N82" s="12"/>
      <x:c r="O82" s="12"/>
      <x:c r="P82" s="12"/>
      <x:c r="Q82" s="12"/>
      <x:c r="R82" s="12"/>
      <x:c r="S82" s="12"/>
    </x:row>
    <x:row r="83" ht="24" customHeight="1">
      <x:c r="A83" s="13" t="str">
        <x:v>QHL</x:v>
      </x:c>
      <x:c r="B83" s="13" t="str">
        <x:v>状态不下降</x:v>
      </x:c>
      <x:c r="C83" s="13" t="str">
        <x:v>最大</x:v>
      </x:c>
      <x:c r="D83" s="13" t="n">
        <x:v>0</x:v>
      </x:c>
      <x:c r="E83" s="13" t="n">
        <x:f>SUM(E55:E57)</x:f>
        <x:v>4152</x:v>
      </x:c>
      <x:c r="F83" s="13" t="n">
        <x:f>G30</x:f>
        <x:v>4152</x:v>
      </x:c>
      <x:c r="G83" s="13" t="n">
        <x:f>E83-F83</x:f>
        <x:v>0</x:v>
      </x:c>
      <x:c r="H83" s="12"/>
      <x:c r="I83" s="12"/>
      <x:c r="J83" s="12"/>
      <x:c r="K83" s="12"/>
      <x:c r="L83" s="12"/>
      <x:c r="M83" s="12"/>
      <x:c r="N83" s="12"/>
      <x:c r="O83" s="12"/>
      <x:c r="P83" s="12"/>
      <x:c r="Q83" s="12"/>
      <x:c r="R83" s="12"/>
      <x:c r="S83" s="12"/>
    </x:row>
    <x:row r="84" ht="24" customHeight="1">
      <x:c r="A84" s="13" t="str">
        <x:v>QHL</x:v>
      </x:c>
      <x:c r="B84" s="13" t="str">
        <x:v>状态不下降</x:v>
      </x:c>
      <x:c r="C84" s="13" t="str">
        <x:v>最大</x:v>
      </x:c>
      <x:c r="D84" s="13" t="n">
        <x:v>1</x:v>
      </x:c>
      <x:c r="E84" s="13" t="n">
        <x:f>SUM(F55:F57)</x:f>
        <x:v>3174</x:v>
      </x:c>
      <x:c r="F84" s="13" t="n">
        <x:f>H30</x:f>
        <x:v>3174</x:v>
      </x:c>
      <x:c r="G84" s="13" t="n">
        <x:f>E84-F84</x:f>
        <x:v>0</x:v>
      </x:c>
      <x:c r="H84" s="12"/>
      <x:c r="I84" s="12"/>
      <x:c r="J84" s="12"/>
      <x:c r="K84" s="12"/>
      <x:c r="L84" s="12"/>
      <x:c r="M84" s="12"/>
      <x:c r="N84" s="12"/>
      <x:c r="O84" s="12"/>
      <x:c r="P84" s="12"/>
      <x:c r="Q84" s="12"/>
      <x:c r="R84" s="12"/>
      <x:c r="S84" s="12"/>
    </x:row>
    <x:row r="85" ht="24" customHeight="1">
      <x:c r="A85" s="13" t="str">
        <x:v>QHL</x:v>
      </x:c>
      <x:c r="B85" s="13" t="str">
        <x:v>状态不下降</x:v>
      </x:c>
      <x:c r="C85" s="13" t="str">
        <x:v>最大</x:v>
      </x:c>
      <x:c r="D85" s="13" t="n">
        <x:v>2</x:v>
      </x:c>
      <x:c r="E85" s="13" t="n">
        <x:f>SUM(G55:G57)</x:f>
        <x:v>20435</x:v>
      </x:c>
      <x:c r="F85" s="13" t="n">
        <x:f>I30</x:f>
        <x:v>20435</x:v>
      </x:c>
      <x:c r="G85" s="13" t="n">
        <x:f>E85-F85</x:f>
        <x:v>0</x:v>
      </x:c>
      <x:c r="H85" s="12"/>
      <x:c r="I85" s="12"/>
      <x:c r="J85" s="12"/>
      <x:c r="K85" s="12"/>
      <x:c r="L85" s="12"/>
      <x:c r="M85" s="12"/>
      <x:c r="N85" s="12"/>
      <x:c r="O85" s="12"/>
      <x:c r="P85" s="12"/>
      <x:c r="Q85" s="12"/>
      <x:c r="R85" s="12"/>
      <x:c r="S85" s="12"/>
    </x:row>
    <x:row r="86" ht="24" customHeight="1">
      <x:c r="A86" s="13" t="str">
        <x:v>QUA</x:v>
      </x:c>
      <x:c r="B86" s="13" t="str">
        <x:v>仅边际</x:v>
      </x:c>
      <x:c r="C86" s="13" t="str">
        <x:v>最小</x:v>
      </x:c>
      <x:c r="D86" s="13" t="n">
        <x:v>0</x:v>
      </x:c>
      <x:c r="E86" s="13" t="n">
        <x:f>SUM(E58:E60)</x:f>
        <x:v>3237</x:v>
      </x:c>
      <x:c r="F86" s="13" t="n">
        <x:f>G33</x:f>
        <x:v>3237</x:v>
      </x:c>
      <x:c r="G86" s="13" t="n">
        <x:f>E86-F86</x:f>
        <x:v>0</x:v>
      </x:c>
      <x:c r="H86" s="12"/>
      <x:c r="I86" s="12"/>
      <x:c r="J86" s="12"/>
      <x:c r="K86" s="12"/>
      <x:c r="L86" s="12"/>
      <x:c r="M86" s="12"/>
      <x:c r="N86" s="12"/>
      <x:c r="O86" s="12"/>
      <x:c r="P86" s="12"/>
      <x:c r="Q86" s="12"/>
      <x:c r="R86" s="12"/>
      <x:c r="S86" s="12"/>
    </x:row>
    <x:row r="87" ht="24" customHeight="1">
      <x:c r="A87" s="13" t="str">
        <x:v>QUA</x:v>
      </x:c>
      <x:c r="B87" s="13" t="str">
        <x:v>仅边际</x:v>
      </x:c>
      <x:c r="C87" s="13" t="str">
        <x:v>最小</x:v>
      </x:c>
      <x:c r="D87" s="13" t="n">
        <x:v>1</x:v>
      </x:c>
      <x:c r="E87" s="13" t="n">
        <x:f>SUM(F58:F60)</x:f>
        <x:v>2772</x:v>
      </x:c>
      <x:c r="F87" s="13" t="n">
        <x:f>H33</x:f>
        <x:v>2772</x:v>
      </x:c>
      <x:c r="G87" s="13" t="n">
        <x:f>E87-F87</x:f>
        <x:v>0</x:v>
      </x:c>
      <x:c r="H87" s="12"/>
      <x:c r="I87" s="12"/>
      <x:c r="J87" s="12"/>
      <x:c r="K87" s="12"/>
      <x:c r="L87" s="12"/>
      <x:c r="M87" s="12"/>
      <x:c r="N87" s="12"/>
      <x:c r="O87" s="12"/>
      <x:c r="P87" s="12"/>
      <x:c r="Q87" s="12"/>
      <x:c r="R87" s="12"/>
      <x:c r="S87" s="12"/>
    </x:row>
    <x:row r="88" ht="24" customHeight="1">
      <x:c r="A88" s="13" t="str">
        <x:v>QUA</x:v>
      </x:c>
      <x:c r="B88" s="13" t="str">
        <x:v>仅边际</x:v>
      </x:c>
      <x:c r="C88" s="13" t="str">
        <x:v>最小</x:v>
      </x:c>
      <x:c r="D88" s="13" t="n">
        <x:v>2</x:v>
      </x:c>
      <x:c r="E88" s="13" t="n">
        <x:f>SUM(G58:G60)</x:f>
        <x:v>17729</x:v>
      </x:c>
      <x:c r="F88" s="13" t="n">
        <x:f>I33</x:f>
        <x:v>17729</x:v>
      </x:c>
      <x:c r="G88" s="13" t="n">
        <x:f>E88-F88</x:f>
        <x:v>0</x:v>
      </x:c>
      <x:c r="H88" s="12"/>
      <x:c r="I88" s="12"/>
      <x:c r="J88" s="12"/>
      <x:c r="K88" s="12"/>
      <x:c r="L88" s="12"/>
      <x:c r="M88" s="12"/>
      <x:c r="N88" s="12"/>
      <x:c r="O88" s="12"/>
      <x:c r="P88" s="12"/>
      <x:c r="Q88" s="12"/>
      <x:c r="R88" s="12"/>
      <x:c r="S88" s="12"/>
    </x:row>
    <x:row r="89" ht="24" customHeight="1">
      <x:c r="A89" s="13" t="str">
        <x:v>QUA</x:v>
      </x:c>
      <x:c r="B89" s="13" t="str">
        <x:v>仅边际</x:v>
      </x:c>
      <x:c r="C89" s="13" t="str">
        <x:v>最大</x:v>
      </x:c>
      <x:c r="D89" s="13" t="n">
        <x:v>0</x:v>
      </x:c>
      <x:c r="E89" s="13" t="n">
        <x:f>SUM(E61:E63)</x:f>
        <x:v>3237</x:v>
      </x:c>
      <x:c r="F89" s="13" t="n">
        <x:f>G33</x:f>
        <x:v>3237</x:v>
      </x:c>
      <x:c r="G89" s="13" t="n">
        <x:f>E89-F89</x:f>
        <x:v>0</x:v>
      </x:c>
      <x:c r="H89" s="12"/>
      <x:c r="I89" s="12"/>
      <x:c r="J89" s="12"/>
      <x:c r="K89" s="12"/>
      <x:c r="L89" s="12"/>
      <x:c r="M89" s="12"/>
      <x:c r="N89" s="12"/>
      <x:c r="O89" s="12"/>
      <x:c r="P89" s="12"/>
      <x:c r="Q89" s="12"/>
      <x:c r="R89" s="12"/>
      <x:c r="S89" s="12"/>
    </x:row>
    <x:row r="90" ht="24" customHeight="1">
      <x:c r="A90" s="13" t="str">
        <x:v>QUA</x:v>
      </x:c>
      <x:c r="B90" s="13" t="str">
        <x:v>仅边际</x:v>
      </x:c>
      <x:c r="C90" s="13" t="str">
        <x:v>最大</x:v>
      </x:c>
      <x:c r="D90" s="13" t="n">
        <x:v>1</x:v>
      </x:c>
      <x:c r="E90" s="13" t="n">
        <x:f>SUM(F61:F63)</x:f>
        <x:v>2772</x:v>
      </x:c>
      <x:c r="F90" s="13" t="n">
        <x:f>H33</x:f>
        <x:v>2772</x:v>
      </x:c>
      <x:c r="G90" s="13" t="n">
        <x:f>E90-F90</x:f>
        <x:v>0</x:v>
      </x:c>
      <x:c r="H90" s="12"/>
      <x:c r="I90" s="12"/>
      <x:c r="J90" s="12"/>
      <x:c r="K90" s="12"/>
      <x:c r="L90" s="12"/>
      <x:c r="M90" s="12"/>
      <x:c r="N90" s="12"/>
      <x:c r="O90" s="12"/>
      <x:c r="P90" s="12"/>
      <x:c r="Q90" s="12"/>
      <x:c r="R90" s="12"/>
      <x:c r="S90" s="12"/>
    </x:row>
    <x:row r="91" ht="24" customHeight="1">
      <x:c r="A91" s="13" t="str">
        <x:v>QUA</x:v>
      </x:c>
      <x:c r="B91" s="13" t="str">
        <x:v>仅边际</x:v>
      </x:c>
      <x:c r="C91" s="13" t="str">
        <x:v>最大</x:v>
      </x:c>
      <x:c r="D91" s="13" t="n">
        <x:v>2</x:v>
      </x:c>
      <x:c r="E91" s="13" t="n">
        <x:f>SUM(G61:G63)</x:f>
        <x:v>17729</x:v>
      </x:c>
      <x:c r="F91" s="13" t="n">
        <x:f>I33</x:f>
        <x:v>17729</x:v>
      </x:c>
      <x:c r="G91" s="13" t="n">
        <x:f>E91-F91</x:f>
        <x:v>0</x:v>
      </x:c>
      <x:c r="H91" s="12"/>
      <x:c r="I91" s="12"/>
      <x:c r="J91" s="12"/>
      <x:c r="K91" s="12"/>
      <x:c r="L91" s="12"/>
      <x:c r="M91" s="12"/>
      <x:c r="N91" s="12"/>
      <x:c r="O91" s="12"/>
      <x:c r="P91" s="12"/>
      <x:c r="Q91" s="12"/>
      <x:c r="R91" s="12"/>
      <x:c r="S91" s="12"/>
    </x:row>
    <x:row r="92" ht="24" customHeight="1">
      <x:c r="A92" s="13" t="str">
        <x:v>QUA</x:v>
      </x:c>
      <x:c r="B92" s="13" t="str">
        <x:v>状态不下降</x:v>
      </x:c>
      <x:c r="C92" s="13" t="str">
        <x:v>最小</x:v>
      </x:c>
      <x:c r="D92" s="13" t="n">
        <x:v>0</x:v>
      </x:c>
      <x:c r="E92" s="13" t="n">
        <x:f>SUM(E64:E66)</x:f>
        <x:v>3237</x:v>
      </x:c>
      <x:c r="F92" s="13" t="n">
        <x:f>G33</x:f>
        <x:v>3237</x:v>
      </x:c>
      <x:c r="G92" s="13" t="n">
        <x:f>E92-F92</x:f>
        <x:v>0</x:v>
      </x:c>
      <x:c r="H92" s="12"/>
      <x:c r="I92" s="12"/>
      <x:c r="J92" s="12"/>
      <x:c r="K92" s="12"/>
      <x:c r="L92" s="12"/>
      <x:c r="M92" s="12"/>
      <x:c r="N92" s="12"/>
      <x:c r="O92" s="12"/>
      <x:c r="P92" s="12"/>
      <x:c r="Q92" s="12"/>
      <x:c r="R92" s="12"/>
      <x:c r="S92" s="12"/>
    </x:row>
    <x:row r="93" ht="24" customHeight="1">
      <x:c r="A93" s="13" t="str">
        <x:v>QUA</x:v>
      </x:c>
      <x:c r="B93" s="13" t="str">
        <x:v>状态不下降</x:v>
      </x:c>
      <x:c r="C93" s="13" t="str">
        <x:v>最小</x:v>
      </x:c>
      <x:c r="D93" s="13" t="n">
        <x:v>1</x:v>
      </x:c>
      <x:c r="E93" s="13" t="n">
        <x:f>SUM(F64:F66)</x:f>
        <x:v>2772</x:v>
      </x:c>
      <x:c r="F93" s="13" t="n">
        <x:f>H33</x:f>
        <x:v>2772</x:v>
      </x:c>
      <x:c r="G93" s="13" t="n">
        <x:f>E93-F93</x:f>
        <x:v>0</x:v>
      </x:c>
      <x:c r="H93" s="12"/>
      <x:c r="I93" s="12"/>
      <x:c r="J93" s="12"/>
      <x:c r="K93" s="12"/>
      <x:c r="L93" s="12"/>
      <x:c r="M93" s="12"/>
      <x:c r="N93" s="12"/>
      <x:c r="O93" s="12"/>
      <x:c r="P93" s="12"/>
      <x:c r="Q93" s="12"/>
      <x:c r="R93" s="12"/>
      <x:c r="S93" s="12"/>
    </x:row>
    <x:row r="94" ht="24" customHeight="1">
      <x:c r="A94" s="13" t="str">
        <x:v>QUA</x:v>
      </x:c>
      <x:c r="B94" s="13" t="str">
        <x:v>状态不下降</x:v>
      </x:c>
      <x:c r="C94" s="13" t="str">
        <x:v>最小</x:v>
      </x:c>
      <x:c r="D94" s="13" t="n">
        <x:v>2</x:v>
      </x:c>
      <x:c r="E94" s="13" t="n">
        <x:f>SUM(G64:G66)</x:f>
        <x:v>17729</x:v>
      </x:c>
      <x:c r="F94" s="13" t="n">
        <x:f>I33</x:f>
        <x:v>17729</x:v>
      </x:c>
      <x:c r="G94" s="13" t="n">
        <x:f>E94-F94</x:f>
        <x:v>0</x:v>
      </x:c>
      <x:c r="H94" s="12"/>
      <x:c r="I94" s="12"/>
      <x:c r="J94" s="12"/>
      <x:c r="K94" s="12"/>
      <x:c r="L94" s="12"/>
      <x:c r="M94" s="12"/>
      <x:c r="N94" s="12"/>
      <x:c r="O94" s="12"/>
      <x:c r="P94" s="12"/>
      <x:c r="Q94" s="12"/>
      <x:c r="R94" s="12"/>
      <x:c r="S94" s="12"/>
    </x:row>
    <x:row r="95" ht="24" customHeight="1">
      <x:c r="A95" s="13" t="str">
        <x:v>QUA</x:v>
      </x:c>
      <x:c r="B95" s="13" t="str">
        <x:v>状态不下降</x:v>
      </x:c>
      <x:c r="C95" s="13" t="str">
        <x:v>最大</x:v>
      </x:c>
      <x:c r="D95" s="13" t="n">
        <x:v>0</x:v>
      </x:c>
      <x:c r="E95" s="13" t="n">
        <x:f>SUM(E67:E69)</x:f>
        <x:v>3237</x:v>
      </x:c>
      <x:c r="F95" s="13" t="n">
        <x:f>G33</x:f>
        <x:v>3237</x:v>
      </x:c>
      <x:c r="G95" s="13" t="n">
        <x:f>E95-F95</x:f>
        <x:v>0</x:v>
      </x:c>
      <x:c r="H95" s="12"/>
      <x:c r="I95" s="12"/>
      <x:c r="J95" s="12"/>
      <x:c r="K95" s="12"/>
      <x:c r="L95" s="12"/>
      <x:c r="M95" s="12"/>
      <x:c r="N95" s="12"/>
      <x:c r="O95" s="12"/>
      <x:c r="P95" s="12"/>
      <x:c r="Q95" s="12"/>
      <x:c r="R95" s="12"/>
      <x:c r="S95" s="12"/>
    </x:row>
    <x:row r="96" ht="24" customHeight="1">
      <x:c r="A96" s="13" t="str">
        <x:v>QUA</x:v>
      </x:c>
      <x:c r="B96" s="13" t="str">
        <x:v>状态不下降</x:v>
      </x:c>
      <x:c r="C96" s="13" t="str">
        <x:v>最大</x:v>
      </x:c>
      <x:c r="D96" s="13" t="n">
        <x:v>1</x:v>
      </x:c>
      <x:c r="E96" s="13" t="n">
        <x:f>SUM(F67:F69)</x:f>
        <x:v>2772</x:v>
      </x:c>
      <x:c r="F96" s="13" t="n">
        <x:f>H33</x:f>
        <x:v>2772</x:v>
      </x:c>
      <x:c r="G96" s="13" t="n">
        <x:f>E96-F96</x:f>
        <x:v>0</x:v>
      </x:c>
      <x:c r="H96" s="12"/>
      <x:c r="I96" s="12"/>
      <x:c r="J96" s="12"/>
      <x:c r="K96" s="12"/>
      <x:c r="L96" s="12"/>
      <x:c r="M96" s="12"/>
      <x:c r="N96" s="12"/>
      <x:c r="O96" s="12"/>
      <x:c r="P96" s="12"/>
      <x:c r="Q96" s="12"/>
      <x:c r="R96" s="12"/>
      <x:c r="S96" s="12"/>
    </x:row>
    <x:row r="97" ht="24" customHeight="1">
      <x:c r="A97" s="13" t="str">
        <x:v>QUA</x:v>
      </x:c>
      <x:c r="B97" s="13" t="str">
        <x:v>状态不下降</x:v>
      </x:c>
      <x:c r="C97" s="13" t="str">
        <x:v>最大</x:v>
      </x:c>
      <x:c r="D97" s="13" t="n">
        <x:v>2</x:v>
      </x:c>
      <x:c r="E97" s="13" t="n">
        <x:f>SUM(G67:G69)</x:f>
        <x:v>17729</x:v>
      </x:c>
      <x:c r="F97" s="13" t="n">
        <x:f>I33</x:f>
        <x:v>17729</x:v>
      </x:c>
      <x:c r="G97" s="13" t="n">
        <x:f>E97-F97</x:f>
        <x:v>0</x:v>
      </x:c>
      <x:c r="H97" s="12"/>
      <x:c r="I97" s="12"/>
      <x:c r="J97" s="12"/>
      <x:c r="K97" s="12"/>
      <x:c r="L97" s="12"/>
      <x:c r="M97" s="12"/>
      <x:c r="N97" s="12"/>
      <x:c r="O97" s="12"/>
      <x:c r="P97" s="12"/>
      <x:c r="Q97" s="12"/>
      <x:c r="R97" s="12"/>
      <x:c r="S97" s="12"/>
    </x:row>
  </x:sheetData>
  <x:mergeCells>
    <x:mergeCell ref="A2:F2"/>
    <x:mergeCell ref="A22:M22"/>
    <x:mergeCell ref="A28:S28"/>
    <x:mergeCell ref="A38:G38"/>
    <x:mergeCell ref="A44:L44"/>
    <x:mergeCell ref="A72:G7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14" hidden="0" customWidth="1"/>
    <x:col min="3" max="3" width="20" hidden="0" customWidth="1"/>
    <x:col min="4" max="4" width="22" hidden="0" customWidth="1"/>
    <x:col min="5" max="5" width="22" hidden="0" customWidth="1"/>
    <x:col min="6" max="6" width="22" hidden="0" customWidth="1"/>
    <x:col min="7" max="7" width="23" hidden="0" customWidth="1"/>
    <x:col min="8" max="8" width="23" hidden="0" customWidth="1"/>
    <x:col min="9" max="9" width="23" hidden="0" customWidth="1"/>
    <x:col min="10" max="10" width="48" hidden="0" customWidth="1"/>
    <x:col min="11" max="11" width="65" hidden="0" customWidth="1"/>
    <x:col min="12" max="12" width="25" hidden="0" customWidth="1"/>
    <x:col min="13" max="13" width="23" hidden="0" customWidth="1"/>
    <x:col min="14" max="14" width="23" hidden="0" customWidth="1"/>
    <x:col min="15" max="15" width="53" hidden="0" customWidth="1"/>
  </x:cols>
  <x:sheetData>
    <x:row r="1" ht="24" customHeight="1">
      <x:c r="A1" s="12"/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  <x:c r="M1" s="12"/>
      <x:c r="N1" s="12"/>
      <x:c r="O1" s="12"/>
    </x:row>
    <x:row r="2" ht="24" customHeight="1">
      <x:c r="A2" s="12" t="str">
        <x:v>5y MMR2非劣诊所及数据核对名单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</x:row>
    <x:row r="3" ht="24" customHeight="1">
      <x:c r="A3" s="12" t="str">
        <x:v>取整半宽（百分点）</x:v>
      </x:c>
      <x:c r="B3" s="12" t="n">
        <x:v>0.05</x:v>
      </x:c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</x:row>
    <x:row r="4" ht="24" customHeight="1">
      <x:c r="A4" s="12"/>
      <x:c r="B4" s="12"/>
      <x:c r="C4" s="12"/>
      <x:c r="D4" s="12"/>
      <x:c r="E4" s="12"/>
      <x:c r="F4" s="12"/>
      <x:c r="G4" s="12"/>
      <x:c r="H4" s="12"/>
      <x:c r="I4" s="12"/>
      <x:c r="J4" s="12"/>
      <x:c r="K4" s="12"/>
      <x:c r="L4" s="12"/>
      <x:c r="M4" s="12"/>
      <x:c r="N4" s="12"/>
      <x:c r="O4" s="12"/>
    </x:row>
    <x:row r="5" ht="40" customHeight="1">
      <x:c r="A5" s="16" t="str">
        <x:v>GP编码</x:v>
      </x:c>
      <x:c r="B5" s="16" t="str">
        <x:v>ICB</x:v>
      </x:c>
      <x:c r="C5" s="16" t="str">
        <x:v>年度MMR2（%）</x:v>
      </x:c>
      <x:c r="D5" s="16" t="str">
        <x:v>估算缺口（人）</x:v>
      </x:c>
      <x:c r="E5" s="16" t="str">
        <x:v>缺口最好名次</x:v>
      </x:c>
      <x:c r="F5" s="16" t="str">
        <x:v>缺口最坏名次</x:v>
      </x:c>
      <x:c r="G5" s="16" t="str">
        <x:v>前年度MMR2（%）</x:v>
      </x:c>
      <x:c r="H5" s="16" t="str">
        <x:v>Q3 MMR2（%）</x:v>
      </x:c>
      <x:c r="I5" s="16" t="str">
        <x:v>Q4 MMR2（%）</x:v>
      </x:c>
      <x:c r="J5" s="16" t="str">
        <x:v>核对理由及下一步</x:v>
      </x:c>
      <x:c r="K5" s="16" t="str">
        <x:v>跨期定位</x:v>
      </x:c>
      <x:c r="L5" s="16"/>
      <x:c r="M5" s="16"/>
      <x:c r="N5" s="16"/>
      <x:c r="O5" s="16"/>
    </x:row>
    <x:row r="6" ht="39" customHeight="1">
      <x:c r="A6" s="13" t="str">
        <x:v>M85063</x:v>
      </x:c>
      <x:c r="B6" s="13" t="str">
        <x:v>QHL</x:v>
      </x:c>
      <x:c r="C6" s="30" t="n">
        <x:f>D59</x:f>
        <x:v>76.9</x:v>
      </x:c>
      <x:c r="D6" s="14" t="n">
        <x:f>E59</x:f>
        <x:v>147.84</x:v>
      </x:c>
      <x:c r="E6" s="13" t="n">
        <x:f>M59</x:f>
        <x:v>1</x:v>
      </x:c>
      <x:c r="F6" s="13" t="n">
        <x:f>N59</x:f>
        <x:v>1</x:v>
      </x:c>
      <x:c r="G6" s="30" t="n">
        <x:v>82.5</x:v>
      </x:c>
      <x:c r="H6" s="30" t="n">
        <x:v>82.5</x:v>
      </x:c>
      <x:c r="I6" s="30" t="n">
        <x:v>78.7</x:v>
      </x:c>
      <x:c r="J6" s="13" t="str">
        <x:v>缺口最大，年度下降，Q4低于Q3；核对记录流及现期召回流程</x:v>
      </x:c>
      <x:c r="K6" s="13" t="str">
        <x:v>I03 GP_Code!U2634; I05 GP_Code!U4832; I06 GP_Code!U4828</x:v>
      </x:c>
      <x:c r="L6" s="12"/>
      <x:c r="M6" s="12"/>
      <x:c r="N6" s="12"/>
      <x:c r="O6" s="12"/>
    </x:row>
    <x:row r="7" ht="39" customHeight="1">
      <x:c r="A7" s="13" t="str">
        <x:v>M92612</x:v>
      </x:c>
      <x:c r="B7" s="13" t="str">
        <x:v>QUA</x:v>
      </x:c>
      <x:c r="C7" s="30" t="n">
        <x:f>D352</x:f>
        <x:v>72.6</x:v>
      </x:c>
      <x:c r="D7" s="14" t="n">
        <x:f>E352</x:f>
        <x:v>120.834</x:v>
      </x:c>
      <x:c r="E7" s="13" t="n">
        <x:f>M352</x:f>
        <x:v>2</x:v>
      </x:c>
      <x:c r="F7" s="13" t="n">
        <x:f>N352</x:f>
        <x:v>2</x:v>
      </x:c>
      <x:c r="G7" s="30" t="n">
        <x:v>70.1</x:v>
      </x:c>
      <x:c r="H7" s="30" t="n">
        <x:v>76.9</x:v>
      </x:c>
      <x:c r="I7" s="30" t="n">
        <x:v>68.4</x:v>
      </x:c>
      <x:c r="J7" s="13" t="str">
        <x:v>第二大缺口，年度上升但Q4低于Q3；核对最近生日队列记录完整性</x:v>
      </x:c>
      <x:c r="K7" s="13" t="str">
        <x:v>I03 GP_Code!U5699; I05 GP_Code!U5158; I06 GP_Code!U5154</x:v>
      </x:c>
      <x:c r="L7" s="12"/>
      <x:c r="M7" s="12"/>
      <x:c r="N7" s="12"/>
      <x:c r="O7" s="12"/>
    </x:row>
    <x:row r="8" ht="24" customHeight="1">
      <x:c r="A8" s="13" t="str">
        <x:v>M85034</x:v>
      </x:c>
      <x:c r="B8" s="13" t="str">
        <x:v>QHL</x:v>
      </x:c>
      <x:c r="C8" s="30" t="n">
        <x:f>D42</x:f>
        <x:v>62</x:v>
      </x:c>
      <x:c r="D8" s="14" t="n">
        <x:f>E42</x:f>
        <x:v>106.02</x:v>
      </x:c>
      <x:c r="E8" s="13" t="n">
        <x:f>M42</x:f>
        <x:v>3</x:v>
      </x:c>
      <x:c r="F8" s="13" t="n">
        <x:f>N42</x:f>
        <x:v>3</x:v>
      </x:c>
      <x:c r="G8" s="30" t="n">
        <x:v>67.1</x:v>
      </x:c>
      <x:c r="H8" s="30" t="n">
        <x:v>62.9</x:v>
      </x:c>
      <x:c r="I8" s="30" t="n">
        <x:v>72.4</x:v>
      </x:c>
      <x:c r="J8" s="13" t="str">
        <x:v>在较大缺口诊所中覆盖率更低；季度回升不能替代年度核对</x:v>
      </x:c>
      <x:c r="K8" s="13" t="str">
        <x:v>I03 GP_Code!U2617; I05 GP_Code!U4815; I06 GP_Code!U4811</x:v>
      </x:c>
      <x:c r="L8" s="12"/>
      <x:c r="M8" s="12"/>
      <x:c r="N8" s="12"/>
      <x:c r="O8" s="12"/>
    </x:row>
    <x:row r="9" ht="39" customHeight="1">
      <x:c r="A9" s="13" t="str">
        <x:v>M85722</x:v>
      </x:c>
      <x:c r="B9" s="13" t="str">
        <x:v>QHL</x:v>
      </x:c>
      <x:c r="C9" s="30" t="n">
        <x:f>D139</x:f>
        <x:v>28.7</x:v>
      </x:c>
      <x:c r="D9" s="14" t="n">
        <x:f>E139</x:f>
        <x:v>57.04</x:v>
      </x:c>
      <x:c r="E9" s="13" t="n">
        <x:f>M139</x:f>
        <x:v>17</x:v>
      </x:c>
      <x:c r="F9" s="13" t="n">
        <x:f>N139</x:f>
        <x:v>18</x:v>
      </x:c>
      <x:c r="G9" s="30" t="n">
        <x:v>54.4</x:v>
      </x:c>
      <x:c r="H9" s="30" t="n">
        <x:v>0</x:v>
      </x:c>
      <x:c r="I9" s="30" t="n">
        <x:v>50</x:v>
      </x:c>
      <x:c r="J9" s="13" t="str">
        <x:v>覆盖率最低，季度波动大；先查小队列与记录传递再确定服务动作</x:v>
      </x:c>
      <x:c r="K9" s="13" t="str">
        <x:v>I03 GP_Code!U2703; I05 GP_Code!U4912; I06 GP_Code!U4908</x:v>
      </x:c>
      <x:c r="L9" s="12"/>
      <x:c r="M9" s="12"/>
      <x:c r="N9" s="12"/>
      <x:c r="O9" s="12"/>
    </x:row>
    <x:row r="10" ht="24" customHeight="1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  <x:c r="O10" s="12"/>
    </x:row>
    <x:row r="11" ht="24" customHeight="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  <x:c r="O11" s="12"/>
    </x:row>
    <x:row r="12" ht="24" customHeight="1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</x:row>
    <x:row r="13" ht="24" customHeight="1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  <x:c r="O13" s="12"/>
    </x:row>
    <x:row r="14" ht="24" customHeight="1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/>
    </x:row>
    <x:row r="15" ht="24" customHeight="1">
      <x:c r="A15" s="12" t="str">
        <x:v>完整可用年度GP池及相容取值下的非劣性</x:v>
      </x:c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  <x:c r="O15" s="12"/>
    </x:row>
    <x:row r="16" ht="24" customHeight="1">
      <x:c r="A16" s="16" t="str">
        <x:v>GP编码</x:v>
      </x:c>
      <x:c r="B16" s="16" t="str">
        <x:v>ICB</x:v>
      </x:c>
      <x:c r="C16" s="16" t="str">
        <x:v>5y分母</x:v>
      </x:c>
      <x:c r="D16" s="16" t="str">
        <x:v>MMR2（%）</x:v>
      </x:c>
      <x:c r="E16" s="16" t="str">
        <x:v>估算缺口</x:v>
      </x:c>
      <x:c r="F16" s="16" t="str">
        <x:v>百分比下界</x:v>
      </x:c>
      <x:c r="G16" s="16" t="str">
        <x:v>百分比上界</x:v>
      </x:c>
      <x:c r="H16" s="16" t="str">
        <x:v>缺口下界</x:v>
      </x:c>
      <x:c r="I16" s="16" t="str">
        <x:v>缺口上界</x:v>
      </x:c>
      <x:c r="J16" s="16" t="str">
        <x:v>显示值非劣</x:v>
      </x:c>
      <x:c r="K16" s="16" t="str">
        <x:v>可能非劣</x:v>
      </x:c>
      <x:c r="L16" s="16" t="str">
        <x:v>必然非劣</x:v>
      </x:c>
      <x:c r="M16" s="16" t="str">
        <x:v>缺口最好名次</x:v>
      </x:c>
      <x:c r="N16" s="16" t="str">
        <x:v>缺口最坏名次</x:v>
      </x:c>
      <x:c r="O16" s="16" t="str">
        <x:v>原记录定位</x:v>
      </x:c>
    </x:row>
    <x:row r="17" ht="24" customHeight="1">
      <x:c r="A17" s="13" t="str">
        <x:v>M81062</x:v>
      </x:c>
      <x:c r="B17" s="13" t="str">
        <x:v>QHL</x:v>
      </x:c>
      <x:c r="C17" s="13" t="n">
        <x:v>33</x:v>
      </x:c>
      <x:c r="D17" s="30" t="n">
        <x:v>81.8</x:v>
      </x:c>
      <x:c r="E17" s="14" t="n">
        <x:f>C17*(1000-ROUND(D17*10,0))/1000</x:f>
        <x:v>6.006</x:v>
      </x:c>
      <x:c r="F17" s="14" t="n">
        <x:f>MAX(0,(ROUND(D17*100,0)-ROUND($B$3*100,0))/100)</x:f>
        <x:v>81.75</x:v>
      </x:c>
      <x:c r="G17" s="14" t="n">
        <x:f>MIN(100,(ROUND(D17*100,0)+ROUND($B$3*100,0))/100)</x:f>
        <x:v>81.85</x:v>
      </x:c>
      <x:c r="H17" s="40" t="n">
        <x:f>C17*(10000-ROUND(G17*100,0))/10000</x:f>
        <x:v>5.9895</x:v>
      </x:c>
      <x:c r="I17" s="40" t="n">
        <x:f>C17*(10000-ROUND(F17*100,0))/10000</x:f>
        <x:v>6.0225</x:v>
      </x:c>
      <x:c r="J17" s="13" t="str">
        <x:f>IF(COUNTIFS($D$17:$D$369,"&lt;"&amp;D17,$E$17:$E$369,"&gt;="&amp;E17)+COUNTIFS($D$17:$D$369,"="&amp;D17,$E$17:$E$369,"&gt;"&amp;E17)=0,"是","否")</x:f>
        <x:v>否</x:v>
      </x:c>
      <x:c r="K17" s="13" t="str">
        <x:f>IF(COUNTIFS($G$17:$G$369,"&lt;"&amp;F17,$H$17:$H$369,"&gt;="&amp;I17)+COUNTIFS($G$17:$G$369,"="&amp;F17,$H$17:$H$369,"&gt;"&amp;I17)=0,"是","否")</x:f>
        <x:v>否</x:v>
      </x:c>
      <x:c r="L17" s="13" t="str">
        <x:f>IF(COUNTIFS($F$17:$F$369,"&lt;"&amp;G17,$I$17:$I$369,"&gt;="&amp;H17)+COUNTIFS($F$17:$F$369,"="&amp;G17,$I$17:$I$369,"&gt;"&amp;H17)-IF(OR(G17&gt;F17,I17&gt;H17),1,0)=0,"是","否")</x:f>
        <x:v>否</x:v>
      </x:c>
      <x:c r="M17" s="13" t="n">
        <x:f>1+COUNTIF($H$17:$H$369,"&gt;"&amp;I17)</x:f>
        <x:v>286</x:v>
      </x:c>
      <x:c r="N17" s="13" t="n">
        <x:f>COUNTIF($I$17:$I$369,"&gt;="&amp;H17)</x:f>
        <x:v>301</x:v>
      </x:c>
      <x:c r="O17" s="13" t="str">
        <x:v>I04 Table_1!D698/P698/U698</x:v>
      </x:c>
    </x:row>
    <x:row r="18" ht="24" customHeight="1">
      <x:c r="A18" s="13" t="str">
        <x:v>M85001</x:v>
      </x:c>
      <x:c r="B18" s="13" t="str">
        <x:v>QHL</x:v>
      </x:c>
      <x:c r="C18" s="13" t="n">
        <x:v>67</x:v>
      </x:c>
      <x:c r="D18" s="30" t="n">
        <x:v>64.2</x:v>
      </x:c>
      <x:c r="E18" s="14" t="n">
        <x:f>C18*(1000-ROUND(D18*10,0))/1000</x:f>
        <x:v>23.986</x:v>
      </x:c>
      <x:c r="F18" s="14" t="n">
        <x:f>MAX(0,(ROUND(D18*100,0)-ROUND($B$3*100,0))/100)</x:f>
        <x:v>64.15</x:v>
      </x:c>
      <x:c r="G18" s="14" t="n">
        <x:f>MIN(100,(ROUND(D18*100,0)+ROUND($B$3*100,0))/100)</x:f>
        <x:v>64.25</x:v>
      </x:c>
      <x:c r="H18" s="40" t="n">
        <x:f>C18*(10000-ROUND(G18*100,0))/10000</x:f>
        <x:v>23.9525</x:v>
      </x:c>
      <x:c r="I18" s="40" t="n">
        <x:f>C18*(10000-ROUND(F18*100,0))/10000</x:f>
        <x:v>24.0195</x:v>
      </x:c>
      <x:c r="J18" s="13" t="str">
        <x:f>IF(COUNTIFS($D$17:$D$369,"&lt;"&amp;D18,$E$17:$E$369,"&gt;="&amp;E18)+COUNTIFS($D$17:$D$369,"="&amp;D18,$E$17:$E$369,"&gt;"&amp;E18)=0,"是","否")</x:f>
        <x:v>否</x:v>
      </x:c>
      <x:c r="K18" s="13" t="str">
        <x:f>IF(COUNTIFS($G$17:$G$369,"&lt;"&amp;F18,$H$17:$H$369,"&gt;="&amp;I18)+COUNTIFS($G$17:$G$369,"="&amp;F18,$H$17:$H$369,"&gt;"&amp;I18)=0,"是","否")</x:f>
        <x:v>否</x:v>
      </x:c>
      <x:c r="L18" s="13" t="str">
        <x:f>IF(COUNTIFS($F$17:$F$369,"&lt;"&amp;G18,$I$17:$I$369,"&gt;="&amp;H18)+COUNTIFS($F$17:$F$369,"="&amp;G18,$I$17:$I$369,"&gt;"&amp;H18)-IF(OR(G18&gt;F18,I18&gt;H18),1,0)=0,"是","否")</x:f>
        <x:v>否</x:v>
      </x:c>
      <x:c r="M18" s="13" t="n">
        <x:f>1+COUNTIF($H$17:$H$369,"&gt;"&amp;I18)</x:f>
        <x:v>101</x:v>
      </x:c>
      <x:c r="N18" s="13" t="n">
        <x:f>COUNTIF($I$17:$I$369,"&gt;="&amp;H18)</x:f>
        <x:v>111</x:v>
      </x:c>
      <x:c r="O18" s="13" t="str">
        <x:v>I04 Table_1!D699/P699/U699</x:v>
      </x:c>
    </x:row>
    <x:row r="19" ht="24" customHeight="1">
      <x:c r="A19" s="13" t="str">
        <x:v>M85002</x:v>
      </x:c>
      <x:c r="B19" s="13" t="str">
        <x:v>QHL</x:v>
      </x:c>
      <x:c r="C19" s="13" t="n">
        <x:v>145</x:v>
      </x:c>
      <x:c r="D19" s="30" t="n">
        <x:v>71.7</x:v>
      </x:c>
      <x:c r="E19" s="14" t="n">
        <x:f>C19*(1000-ROUND(D19*10,0))/1000</x:f>
        <x:v>41.035</x:v>
      </x:c>
      <x:c r="F19" s="14" t="n">
        <x:f>MAX(0,(ROUND(D19*100,0)-ROUND($B$3*100,0))/100)</x:f>
        <x:v>71.65</x:v>
      </x:c>
      <x:c r="G19" s="14" t="n">
        <x:f>MIN(100,(ROUND(D19*100,0)+ROUND($B$3*100,0))/100)</x:f>
        <x:v>71.75</x:v>
      </x:c>
      <x:c r="H19" s="40" t="n">
        <x:f>C19*(10000-ROUND(G19*100,0))/10000</x:f>
        <x:v>40.9625</x:v>
      </x:c>
      <x:c r="I19" s="40" t="n">
        <x:f>C19*(10000-ROUND(F19*100,0))/10000</x:f>
        <x:v>41.1075</x:v>
      </x:c>
      <x:c r="J19" s="13" t="str">
        <x:f>IF(COUNTIFS($D$17:$D$369,"&lt;"&amp;D19,$E$17:$E$369,"&gt;="&amp;E19)+COUNTIFS($D$17:$D$369,"="&amp;D19,$E$17:$E$369,"&gt;"&amp;E19)=0,"是","否")</x:f>
        <x:v>否</x:v>
      </x:c>
      <x:c r="K19" s="13" t="str">
        <x:f>IF(COUNTIFS($G$17:$G$369,"&lt;"&amp;F19,$H$17:$H$369,"&gt;="&amp;I19)+COUNTIFS($G$17:$G$369,"="&amp;F19,$H$17:$H$369,"&gt;"&amp;I19)=0,"是","否")</x:f>
        <x:v>否</x:v>
      </x:c>
      <x:c r="L19" s="13" t="str">
        <x:f>IF(COUNTIFS($F$17:$F$369,"&lt;"&amp;G19,$I$17:$I$369,"&gt;="&amp;H19)+COUNTIFS($F$17:$F$369,"="&amp;G19,$I$17:$I$369,"&gt;"&amp;H19)-IF(OR(G19&gt;F19,I19&gt;H19),1,0)=0,"是","否")</x:f>
        <x:v>否</x:v>
      </x:c>
      <x:c r="M19" s="13" t="n">
        <x:f>1+COUNTIF($H$17:$H$369,"&gt;"&amp;I19)</x:f>
        <x:v>31</x:v>
      </x:c>
      <x:c r="N19" s="13" t="n">
        <x:f>COUNTIF($I$17:$I$369,"&gt;="&amp;H19)</x:f>
        <x:v>34</x:v>
      </x:c>
      <x:c r="O19" s="13" t="str">
        <x:v>I04 Table_1!D700/P700/U700</x:v>
      </x:c>
    </x:row>
    <x:row r="20" ht="24" customHeight="1">
      <x:c r="A20" s="13" t="str">
        <x:v>M85005</x:v>
      </x:c>
      <x:c r="B20" s="13" t="str">
        <x:v>QHL</x:v>
      </x:c>
      <x:c r="C20" s="13" t="n">
        <x:v>95</x:v>
      </x:c>
      <x:c r="D20" s="30" t="n">
        <x:v>64.2</x:v>
      </x:c>
      <x:c r="E20" s="14" t="n">
        <x:f>C20*(1000-ROUND(D20*10,0))/1000</x:f>
        <x:v>34.01</x:v>
      </x:c>
      <x:c r="F20" s="14" t="n">
        <x:f>MAX(0,(ROUND(D20*100,0)-ROUND($B$3*100,0))/100)</x:f>
        <x:v>64.15</x:v>
      </x:c>
      <x:c r="G20" s="14" t="n">
        <x:f>MIN(100,(ROUND(D20*100,0)+ROUND($B$3*100,0))/100)</x:f>
        <x:v>64.25</x:v>
      </x:c>
      <x:c r="H20" s="40" t="n">
        <x:f>C20*(10000-ROUND(G20*100,0))/10000</x:f>
        <x:v>33.9625</x:v>
      </x:c>
      <x:c r="I20" s="40" t="n">
        <x:f>C20*(10000-ROUND(F20*100,0))/10000</x:f>
        <x:v>34.0575</x:v>
      </x:c>
      <x:c r="J20" s="13" t="str">
        <x:f>IF(COUNTIFS($D$17:$D$369,"&lt;"&amp;D20,$E$17:$E$369,"&gt;="&amp;E20)+COUNTIFS($D$17:$D$369,"="&amp;D20,$E$17:$E$369,"&gt;"&amp;E20)=0,"是","否")</x:f>
        <x:v>否</x:v>
      </x:c>
      <x:c r="K20" s="13" t="str">
        <x:f>IF(COUNTIFS($G$17:$G$369,"&lt;"&amp;F20,$H$17:$H$369,"&gt;="&amp;I20)+COUNTIFS($G$17:$G$369,"="&amp;F20,$H$17:$H$369,"&gt;"&amp;I20)=0,"是","否")</x:f>
        <x:v>否</x:v>
      </x:c>
      <x:c r="L20" s="13" t="str">
        <x:f>IF(COUNTIFS($F$17:$F$369,"&lt;"&amp;G20,$I$17:$I$369,"&gt;="&amp;H20)+COUNTIFS($F$17:$F$369,"="&amp;G20,$I$17:$I$369,"&gt;"&amp;H20)-IF(OR(G20&gt;F20,I20&gt;H20),1,0)=0,"是","否")</x:f>
        <x:v>否</x:v>
      </x:c>
      <x:c r="M20" s="13" t="n">
        <x:f>1+COUNTIF($H$17:$H$369,"&gt;"&amp;I20)</x:f>
        <x:v>57</x:v>
      </x:c>
      <x:c r="N20" s="13" t="n">
        <x:f>COUNTIF($I$17:$I$369,"&gt;="&amp;H20)</x:f>
        <x:v>59</x:v>
      </x:c>
      <x:c r="O20" s="13" t="str">
        <x:v>I04 Table_1!D701/P701/U701</x:v>
      </x:c>
    </x:row>
    <x:row r="21" ht="24" customHeight="1">
      <x:c r="A21" s="13" t="str">
        <x:v>M85006</x:v>
      </x:c>
      <x:c r="B21" s="13" t="str">
        <x:v>QHL</x:v>
      </x:c>
      <x:c r="C21" s="13" t="n">
        <x:v>148</x:v>
      </x:c>
      <x:c r="D21" s="30" t="n">
        <x:v>74.3</x:v>
      </x:c>
      <x:c r="E21" s="14" t="n">
        <x:f>C21*(1000-ROUND(D21*10,0))/1000</x:f>
        <x:v>38.036</x:v>
      </x:c>
      <x:c r="F21" s="14" t="n">
        <x:f>MAX(0,(ROUND(D21*100,0)-ROUND($B$3*100,0))/100)</x:f>
        <x:v>74.25</x:v>
      </x:c>
      <x:c r="G21" s="14" t="n">
        <x:f>MIN(100,(ROUND(D21*100,0)+ROUND($B$3*100,0))/100)</x:f>
        <x:v>74.35</x:v>
      </x:c>
      <x:c r="H21" s="40" t="n">
        <x:f>C21*(10000-ROUND(G21*100,0))/10000</x:f>
        <x:v>37.962</x:v>
      </x:c>
      <x:c r="I21" s="40" t="n">
        <x:f>C21*(10000-ROUND(F21*100,0))/10000</x:f>
        <x:v>38.11</x:v>
      </x:c>
      <x:c r="J21" s="13" t="str">
        <x:f>IF(COUNTIFS($D$17:$D$369,"&lt;"&amp;D21,$E$17:$E$369,"&gt;="&amp;E21)+COUNTIFS($D$17:$D$369,"="&amp;D21,$E$17:$E$369,"&gt;"&amp;E21)=0,"是","否")</x:f>
        <x:v>否</x:v>
      </x:c>
      <x:c r="K21" s="13" t="str">
        <x:f>IF(COUNTIFS($G$17:$G$369,"&lt;"&amp;F21,$H$17:$H$369,"&gt;="&amp;I21)+COUNTIFS($G$17:$G$369,"="&amp;F21,$H$17:$H$369,"&gt;"&amp;I21)=0,"是","否")</x:f>
        <x:v>否</x:v>
      </x:c>
      <x:c r="L21" s="13" t="str">
        <x:f>IF(COUNTIFS($F$17:$F$369,"&lt;"&amp;G21,$I$17:$I$369,"&gt;="&amp;H21)+COUNTIFS($F$17:$F$369,"="&amp;G21,$I$17:$I$369,"&gt;"&amp;H21)-IF(OR(G21&gt;F21,I21&gt;H21),1,0)=0,"是","否")</x:f>
        <x:v>否</x:v>
      </x:c>
      <x:c r="M21" s="13" t="n">
        <x:f>1+COUNTIF($H$17:$H$369,"&gt;"&amp;I21)</x:f>
        <x:v>42</x:v>
      </x:c>
      <x:c r="N21" s="13" t="n">
        <x:f>COUNTIF($I$17:$I$369,"&gt;="&amp;H21)</x:f>
        <x:v>46</x:v>
      </x:c>
      <x:c r="O21" s="13" t="str">
        <x:v>I04 Table_1!D702/P702/U702</x:v>
      </x:c>
    </x:row>
    <x:row r="22" ht="24" customHeight="1">
      <x:c r="A22" s="13" t="str">
        <x:v>M85007</x:v>
      </x:c>
      <x:c r="B22" s="13" t="str">
        <x:v>QHL</x:v>
      </x:c>
      <x:c r="C22" s="13" t="n">
        <x:v>197</x:v>
      </x:c>
      <x:c r="D22" s="30" t="n">
        <x:v>84.8</x:v>
      </x:c>
      <x:c r="E22" s="14" t="n">
        <x:f>C22*(1000-ROUND(D22*10,0))/1000</x:f>
        <x:v>29.944</x:v>
      </x:c>
      <x:c r="F22" s="14" t="n">
        <x:f>MAX(0,(ROUND(D22*100,0)-ROUND($B$3*100,0))/100)</x:f>
        <x:v>84.75</x:v>
      </x:c>
      <x:c r="G22" s="14" t="n">
        <x:f>MIN(100,(ROUND(D22*100,0)+ROUND($B$3*100,0))/100)</x:f>
        <x:v>84.85</x:v>
      </x:c>
      <x:c r="H22" s="40" t="n">
        <x:f>C22*(10000-ROUND(G22*100,0))/10000</x:f>
        <x:v>29.8455</x:v>
      </x:c>
      <x:c r="I22" s="40" t="n">
        <x:f>C22*(10000-ROUND(F22*100,0))/10000</x:f>
        <x:v>30.0425</x:v>
      </x:c>
      <x:c r="J22" s="13" t="str">
        <x:f>IF(COUNTIFS($D$17:$D$369,"&lt;"&amp;D22,$E$17:$E$369,"&gt;="&amp;E22)+COUNTIFS($D$17:$D$369,"="&amp;D22,$E$17:$E$369,"&gt;"&amp;E22)=0,"是","否")</x:f>
        <x:v>否</x:v>
      </x:c>
      <x:c r="K22" s="13" t="str">
        <x:f>IF(COUNTIFS($G$17:$G$369,"&lt;"&amp;F22,$H$17:$H$369,"&gt;="&amp;I22)+COUNTIFS($G$17:$G$369,"="&amp;F22,$H$17:$H$369,"&gt;"&amp;I22)=0,"是","否")</x:f>
        <x:v>否</x:v>
      </x:c>
      <x:c r="L22" s="13" t="str">
        <x:f>IF(COUNTIFS($F$17:$F$369,"&lt;"&amp;G22,$I$17:$I$369,"&gt;="&amp;H22)+COUNTIFS($F$17:$F$369,"="&amp;G22,$I$17:$I$369,"&gt;"&amp;H22)-IF(OR(G22&gt;F22,I22&gt;H22),1,0)=0,"是","否")</x:f>
        <x:v>否</x:v>
      </x:c>
      <x:c r="M22" s="13" t="n">
        <x:f>1+COUNTIF($H$17:$H$369,"&gt;"&amp;I22)</x:f>
        <x:v>80</x:v>
      </x:c>
      <x:c r="N22" s="13" t="n">
        <x:f>COUNTIF($I$17:$I$369,"&gt;="&amp;H22)</x:f>
        <x:v>82</x:v>
      </x:c>
      <x:c r="O22" s="13" t="str">
        <x:v>I04 Table_1!D703/P703/U703</x:v>
      </x:c>
    </x:row>
    <x:row r="23" ht="24" customHeight="1">
      <x:c r="A23" s="13" t="str">
        <x:v>M85009</x:v>
      </x:c>
      <x:c r="B23" s="13" t="str">
        <x:v>QHL</x:v>
      </x:c>
      <x:c r="C23" s="13" t="n">
        <x:v>86</x:v>
      </x:c>
      <x:c r="D23" s="30" t="n">
        <x:v>81.4</x:v>
      </x:c>
      <x:c r="E23" s="14" t="n">
        <x:f>C23*(1000-ROUND(D23*10,0))/1000</x:f>
        <x:v>15.996</x:v>
      </x:c>
      <x:c r="F23" s="14" t="n">
        <x:f>MAX(0,(ROUND(D23*100,0)-ROUND($B$3*100,0))/100)</x:f>
        <x:v>81.35</x:v>
      </x:c>
      <x:c r="G23" s="14" t="n">
        <x:f>MIN(100,(ROUND(D23*100,0)+ROUND($B$3*100,0))/100)</x:f>
        <x:v>81.45</x:v>
      </x:c>
      <x:c r="H23" s="40" t="n">
        <x:f>C23*(10000-ROUND(G23*100,0))/10000</x:f>
        <x:v>15.953</x:v>
      </x:c>
      <x:c r="I23" s="40" t="n">
        <x:f>C23*(10000-ROUND(F23*100,0))/10000</x:f>
        <x:v>16.039</x:v>
      </x:c>
      <x:c r="J23" s="13" t="str">
        <x:f>IF(COUNTIFS($D$17:$D$369,"&lt;"&amp;D23,$E$17:$E$369,"&gt;="&amp;E23)+COUNTIFS($D$17:$D$369,"="&amp;D23,$E$17:$E$369,"&gt;"&amp;E23)=0,"是","否")</x:f>
        <x:v>否</x:v>
      </x:c>
      <x:c r="K23" s="13" t="str">
        <x:f>IF(COUNTIFS($G$17:$G$369,"&lt;"&amp;F23,$H$17:$H$369,"&gt;="&amp;I23)+COUNTIFS($G$17:$G$369,"="&amp;F23,$H$17:$H$369,"&gt;"&amp;I23)=0,"是","否")</x:f>
        <x:v>否</x:v>
      </x:c>
      <x:c r="L23" s="13" t="str">
        <x:f>IF(COUNTIFS($F$17:$F$369,"&lt;"&amp;G23,$I$17:$I$369,"&gt;="&amp;H23)+COUNTIFS($F$17:$F$369,"="&amp;G23,$I$17:$I$369,"&gt;"&amp;H23)-IF(OR(G23&gt;F23,I23&gt;H23),1,0)=0,"是","否")</x:f>
        <x:v>否</x:v>
      </x:c>
      <x:c r="M23" s="13" t="n">
        <x:f>1+COUNTIF($H$17:$H$369,"&gt;"&amp;I23)</x:f>
        <x:v>167</x:v>
      </x:c>
      <x:c r="N23" s="13" t="n">
        <x:f>COUNTIF($I$17:$I$369,"&gt;="&amp;H23)</x:f>
        <x:v>176</x:v>
      </x:c>
      <x:c r="O23" s="13" t="str">
        <x:v>I04 Table_1!D704/P704/U704</x:v>
      </x:c>
    </x:row>
    <x:row r="24" ht="24" customHeight="1">
      <x:c r="A24" s="13" t="str">
        <x:v>M85011</x:v>
      </x:c>
      <x:c r="B24" s="13" t="str">
        <x:v>QHL</x:v>
      </x:c>
      <x:c r="C24" s="13" t="n">
        <x:v>86</x:v>
      </x:c>
      <x:c r="D24" s="30" t="n">
        <x:v>62.8</x:v>
      </x:c>
      <x:c r="E24" s="14" t="n">
        <x:f>C24*(1000-ROUND(D24*10,0))/1000</x:f>
        <x:v>31.992</x:v>
      </x:c>
      <x:c r="F24" s="14" t="n">
        <x:f>MAX(0,(ROUND(D24*100,0)-ROUND($B$3*100,0))/100)</x:f>
        <x:v>62.75</x:v>
      </x:c>
      <x:c r="G24" s="14" t="n">
        <x:f>MIN(100,(ROUND(D24*100,0)+ROUND($B$3*100,0))/100)</x:f>
        <x:v>62.85</x:v>
      </x:c>
      <x:c r="H24" s="40" t="n">
        <x:f>C24*(10000-ROUND(G24*100,0))/10000</x:f>
        <x:v>31.949</x:v>
      </x:c>
      <x:c r="I24" s="40" t="n">
        <x:f>C24*(10000-ROUND(F24*100,0))/10000</x:f>
        <x:v>32.035</x:v>
      </x:c>
      <x:c r="J24" s="13" t="str">
        <x:f>IF(COUNTIFS($D$17:$D$369,"&lt;"&amp;D24,$E$17:$E$369,"&gt;="&amp;E24)+COUNTIFS($D$17:$D$369,"="&amp;D24,$E$17:$E$369,"&gt;"&amp;E24)=0,"是","否")</x:f>
        <x:v>否</x:v>
      </x:c>
      <x:c r="K24" s="13" t="str">
        <x:f>IF(COUNTIFS($G$17:$G$369,"&lt;"&amp;F24,$H$17:$H$369,"&gt;="&amp;I24)+COUNTIFS($G$17:$G$369,"="&amp;F24,$H$17:$H$369,"&gt;"&amp;I24)=0,"是","否")</x:f>
        <x:v>否</x:v>
      </x:c>
      <x:c r="L24" s="13" t="str">
        <x:f>IF(COUNTIFS($F$17:$F$369,"&lt;"&amp;G24,$I$17:$I$369,"&gt;="&amp;H24)+COUNTIFS($F$17:$F$369,"="&amp;G24,$I$17:$I$369,"&gt;"&amp;H24)-IF(OR(G24&gt;F24,I24&gt;H24),1,0)=0,"是","否")</x:f>
        <x:v>否</x:v>
      </x:c>
      <x:c r="M24" s="13" t="n">
        <x:f>1+COUNTIF($H$17:$H$369,"&gt;"&amp;I24)</x:f>
        <x:v>64</x:v>
      </x:c>
      <x:c r="N24" s="13" t="n">
        <x:f>COUNTIF($I$17:$I$369,"&gt;="&amp;H24)</x:f>
        <x:v>73</x:v>
      </x:c>
      <x:c r="O24" s="13" t="str">
        <x:v>I04 Table_1!D705/P705/U705</x:v>
      </x:c>
    </x:row>
    <x:row r="25" ht="24" customHeight="1">
      <x:c r="A25" s="13" t="str">
        <x:v>M85013</x:v>
      </x:c>
      <x:c r="B25" s="13" t="str">
        <x:v>QHL</x:v>
      </x:c>
      <x:c r="C25" s="13" t="n">
        <x:v>44</x:v>
      </x:c>
      <x:c r="D25" s="30" t="n">
        <x:v>84.1</x:v>
      </x:c>
      <x:c r="E25" s="14" t="n">
        <x:f>C25*(1000-ROUND(D25*10,0))/1000</x:f>
        <x:v>6.996</x:v>
      </x:c>
      <x:c r="F25" s="14" t="n">
        <x:f>MAX(0,(ROUND(D25*100,0)-ROUND($B$3*100,0))/100)</x:f>
        <x:v>84.05</x:v>
      </x:c>
      <x:c r="G25" s="14" t="n">
        <x:f>MIN(100,(ROUND(D25*100,0)+ROUND($B$3*100,0))/100)</x:f>
        <x:v>84.15</x:v>
      </x:c>
      <x:c r="H25" s="40" t="n">
        <x:f>C25*(10000-ROUND(G25*100,0))/10000</x:f>
        <x:v>6.974</x:v>
      </x:c>
      <x:c r="I25" s="40" t="n">
        <x:f>C25*(10000-ROUND(F25*100,0))/10000</x:f>
        <x:v>7.018</x:v>
      </x:c>
      <x:c r="J25" s="13" t="str">
        <x:f>IF(COUNTIFS($D$17:$D$369,"&lt;"&amp;D25,$E$17:$E$369,"&gt;="&amp;E25)+COUNTIFS($D$17:$D$369,"="&amp;D25,$E$17:$E$369,"&gt;"&amp;E25)=0,"是","否")</x:f>
        <x:v>否</x:v>
      </x:c>
      <x:c r="K25" s="13" t="str">
        <x:f>IF(COUNTIFS($G$17:$G$369,"&lt;"&amp;F25,$H$17:$H$369,"&gt;="&amp;I25)+COUNTIFS($G$17:$G$369,"="&amp;F25,$H$17:$H$369,"&gt;"&amp;I25)=0,"是","否")</x:f>
        <x:v>否</x:v>
      </x:c>
      <x:c r="L25" s="13" t="str">
        <x:f>IF(COUNTIFS($F$17:$F$369,"&lt;"&amp;G25,$I$17:$I$369,"&gt;="&amp;H25)+COUNTIFS($F$17:$F$369,"="&amp;G25,$I$17:$I$369,"&gt;"&amp;H25)-IF(OR(G25&gt;F25,I25&gt;H25),1,0)=0,"是","否")</x:f>
        <x:v>否</x:v>
      </x:c>
      <x:c r="M25" s="13" t="n">
        <x:f>1+COUNTIF($H$17:$H$369,"&gt;"&amp;I25)</x:f>
        <x:v>272</x:v>
      </x:c>
      <x:c r="N25" s="13" t="n">
        <x:f>COUNTIF($I$17:$I$369,"&gt;="&amp;H25)</x:f>
        <x:v>285</x:v>
      </x:c>
      <x:c r="O25" s="13" t="str">
        <x:v>I04 Table_1!D706/P706/U706</x:v>
      </x:c>
    </x:row>
    <x:row r="26" ht="24" customHeight="1">
      <x:c r="A26" s="13" t="str">
        <x:v>M85014</x:v>
      </x:c>
      <x:c r="B26" s="13" t="str">
        <x:v>QHL</x:v>
      </x:c>
      <x:c r="C26" s="13" t="n">
        <x:v>47</x:v>
      </x:c>
      <x:c r="D26" s="30" t="n">
        <x:v>87.2</x:v>
      </x:c>
      <x:c r="E26" s="14" t="n">
        <x:f>C26*(1000-ROUND(D26*10,0))/1000</x:f>
        <x:v>6.016</x:v>
      </x:c>
      <x:c r="F26" s="14" t="n">
        <x:f>MAX(0,(ROUND(D26*100,0)-ROUND($B$3*100,0))/100)</x:f>
        <x:v>87.15</x:v>
      </x:c>
      <x:c r="G26" s="14" t="n">
        <x:f>MIN(100,(ROUND(D26*100,0)+ROUND($B$3*100,0))/100)</x:f>
        <x:v>87.25</x:v>
      </x:c>
      <x:c r="H26" s="40" t="n">
        <x:f>C26*(10000-ROUND(G26*100,0))/10000</x:f>
        <x:v>5.9925</x:v>
      </x:c>
      <x:c r="I26" s="40" t="n">
        <x:f>C26*(10000-ROUND(F26*100,0))/10000</x:f>
        <x:v>6.0395</x:v>
      </x:c>
      <x:c r="J26" s="13" t="str">
        <x:f>IF(COUNTIFS($D$17:$D$369,"&lt;"&amp;D26,$E$17:$E$369,"&gt;="&amp;E26)+COUNTIFS($D$17:$D$369,"="&amp;D26,$E$17:$E$369,"&gt;"&amp;E26)=0,"是","否")</x:f>
        <x:v>否</x:v>
      </x:c>
      <x:c r="K26" s="13" t="str">
        <x:f>IF(COUNTIFS($G$17:$G$369,"&lt;"&amp;F26,$H$17:$H$369,"&gt;="&amp;I26)+COUNTIFS($G$17:$G$369,"="&amp;F26,$H$17:$H$369,"&gt;"&amp;I26)=0,"是","否")</x:f>
        <x:v>否</x:v>
      </x:c>
      <x:c r="L26" s="13" t="str">
        <x:f>IF(COUNTIFS($F$17:$F$369,"&lt;"&amp;G26,$I$17:$I$369,"&gt;="&amp;H26)+COUNTIFS($F$17:$F$369,"="&amp;G26,$I$17:$I$369,"&gt;"&amp;H26)-IF(OR(G26&gt;F26,I26&gt;H26),1,0)=0,"是","否")</x:f>
        <x:v>否</x:v>
      </x:c>
      <x:c r="M26" s="13" t="n">
        <x:f>1+COUNTIF($H$17:$H$369,"&gt;"&amp;I26)</x:f>
        <x:v>286</x:v>
      </x:c>
      <x:c r="N26" s="13" t="n">
        <x:f>COUNTIF($I$17:$I$369,"&gt;="&amp;H26)</x:f>
        <x:v>301</x:v>
      </x:c>
      <x:c r="O26" s="13" t="str">
        <x:v>I04 Table_1!D707/P707/U707</x:v>
      </x:c>
    </x:row>
    <x:row r="27" ht="24" customHeight="1">
      <x:c r="A27" s="13" t="str">
        <x:v>M85016</x:v>
      </x:c>
      <x:c r="B27" s="13" t="str">
        <x:v>QHL</x:v>
      </x:c>
      <x:c r="C27" s="13" t="n">
        <x:v>66</x:v>
      </x:c>
      <x:c r="D27" s="30" t="n">
        <x:v>71.2</x:v>
      </x:c>
      <x:c r="E27" s="14" t="n">
        <x:f>C27*(1000-ROUND(D27*10,0))/1000</x:f>
        <x:v>19.008</x:v>
      </x:c>
      <x:c r="F27" s="14" t="n">
        <x:f>MAX(0,(ROUND(D27*100,0)-ROUND($B$3*100,0))/100)</x:f>
        <x:v>71.15</x:v>
      </x:c>
      <x:c r="G27" s="14" t="n">
        <x:f>MIN(100,(ROUND(D27*100,0)+ROUND($B$3*100,0))/100)</x:f>
        <x:v>71.25</x:v>
      </x:c>
      <x:c r="H27" s="40" t="n">
        <x:f>C27*(10000-ROUND(G27*100,0))/10000</x:f>
        <x:v>18.975</x:v>
      </x:c>
      <x:c r="I27" s="40" t="n">
        <x:f>C27*(10000-ROUND(F27*100,0))/10000</x:f>
        <x:v>19.041</x:v>
      </x:c>
      <x:c r="J27" s="13" t="str">
        <x:f>IF(COUNTIFS($D$17:$D$369,"&lt;"&amp;D27,$E$17:$E$369,"&gt;="&amp;E27)+COUNTIFS($D$17:$D$369,"="&amp;D27,$E$17:$E$369,"&gt;"&amp;E27)=0,"是","否")</x:f>
        <x:v>否</x:v>
      </x:c>
      <x:c r="K27" s="13" t="str">
        <x:f>IF(COUNTIFS($G$17:$G$369,"&lt;"&amp;F27,$H$17:$H$369,"&gt;="&amp;I27)+COUNTIFS($G$17:$G$369,"="&amp;F27,$H$17:$H$369,"&gt;"&amp;I27)=0,"是","否")</x:f>
        <x:v>否</x:v>
      </x:c>
      <x:c r="L27" s="13" t="str">
        <x:f>IF(COUNTIFS($F$17:$F$369,"&lt;"&amp;G27,$I$17:$I$369,"&gt;="&amp;H27)+COUNTIFS($F$17:$F$369,"="&amp;G27,$I$17:$I$369,"&gt;"&amp;H27)-IF(OR(G27&gt;F27,I27&gt;H27),1,0)=0,"是","否")</x:f>
        <x:v>否</x:v>
      </x:c>
      <x:c r="M27" s="13" t="n">
        <x:f>1+COUNTIF($H$17:$H$369,"&gt;"&amp;I27)</x:f>
        <x:v>142</x:v>
      </x:c>
      <x:c r="N27" s="13" t="n">
        <x:f>COUNTIF($I$17:$I$369,"&gt;="&amp;H27)</x:f>
        <x:v>151</x:v>
      </x:c>
      <x:c r="O27" s="13" t="str">
        <x:v>I04 Table_1!D708/P708/U708</x:v>
      </x:c>
    </x:row>
    <x:row r="28" ht="24" customHeight="1">
      <x:c r="A28" s="13" t="str">
        <x:v>M85018</x:v>
      </x:c>
      <x:c r="B28" s="13" t="str">
        <x:v>QHL</x:v>
      </x:c>
      <x:c r="C28" s="13" t="n">
        <x:v>125</x:v>
      </x:c>
      <x:c r="D28" s="30" t="n">
        <x:v>74.4</x:v>
      </x:c>
      <x:c r="E28" s="14" t="n">
        <x:f>C28*(1000-ROUND(D28*10,0))/1000</x:f>
        <x:v>32</x:v>
      </x:c>
      <x:c r="F28" s="14" t="n">
        <x:f>MAX(0,(ROUND(D28*100,0)-ROUND($B$3*100,0))/100)</x:f>
        <x:v>74.35</x:v>
      </x:c>
      <x:c r="G28" s="14" t="n">
        <x:f>MIN(100,(ROUND(D28*100,0)+ROUND($B$3*100,0))/100)</x:f>
        <x:v>74.45</x:v>
      </x:c>
      <x:c r="H28" s="40" t="n">
        <x:f>C28*(10000-ROUND(G28*100,0))/10000</x:f>
        <x:v>31.9375</x:v>
      </x:c>
      <x:c r="I28" s="40" t="n">
        <x:f>C28*(10000-ROUND(F28*100,0))/10000</x:f>
        <x:v>32.0625</x:v>
      </x:c>
      <x:c r="J28" s="13" t="str">
        <x:f>IF(COUNTIFS($D$17:$D$369,"&lt;"&amp;D28,$E$17:$E$369,"&gt;="&amp;E28)+COUNTIFS($D$17:$D$369,"="&amp;D28,$E$17:$E$369,"&gt;"&amp;E28)=0,"是","否")</x:f>
        <x:v>否</x:v>
      </x:c>
      <x:c r="K28" s="13" t="str">
        <x:f>IF(COUNTIFS($G$17:$G$369,"&lt;"&amp;F28,$H$17:$H$369,"&gt;="&amp;I28)+COUNTIFS($G$17:$G$369,"="&amp;F28,$H$17:$H$369,"&gt;"&amp;I28)=0,"是","否")</x:f>
        <x:v>否</x:v>
      </x:c>
      <x:c r="L28" s="13" t="str">
        <x:f>IF(COUNTIFS($F$17:$F$369,"&lt;"&amp;G28,$I$17:$I$369,"&gt;="&amp;H28)+COUNTIFS($F$17:$F$369,"="&amp;G28,$I$17:$I$369,"&gt;"&amp;H28)-IF(OR(G28&gt;F28,I28&gt;H28),1,0)=0,"是","否")</x:f>
        <x:v>否</x:v>
      </x:c>
      <x:c r="M28" s="13" t="n">
        <x:f>1+COUNTIF($H$17:$H$369,"&gt;"&amp;I28)</x:f>
        <x:v>64</x:v>
      </x:c>
      <x:c r="N28" s="13" t="n">
        <x:f>COUNTIF($I$17:$I$369,"&gt;="&amp;H28)</x:f>
        <x:v>73</x:v>
      </x:c>
      <x:c r="O28" s="13" t="str">
        <x:v>I04 Table_1!D709/P709/U709</x:v>
      </x:c>
    </x:row>
    <x:row r="29" ht="24" customHeight="1">
      <x:c r="A29" s="13" t="str">
        <x:v>M85019</x:v>
      </x:c>
      <x:c r="B29" s="13" t="str">
        <x:v>QHL</x:v>
      </x:c>
      <x:c r="C29" s="13" t="n">
        <x:v>237</x:v>
      </x:c>
      <x:c r="D29" s="30" t="n">
        <x:v>79.3</x:v>
      </x:c>
      <x:c r="E29" s="14" t="n">
        <x:f>C29*(1000-ROUND(D29*10,0))/1000</x:f>
        <x:v>49.059</x:v>
      </x:c>
      <x:c r="F29" s="14" t="n">
        <x:f>MAX(0,(ROUND(D29*100,0)-ROUND($B$3*100,0))/100)</x:f>
        <x:v>79.25</x:v>
      </x:c>
      <x:c r="G29" s="14" t="n">
        <x:f>MIN(100,(ROUND(D29*100,0)+ROUND($B$3*100,0))/100)</x:f>
        <x:v>79.35</x:v>
      </x:c>
      <x:c r="H29" s="40" t="n">
        <x:f>C29*(10000-ROUND(G29*100,0))/10000</x:f>
        <x:v>48.9405</x:v>
      </x:c>
      <x:c r="I29" s="40" t="n">
        <x:f>C29*(10000-ROUND(F29*100,0))/10000</x:f>
        <x:v>49.1775</x:v>
      </x:c>
      <x:c r="J29" s="13" t="str">
        <x:f>IF(COUNTIFS($D$17:$D$369,"&lt;"&amp;D29,$E$17:$E$369,"&gt;="&amp;E29)+COUNTIFS($D$17:$D$369,"="&amp;D29,$E$17:$E$369,"&gt;"&amp;E29)=0,"是","否")</x:f>
        <x:v>否</x:v>
      </x:c>
      <x:c r="K29" s="13" t="str">
        <x:f>IF(COUNTIFS($G$17:$G$369,"&lt;"&amp;F29,$H$17:$H$369,"&gt;="&amp;I29)+COUNTIFS($G$17:$G$369,"="&amp;F29,$H$17:$H$369,"&gt;"&amp;I29)=0,"是","否")</x:f>
        <x:v>否</x:v>
      </x:c>
      <x:c r="L29" s="13" t="str">
        <x:f>IF(COUNTIFS($F$17:$F$369,"&lt;"&amp;G29,$I$17:$I$369,"&gt;="&amp;H29)+COUNTIFS($F$17:$F$369,"="&amp;G29,$I$17:$I$369,"&gt;"&amp;H29)-IF(OR(G29&gt;F29,I29&gt;H29),1,0)=0,"是","否")</x:f>
        <x:v>否</x:v>
      </x:c>
      <x:c r="M29" s="13" t="n">
        <x:f>1+COUNTIF($H$17:$H$369,"&gt;"&amp;I29)</x:f>
        <x:v>25</x:v>
      </x:c>
      <x:c r="N29" s="13" t="n">
        <x:f>COUNTIF($I$17:$I$369,"&gt;="&amp;H29)</x:f>
        <x:v>26</x:v>
      </x:c>
      <x:c r="O29" s="13" t="str">
        <x:v>I04 Table_1!D710/P710/U710</x:v>
      </x:c>
    </x:row>
    <x:row r="30" ht="24" customHeight="1">
      <x:c r="A30" s="13" t="str">
        <x:v>M85020</x:v>
      </x:c>
      <x:c r="B30" s="13" t="str">
        <x:v>QHL</x:v>
      </x:c>
      <x:c r="C30" s="13" t="n">
        <x:v>291</x:v>
      </x:c>
      <x:c r="D30" s="30" t="n">
        <x:v>63.9</x:v>
      </x:c>
      <x:c r="E30" s="14" t="n">
        <x:f>C30*(1000-ROUND(D30*10,0))/1000</x:f>
        <x:v>105.051</x:v>
      </x:c>
      <x:c r="F30" s="14" t="n">
        <x:f>MAX(0,(ROUND(D30*100,0)-ROUND($B$3*100,0))/100)</x:f>
        <x:v>63.85</x:v>
      </x:c>
      <x:c r="G30" s="14" t="n">
        <x:f>MIN(100,(ROUND(D30*100,0)+ROUND($B$3*100,0))/100)</x:f>
        <x:v>63.95</x:v>
      </x:c>
      <x:c r="H30" s="40" t="n">
        <x:f>C30*(10000-ROUND(G30*100,0))/10000</x:f>
        <x:v>104.9055</x:v>
      </x:c>
      <x:c r="I30" s="40" t="n">
        <x:f>C30*(10000-ROUND(F30*100,0))/10000</x:f>
        <x:v>105.1965</x:v>
      </x:c>
      <x:c r="J30" s="13" t="str">
        <x:f>IF(COUNTIFS($D$17:$D$369,"&lt;"&amp;D30,$E$17:$E$369,"&gt;="&amp;E30)+COUNTIFS($D$17:$D$369,"="&amp;D30,$E$17:$E$369,"&gt;"&amp;E30)=0,"是","否")</x:f>
        <x:v>否</x:v>
      </x:c>
      <x:c r="K30" s="13" t="str">
        <x:f>IF(COUNTIFS($G$17:$G$369,"&lt;"&amp;F30,$H$17:$H$369,"&gt;="&amp;I30)+COUNTIFS($G$17:$G$369,"="&amp;F30,$H$17:$H$369,"&gt;"&amp;I30)=0,"是","否")</x:f>
        <x:v>否</x:v>
      </x:c>
      <x:c r="L30" s="13" t="str">
        <x:f>IF(COUNTIFS($F$17:$F$369,"&lt;"&amp;G30,$I$17:$I$369,"&gt;="&amp;H30)+COUNTIFS($F$17:$F$369,"="&amp;G30,$I$17:$I$369,"&gt;"&amp;H30)-IF(OR(G30&gt;F30,I30&gt;H30),1,0)=0,"是","否")</x:f>
        <x:v>否</x:v>
      </x:c>
      <x:c r="M30" s="13" t="n">
        <x:f>1+COUNTIF($H$17:$H$369,"&gt;"&amp;I30)</x:f>
        <x:v>4</x:v>
      </x:c>
      <x:c r="N30" s="13" t="n">
        <x:f>COUNTIF($I$17:$I$369,"&gt;="&amp;H30)</x:f>
        <x:v>4</x:v>
      </x:c>
      <x:c r="O30" s="13" t="str">
        <x:v>I04 Table_1!D711/P711/U711</x:v>
      </x:c>
    </x:row>
    <x:row r="31" ht="24" customHeight="1">
      <x:c r="A31" s="13" t="str">
        <x:v>M85021</x:v>
      </x:c>
      <x:c r="B31" s="13" t="str">
        <x:v>QHL</x:v>
      </x:c>
      <x:c r="C31" s="13" t="n">
        <x:v>34</x:v>
      </x:c>
      <x:c r="D31" s="30" t="n">
        <x:v>67.6</x:v>
      </x:c>
      <x:c r="E31" s="14" t="n">
        <x:f>C31*(1000-ROUND(D31*10,0))/1000</x:f>
        <x:v>11.016</x:v>
      </x:c>
      <x:c r="F31" s="14" t="n">
        <x:f>MAX(0,(ROUND(D31*100,0)-ROUND($B$3*100,0))/100)</x:f>
        <x:v>67.55</x:v>
      </x:c>
      <x:c r="G31" s="14" t="n">
        <x:f>MIN(100,(ROUND(D31*100,0)+ROUND($B$3*100,0))/100)</x:f>
        <x:v>67.65</x:v>
      </x:c>
      <x:c r="H31" s="40" t="n">
        <x:f>C31*(10000-ROUND(G31*100,0))/10000</x:f>
        <x:v>10.999</x:v>
      </x:c>
      <x:c r="I31" s="40" t="n">
        <x:f>C31*(10000-ROUND(F31*100,0))/10000</x:f>
        <x:v>11.033</x:v>
      </x:c>
      <x:c r="J31" s="13" t="str">
        <x:f>IF(COUNTIFS($D$17:$D$369,"&lt;"&amp;D31,$E$17:$E$369,"&gt;="&amp;E31)+COUNTIFS($D$17:$D$369,"="&amp;D31,$E$17:$E$369,"&gt;"&amp;E31)=0,"是","否")</x:f>
        <x:v>否</x:v>
      </x:c>
      <x:c r="K31" s="13" t="str">
        <x:f>IF(COUNTIFS($G$17:$G$369,"&lt;"&amp;F31,$H$17:$H$369,"&gt;="&amp;I31)+COUNTIFS($G$17:$G$369,"="&amp;F31,$H$17:$H$369,"&gt;"&amp;I31)=0,"是","否")</x:f>
        <x:v>否</x:v>
      </x:c>
      <x:c r="L31" s="13" t="str">
        <x:f>IF(COUNTIFS($F$17:$F$369,"&lt;"&amp;G31,$I$17:$I$369,"&gt;="&amp;H31)+COUNTIFS($F$17:$F$369,"="&amp;G31,$I$17:$I$369,"&gt;"&amp;H31)-IF(OR(G31&gt;F31,I31&gt;H31),1,0)=0,"是","否")</x:f>
        <x:v>否</x:v>
      </x:c>
      <x:c r="M31" s="13" t="n">
        <x:f>1+COUNTIF($H$17:$H$369,"&gt;"&amp;I31)</x:f>
        <x:v>222</x:v>
      </x:c>
      <x:c r="N31" s="13" t="n">
        <x:f>COUNTIF($I$17:$I$369,"&gt;="&amp;H31)</x:f>
        <x:v>230</x:v>
      </x:c>
      <x:c r="O31" s="13" t="str">
        <x:v>I04 Table_1!D712/P712/U712</x:v>
      </x:c>
    </x:row>
    <x:row r="32" ht="24" customHeight="1">
      <x:c r="A32" s="13" t="str">
        <x:v>M85023</x:v>
      </x:c>
      <x:c r="B32" s="13" t="str">
        <x:v>QHL</x:v>
      </x:c>
      <x:c r="C32" s="13" t="n">
        <x:v>112</x:v>
      </x:c>
      <x:c r="D32" s="30" t="n">
        <x:v>64.3</x:v>
      </x:c>
      <x:c r="E32" s="14" t="n">
        <x:f>C32*(1000-ROUND(D32*10,0))/1000</x:f>
        <x:v>39.984</x:v>
      </x:c>
      <x:c r="F32" s="14" t="n">
        <x:f>MAX(0,(ROUND(D32*100,0)-ROUND($B$3*100,0))/100)</x:f>
        <x:v>64.25</x:v>
      </x:c>
      <x:c r="G32" s="14" t="n">
        <x:f>MIN(100,(ROUND(D32*100,0)+ROUND($B$3*100,0))/100)</x:f>
        <x:v>64.35</x:v>
      </x:c>
      <x:c r="H32" s="40" t="n">
        <x:f>C32*(10000-ROUND(G32*100,0))/10000</x:f>
        <x:v>39.928</x:v>
      </x:c>
      <x:c r="I32" s="40" t="n">
        <x:f>C32*(10000-ROUND(F32*100,0))/10000</x:f>
        <x:v>40.04</x:v>
      </x:c>
      <x:c r="J32" s="13" t="str">
        <x:f>IF(COUNTIFS($D$17:$D$369,"&lt;"&amp;D32,$E$17:$E$369,"&gt;="&amp;E32)+COUNTIFS($D$17:$D$369,"="&amp;D32,$E$17:$E$369,"&gt;"&amp;E32)=0,"是","否")</x:f>
        <x:v>否</x:v>
      </x:c>
      <x:c r="K32" s="13" t="str">
        <x:f>IF(COUNTIFS($G$17:$G$369,"&lt;"&amp;F32,$H$17:$H$369,"&gt;="&amp;I32)+COUNTIFS($G$17:$G$369,"="&amp;F32,$H$17:$H$369,"&gt;"&amp;I32)=0,"是","否")</x:f>
        <x:v>否</x:v>
      </x:c>
      <x:c r="L32" s="13" t="str">
        <x:f>IF(COUNTIFS($F$17:$F$369,"&lt;"&amp;G32,$I$17:$I$369,"&gt;="&amp;H32)+COUNTIFS($F$17:$F$369,"="&amp;G32,$I$17:$I$369,"&gt;"&amp;H32)-IF(OR(G32&gt;F32,I32&gt;H32),1,0)=0,"是","否")</x:f>
        <x:v>否</x:v>
      </x:c>
      <x:c r="M32" s="13" t="n">
        <x:f>1+COUNTIF($H$17:$H$369,"&gt;"&amp;I32)</x:f>
        <x:v>35</x:v>
      </x:c>
      <x:c r="N32" s="13" t="n">
        <x:f>COUNTIF($I$17:$I$369,"&gt;="&amp;H32)</x:f>
        <x:v>38</x:v>
      </x:c>
      <x:c r="O32" s="13" t="str">
        <x:v>I04 Table_1!D713/P713/U713</x:v>
      </x:c>
    </x:row>
    <x:row r="33" ht="24" customHeight="1">
      <x:c r="A33" s="13" t="str">
        <x:v>M85024</x:v>
      </x:c>
      <x:c r="B33" s="13" t="str">
        <x:v>QHL</x:v>
      </x:c>
      <x:c r="C33" s="13" t="n">
        <x:v>97</x:v>
      </x:c>
      <x:c r="D33" s="30" t="n">
        <x:v>72.2</x:v>
      </x:c>
      <x:c r="E33" s="14" t="n">
        <x:f>C33*(1000-ROUND(D33*10,0))/1000</x:f>
        <x:v>26.966</x:v>
      </x:c>
      <x:c r="F33" s="14" t="n">
        <x:f>MAX(0,(ROUND(D33*100,0)-ROUND($B$3*100,0))/100)</x:f>
        <x:v>72.15</x:v>
      </x:c>
      <x:c r="G33" s="14" t="n">
        <x:f>MIN(100,(ROUND(D33*100,0)+ROUND($B$3*100,0))/100)</x:f>
        <x:v>72.25</x:v>
      </x:c>
      <x:c r="H33" s="40" t="n">
        <x:f>C33*(10000-ROUND(G33*100,0))/10000</x:f>
        <x:v>26.9175</x:v>
      </x:c>
      <x:c r="I33" s="40" t="n">
        <x:f>C33*(10000-ROUND(F33*100,0))/10000</x:f>
        <x:v>27.0145</x:v>
      </x:c>
      <x:c r="J33" s="13" t="str">
        <x:f>IF(COUNTIFS($D$17:$D$369,"&lt;"&amp;D33,$E$17:$E$369,"&gt;="&amp;E33)+COUNTIFS($D$17:$D$369,"="&amp;D33,$E$17:$E$369,"&gt;"&amp;E33)=0,"是","否")</x:f>
        <x:v>否</x:v>
      </x:c>
      <x:c r="K33" s="13" t="str">
        <x:f>IF(COUNTIFS($G$17:$G$369,"&lt;"&amp;F33,$H$17:$H$369,"&gt;="&amp;I33)+COUNTIFS($G$17:$G$369,"="&amp;F33,$H$17:$H$369,"&gt;"&amp;I33)=0,"是","否")</x:f>
        <x:v>否</x:v>
      </x:c>
      <x:c r="L33" s="13" t="str">
        <x:f>IF(COUNTIFS($F$17:$F$369,"&lt;"&amp;G33,$I$17:$I$369,"&gt;="&amp;H33)+COUNTIFS($F$17:$F$369,"="&amp;G33,$I$17:$I$369,"&gt;"&amp;H33)-IF(OR(G33&gt;F33,I33&gt;H33),1,0)=0,"是","否")</x:f>
        <x:v>否</x:v>
      </x:c>
      <x:c r="M33" s="13" t="n">
        <x:f>1+COUNTIF($H$17:$H$369,"&gt;"&amp;I33)</x:f>
        <x:v>89</x:v>
      </x:c>
      <x:c r="N33" s="13" t="n">
        <x:f>COUNTIF($I$17:$I$369,"&gt;="&amp;H33)</x:f>
        <x:v>92</x:v>
      </x:c>
      <x:c r="O33" s="13" t="str">
        <x:v>I04 Table_1!D714/P714/U714</x:v>
      </x:c>
    </x:row>
    <x:row r="34" ht="24" customHeight="1">
      <x:c r="A34" s="13" t="str">
        <x:v>M85025</x:v>
      </x:c>
      <x:c r="B34" s="13" t="str">
        <x:v>QHL</x:v>
      </x:c>
      <x:c r="C34" s="13" t="n">
        <x:v>128</x:v>
      </x:c>
      <x:c r="D34" s="30" t="n">
        <x:v>75</x:v>
      </x:c>
      <x:c r="E34" s="14" t="n">
        <x:f>C34*(1000-ROUND(D34*10,0))/1000</x:f>
        <x:v>32</x:v>
      </x:c>
      <x:c r="F34" s="14" t="n">
        <x:f>MAX(0,(ROUND(D34*100,0)-ROUND($B$3*100,0))/100)</x:f>
        <x:v>74.95</x:v>
      </x:c>
      <x:c r="G34" s="14" t="n">
        <x:f>MIN(100,(ROUND(D34*100,0)+ROUND($B$3*100,0))/100)</x:f>
        <x:v>75.05</x:v>
      </x:c>
      <x:c r="H34" s="40" t="n">
        <x:f>C34*(10000-ROUND(G34*100,0))/10000</x:f>
        <x:v>31.936</x:v>
      </x:c>
      <x:c r="I34" s="40" t="n">
        <x:f>C34*(10000-ROUND(F34*100,0))/10000</x:f>
        <x:v>32.064</x:v>
      </x:c>
      <x:c r="J34" s="13" t="str">
        <x:f>IF(COUNTIFS($D$17:$D$369,"&lt;"&amp;D34,$E$17:$E$369,"&gt;="&amp;E34)+COUNTIFS($D$17:$D$369,"="&amp;D34,$E$17:$E$369,"&gt;"&amp;E34)=0,"是","否")</x:f>
        <x:v>否</x:v>
      </x:c>
      <x:c r="K34" s="13" t="str">
        <x:f>IF(COUNTIFS($G$17:$G$369,"&lt;"&amp;F34,$H$17:$H$369,"&gt;="&amp;I34)+COUNTIFS($G$17:$G$369,"="&amp;F34,$H$17:$H$369,"&gt;"&amp;I34)=0,"是","否")</x:f>
        <x:v>否</x:v>
      </x:c>
      <x:c r="L34" s="13" t="str">
        <x:f>IF(COUNTIFS($F$17:$F$369,"&lt;"&amp;G34,$I$17:$I$369,"&gt;="&amp;H34)+COUNTIFS($F$17:$F$369,"="&amp;G34,$I$17:$I$369,"&gt;"&amp;H34)-IF(OR(G34&gt;F34,I34&gt;H34),1,0)=0,"是","否")</x:f>
        <x:v>否</x:v>
      </x:c>
      <x:c r="M34" s="13" t="n">
        <x:f>1+COUNTIF($H$17:$H$369,"&gt;"&amp;I34)</x:f>
        <x:v>64</x:v>
      </x:c>
      <x:c r="N34" s="13" t="n">
        <x:f>COUNTIF($I$17:$I$369,"&gt;="&amp;H34)</x:f>
        <x:v>73</x:v>
      </x:c>
      <x:c r="O34" s="13" t="str">
        <x:v>I04 Table_1!D715/P715/U715</x:v>
      </x:c>
    </x:row>
    <x:row r="35" ht="24" customHeight="1">
      <x:c r="A35" s="13" t="str">
        <x:v>M85026</x:v>
      </x:c>
      <x:c r="B35" s="13" t="str">
        <x:v>QHL</x:v>
      </x:c>
      <x:c r="C35" s="13" t="n">
        <x:v>149</x:v>
      </x:c>
      <x:c r="D35" s="30" t="n">
        <x:v>72.5</x:v>
      </x:c>
      <x:c r="E35" s="14" t="n">
        <x:f>C35*(1000-ROUND(D35*10,0))/1000</x:f>
        <x:v>40.975</x:v>
      </x:c>
      <x:c r="F35" s="14" t="n">
        <x:f>MAX(0,(ROUND(D35*100,0)-ROUND($B$3*100,0))/100)</x:f>
        <x:v>72.45</x:v>
      </x:c>
      <x:c r="G35" s="14" t="n">
        <x:f>MIN(100,(ROUND(D35*100,0)+ROUND($B$3*100,0))/100)</x:f>
        <x:v>72.55</x:v>
      </x:c>
      <x:c r="H35" s="40" t="n">
        <x:f>C35*(10000-ROUND(G35*100,0))/10000</x:f>
        <x:v>40.9005</x:v>
      </x:c>
      <x:c r="I35" s="40" t="n">
        <x:f>C35*(10000-ROUND(F35*100,0))/10000</x:f>
        <x:v>41.0495</x:v>
      </x:c>
      <x:c r="J35" s="13" t="str">
        <x:f>IF(COUNTIFS($D$17:$D$369,"&lt;"&amp;D35,$E$17:$E$369,"&gt;="&amp;E35)+COUNTIFS($D$17:$D$369,"="&amp;D35,$E$17:$E$369,"&gt;"&amp;E35)=0,"是","否")</x:f>
        <x:v>否</x:v>
      </x:c>
      <x:c r="K35" s="13" t="str">
        <x:f>IF(COUNTIFS($G$17:$G$369,"&lt;"&amp;F35,$H$17:$H$369,"&gt;="&amp;I35)+COUNTIFS($G$17:$G$369,"="&amp;F35,$H$17:$H$369,"&gt;"&amp;I35)=0,"是","否")</x:f>
        <x:v>否</x:v>
      </x:c>
      <x:c r="L35" s="13" t="str">
        <x:f>IF(COUNTIFS($F$17:$F$369,"&lt;"&amp;G35,$I$17:$I$369,"&gt;="&amp;H35)+COUNTIFS($F$17:$F$369,"="&amp;G35,$I$17:$I$369,"&gt;"&amp;H35)-IF(OR(G35&gt;F35,I35&gt;H35),1,0)=0,"是","否")</x:f>
        <x:v>否</x:v>
      </x:c>
      <x:c r="M35" s="13" t="n">
        <x:f>1+COUNTIF($H$17:$H$369,"&gt;"&amp;I35)</x:f>
        <x:v>31</x:v>
      </x:c>
      <x:c r="N35" s="13" t="n">
        <x:f>COUNTIF($I$17:$I$369,"&gt;="&amp;H35)</x:f>
        <x:v>34</x:v>
      </x:c>
      <x:c r="O35" s="13" t="str">
        <x:v>I04 Table_1!D716/P716/U716</x:v>
      </x:c>
    </x:row>
    <x:row r="36" ht="24" customHeight="1">
      <x:c r="A36" s="13" t="str">
        <x:v>M85027</x:v>
      </x:c>
      <x:c r="B36" s="13" t="str">
        <x:v>QHL</x:v>
      </x:c>
      <x:c r="C36" s="13" t="n">
        <x:v>96</x:v>
      </x:c>
      <x:c r="D36" s="30" t="n">
        <x:v>79.2</x:v>
      </x:c>
      <x:c r="E36" s="14" t="n">
        <x:f>C36*(1000-ROUND(D36*10,0))/1000</x:f>
        <x:v>19.968</x:v>
      </x:c>
      <x:c r="F36" s="14" t="n">
        <x:f>MAX(0,(ROUND(D36*100,0)-ROUND($B$3*100,0))/100)</x:f>
        <x:v>79.15</x:v>
      </x:c>
      <x:c r="G36" s="14" t="n">
        <x:f>MIN(100,(ROUND(D36*100,0)+ROUND($B$3*100,0))/100)</x:f>
        <x:v>79.25</x:v>
      </x:c>
      <x:c r="H36" s="40" t="n">
        <x:f>C36*(10000-ROUND(G36*100,0))/10000</x:f>
        <x:v>19.92</x:v>
      </x:c>
      <x:c r="I36" s="40" t="n">
        <x:f>C36*(10000-ROUND(F36*100,0))/10000</x:f>
        <x:v>20.016</x:v>
      </x:c>
      <x:c r="J36" s="13" t="str">
        <x:f>IF(COUNTIFS($D$17:$D$369,"&lt;"&amp;D36,$E$17:$E$369,"&gt;="&amp;E36)+COUNTIFS($D$17:$D$369,"="&amp;D36,$E$17:$E$369,"&gt;"&amp;E36)=0,"是","否")</x:f>
        <x:v>否</x:v>
      </x:c>
      <x:c r="K36" s="13" t="str">
        <x:f>IF(COUNTIFS($G$17:$G$369,"&lt;"&amp;F36,$H$17:$H$369,"&gt;="&amp;I36)+COUNTIFS($G$17:$G$369,"="&amp;F36,$H$17:$H$369,"&gt;"&amp;I36)=0,"是","否")</x:f>
        <x:v>否</x:v>
      </x:c>
      <x:c r="L36" s="13" t="str">
        <x:f>IF(COUNTIFS($F$17:$F$369,"&lt;"&amp;G36,$I$17:$I$369,"&gt;="&amp;H36)+COUNTIFS($F$17:$F$369,"="&amp;G36,$I$17:$I$369,"&gt;"&amp;H36)-IF(OR(G36&gt;F36,I36&gt;H36),1,0)=0,"是","否")</x:f>
        <x:v>否</x:v>
      </x:c>
      <x:c r="M36" s="13" t="n">
        <x:f>1+COUNTIF($H$17:$H$369,"&gt;"&amp;I36)</x:f>
        <x:v>130</x:v>
      </x:c>
      <x:c r="N36" s="13" t="n">
        <x:f>COUNTIF($I$17:$I$369,"&gt;="&amp;H36)</x:f>
        <x:v>141</x:v>
      </x:c>
      <x:c r="O36" s="13" t="str">
        <x:v>I04 Table_1!D717/P717/U717</x:v>
      </x:c>
    </x:row>
    <x:row r="37" ht="24" customHeight="1">
      <x:c r="A37" s="13" t="str">
        <x:v>M85028</x:v>
      </x:c>
      <x:c r="B37" s="13" t="str">
        <x:v>QHL</x:v>
      </x:c>
      <x:c r="C37" s="13" t="n">
        <x:v>298</x:v>
      </x:c>
      <x:c r="D37" s="30" t="n">
        <x:v>65.8</x:v>
      </x:c>
      <x:c r="E37" s="14" t="n">
        <x:f>C37*(1000-ROUND(D37*10,0))/1000</x:f>
        <x:v>101.916</x:v>
      </x:c>
      <x:c r="F37" s="14" t="n">
        <x:f>MAX(0,(ROUND(D37*100,0)-ROUND($B$3*100,0))/100)</x:f>
        <x:v>65.75</x:v>
      </x:c>
      <x:c r="G37" s="14" t="n">
        <x:f>MIN(100,(ROUND(D37*100,0)+ROUND($B$3*100,0))/100)</x:f>
        <x:v>65.85</x:v>
      </x:c>
      <x:c r="H37" s="40" t="n">
        <x:f>C37*(10000-ROUND(G37*100,0))/10000</x:f>
        <x:v>101.767</x:v>
      </x:c>
      <x:c r="I37" s="40" t="n">
        <x:f>C37*(10000-ROUND(F37*100,0))/10000</x:f>
        <x:v>102.065</x:v>
      </x:c>
      <x:c r="J37" s="13" t="str">
        <x:f>IF(COUNTIFS($D$17:$D$369,"&lt;"&amp;D37,$E$17:$E$369,"&gt;="&amp;E37)+COUNTIFS($D$17:$D$369,"="&amp;D37,$E$17:$E$369,"&gt;"&amp;E37)=0,"是","否")</x:f>
        <x:v>否</x:v>
      </x:c>
      <x:c r="K37" s="13" t="str">
        <x:f>IF(COUNTIFS($G$17:$G$369,"&lt;"&amp;F37,$H$17:$H$369,"&gt;="&amp;I37)+COUNTIFS($G$17:$G$369,"="&amp;F37,$H$17:$H$369,"&gt;"&amp;I37)=0,"是","否")</x:f>
        <x:v>否</x:v>
      </x:c>
      <x:c r="L37" s="13" t="str">
        <x:f>IF(COUNTIFS($F$17:$F$369,"&lt;"&amp;G37,$I$17:$I$369,"&gt;="&amp;H37)+COUNTIFS($F$17:$F$369,"="&amp;G37,$I$17:$I$369,"&gt;"&amp;H37)-IF(OR(G37&gt;F37,I37&gt;H37),1,0)=0,"是","否")</x:f>
        <x:v>否</x:v>
      </x:c>
      <x:c r="M37" s="13" t="n">
        <x:f>1+COUNTIF($H$17:$H$369,"&gt;"&amp;I37)</x:f>
        <x:v>5</x:v>
      </x:c>
      <x:c r="N37" s="13" t="n">
        <x:f>COUNTIF($I$17:$I$369,"&gt;="&amp;H37)</x:f>
        <x:v>5</x:v>
      </x:c>
      <x:c r="O37" s="13" t="str">
        <x:v>I04 Table_1!D718/P718/U718</x:v>
      </x:c>
    </x:row>
    <x:row r="38" ht="24" customHeight="1">
      <x:c r="A38" s="13" t="str">
        <x:v>M85029</x:v>
      </x:c>
      <x:c r="B38" s="13" t="str">
        <x:v>QHL</x:v>
      </x:c>
      <x:c r="C38" s="13" t="n">
        <x:v>179</x:v>
      </x:c>
      <x:c r="D38" s="30" t="n">
        <x:v>86.6</x:v>
      </x:c>
      <x:c r="E38" s="14" t="n">
        <x:f>C38*(1000-ROUND(D38*10,0))/1000</x:f>
        <x:v>23.986</x:v>
      </x:c>
      <x:c r="F38" s="14" t="n">
        <x:f>MAX(0,(ROUND(D38*100,0)-ROUND($B$3*100,0))/100)</x:f>
        <x:v>86.55</x:v>
      </x:c>
      <x:c r="G38" s="14" t="n">
        <x:f>MIN(100,(ROUND(D38*100,0)+ROUND($B$3*100,0))/100)</x:f>
        <x:v>86.65</x:v>
      </x:c>
      <x:c r="H38" s="40" t="n">
        <x:f>C38*(10000-ROUND(G38*100,0))/10000</x:f>
        <x:v>23.8965</x:v>
      </x:c>
      <x:c r="I38" s="40" t="n">
        <x:f>C38*(10000-ROUND(F38*100,0))/10000</x:f>
        <x:v>24.0755</x:v>
      </x:c>
      <x:c r="J38" s="13" t="str">
        <x:f>IF(COUNTIFS($D$17:$D$369,"&lt;"&amp;D38,$E$17:$E$369,"&gt;="&amp;E38)+COUNTIFS($D$17:$D$369,"="&amp;D38,$E$17:$E$369,"&gt;"&amp;E38)=0,"是","否")</x:f>
        <x:v>否</x:v>
      </x:c>
      <x:c r="K38" s="13" t="str">
        <x:f>IF(COUNTIFS($G$17:$G$369,"&lt;"&amp;F38,$H$17:$H$369,"&gt;="&amp;I38)+COUNTIFS($G$17:$G$369,"="&amp;F38,$H$17:$H$369,"&gt;"&amp;I38)=0,"是","否")</x:f>
        <x:v>否</x:v>
      </x:c>
      <x:c r="L38" s="13" t="str">
        <x:f>IF(COUNTIFS($F$17:$F$369,"&lt;"&amp;G38,$I$17:$I$369,"&gt;="&amp;H38)+COUNTIFS($F$17:$F$369,"="&amp;G38,$I$17:$I$369,"&gt;"&amp;H38)-IF(OR(G38&gt;F38,I38&gt;H38),1,0)=0,"是","否")</x:f>
        <x:v>否</x:v>
      </x:c>
      <x:c r="M38" s="13" t="n">
        <x:f>1+COUNTIF($H$17:$H$369,"&gt;"&amp;I38)</x:f>
        <x:v>101</x:v>
      </x:c>
      <x:c r="N38" s="13" t="n">
        <x:f>COUNTIF($I$17:$I$369,"&gt;="&amp;H38)</x:f>
        <x:v>111</x:v>
      </x:c>
      <x:c r="O38" s="13" t="str">
        <x:v>I04 Table_1!D719/P719/U719</x:v>
      </x:c>
    </x:row>
    <x:row r="39" ht="24" customHeight="1">
      <x:c r="A39" s="13" t="str">
        <x:v>M85030</x:v>
      </x:c>
      <x:c r="B39" s="13" t="str">
        <x:v>QHL</x:v>
      </x:c>
      <x:c r="C39" s="13" t="n">
        <x:v>217</x:v>
      </x:c>
      <x:c r="D39" s="30" t="n">
        <x:v>83.4</x:v>
      </x:c>
      <x:c r="E39" s="14" t="n">
        <x:f>C39*(1000-ROUND(D39*10,0))/1000</x:f>
        <x:v>36.022</x:v>
      </x:c>
      <x:c r="F39" s="14" t="n">
        <x:f>MAX(0,(ROUND(D39*100,0)-ROUND($B$3*100,0))/100)</x:f>
        <x:v>83.35</x:v>
      </x:c>
      <x:c r="G39" s="14" t="n">
        <x:f>MIN(100,(ROUND(D39*100,0)+ROUND($B$3*100,0))/100)</x:f>
        <x:v>83.45</x:v>
      </x:c>
      <x:c r="H39" s="40" t="n">
        <x:f>C39*(10000-ROUND(G39*100,0))/10000</x:f>
        <x:v>35.9135</x:v>
      </x:c>
      <x:c r="I39" s="40" t="n">
        <x:f>C39*(10000-ROUND(F39*100,0))/10000</x:f>
        <x:v>36.1305</x:v>
      </x:c>
      <x:c r="J39" s="13" t="str">
        <x:f>IF(COUNTIFS($D$17:$D$369,"&lt;"&amp;D39,$E$17:$E$369,"&gt;="&amp;E39)+COUNTIFS($D$17:$D$369,"="&amp;D39,$E$17:$E$369,"&gt;"&amp;E39)=0,"是","否")</x:f>
        <x:v>否</x:v>
      </x:c>
      <x:c r="K39" s="13" t="str">
        <x:f>IF(COUNTIFS($G$17:$G$369,"&lt;"&amp;F39,$H$17:$H$369,"&gt;="&amp;I39)+COUNTIFS($G$17:$G$369,"="&amp;F39,$H$17:$H$369,"&gt;"&amp;I39)=0,"是","否")</x:f>
        <x:v>否</x:v>
      </x:c>
      <x:c r="L39" s="13" t="str">
        <x:f>IF(COUNTIFS($F$17:$F$369,"&lt;"&amp;G39,$I$17:$I$369,"&gt;="&amp;H39)+COUNTIFS($F$17:$F$369,"="&amp;G39,$I$17:$I$369,"&gt;"&amp;H39)-IF(OR(G39&gt;F39,I39&gt;H39),1,0)=0,"是","否")</x:f>
        <x:v>否</x:v>
      </x:c>
      <x:c r="M39" s="13" t="n">
        <x:f>1+COUNTIF($H$17:$H$369,"&gt;"&amp;I39)</x:f>
        <x:v>52</x:v>
      </x:c>
      <x:c r="N39" s="13" t="n">
        <x:f>COUNTIF($I$17:$I$369,"&gt;="&amp;H39)</x:f>
        <x:v>54</x:v>
      </x:c>
      <x:c r="O39" s="13" t="str">
        <x:v>I04 Table_1!D720/P720/U720</x:v>
      </x:c>
    </x:row>
    <x:row r="40" ht="24" customHeight="1">
      <x:c r="A40" s="13" t="str">
        <x:v>M85031</x:v>
      </x:c>
      <x:c r="B40" s="13" t="str">
        <x:v>QHL</x:v>
      </x:c>
      <x:c r="C40" s="13" t="n">
        <x:v>148</x:v>
      </x:c>
      <x:c r="D40" s="30" t="n">
        <x:v>79.1</x:v>
      </x:c>
      <x:c r="E40" s="14" t="n">
        <x:f>C40*(1000-ROUND(D40*10,0))/1000</x:f>
        <x:v>30.932</x:v>
      </x:c>
      <x:c r="F40" s="14" t="n">
        <x:f>MAX(0,(ROUND(D40*100,0)-ROUND($B$3*100,0))/100)</x:f>
        <x:v>79.05</x:v>
      </x:c>
      <x:c r="G40" s="14" t="n">
        <x:f>MIN(100,(ROUND(D40*100,0)+ROUND($B$3*100,0))/100)</x:f>
        <x:v>79.15</x:v>
      </x:c>
      <x:c r="H40" s="40" t="n">
        <x:f>C40*(10000-ROUND(G40*100,0))/10000</x:f>
        <x:v>30.858</x:v>
      </x:c>
      <x:c r="I40" s="40" t="n">
        <x:f>C40*(10000-ROUND(F40*100,0))/10000</x:f>
        <x:v>31.006</x:v>
      </x:c>
      <x:c r="J40" s="13" t="str">
        <x:f>IF(COUNTIFS($D$17:$D$369,"&lt;"&amp;D40,$E$17:$E$369,"&gt;="&amp;E40)+COUNTIFS($D$17:$D$369,"="&amp;D40,$E$17:$E$369,"&gt;"&amp;E40)=0,"是","否")</x:f>
        <x:v>否</x:v>
      </x:c>
      <x:c r="K40" s="13" t="str">
        <x:f>IF(COUNTIFS($G$17:$G$369,"&lt;"&amp;F40,$H$17:$H$369,"&gt;="&amp;I40)+COUNTIFS($G$17:$G$369,"="&amp;F40,$H$17:$H$369,"&gt;"&amp;I40)=0,"是","否")</x:f>
        <x:v>否</x:v>
      </x:c>
      <x:c r="L40" s="13" t="str">
        <x:f>IF(COUNTIFS($F$17:$F$369,"&lt;"&amp;G40,$I$17:$I$369,"&gt;="&amp;H40)+COUNTIFS($F$17:$F$369,"="&amp;G40,$I$17:$I$369,"&gt;"&amp;H40)-IF(OR(G40&gt;F40,I40&gt;H40),1,0)=0,"是","否")</x:f>
        <x:v>否</x:v>
      </x:c>
      <x:c r="M40" s="13" t="n">
        <x:f>1+COUNTIF($H$17:$H$369,"&gt;"&amp;I40)</x:f>
        <x:v>74</x:v>
      </x:c>
      <x:c r="N40" s="13" t="n">
        <x:f>COUNTIF($I$17:$I$369,"&gt;="&amp;H40)</x:f>
        <x:v>79</x:v>
      </x:c>
      <x:c r="O40" s="13" t="str">
        <x:v>I04 Table_1!D721/P721/U721</x:v>
      </x:c>
    </x:row>
    <x:row r="41" ht="24" customHeight="1">
      <x:c r="A41" s="13" t="str">
        <x:v>M85033</x:v>
      </x:c>
      <x:c r="B41" s="13" t="str">
        <x:v>QHL</x:v>
      </x:c>
      <x:c r="C41" s="13" t="n">
        <x:v>202</x:v>
      </x:c>
      <x:c r="D41" s="30" t="n">
        <x:v>89.6</x:v>
      </x:c>
      <x:c r="E41" s="14" t="n">
        <x:f>C41*(1000-ROUND(D41*10,0))/1000</x:f>
        <x:v>21.008</x:v>
      </x:c>
      <x:c r="F41" s="14" t="n">
        <x:f>MAX(0,(ROUND(D41*100,0)-ROUND($B$3*100,0))/100)</x:f>
        <x:v>89.55</x:v>
      </x:c>
      <x:c r="G41" s="14" t="n">
        <x:f>MIN(100,(ROUND(D41*100,0)+ROUND($B$3*100,0))/100)</x:f>
        <x:v>89.65</x:v>
      </x:c>
      <x:c r="H41" s="40" t="n">
        <x:f>C41*(10000-ROUND(G41*100,0))/10000</x:f>
        <x:v>20.907</x:v>
      </x:c>
      <x:c r="I41" s="40" t="n">
        <x:f>C41*(10000-ROUND(F41*100,0))/10000</x:f>
        <x:v>21.109</x:v>
      </x:c>
      <x:c r="J41" s="13" t="str">
        <x:f>IF(COUNTIFS($D$17:$D$369,"&lt;"&amp;D41,$E$17:$E$369,"&gt;="&amp;E41)+COUNTIFS($D$17:$D$369,"="&amp;D41,$E$17:$E$369,"&gt;"&amp;E41)=0,"是","否")</x:f>
        <x:v>否</x:v>
      </x:c>
      <x:c r="K41" s="13" t="str">
        <x:f>IF(COUNTIFS($G$17:$G$369,"&lt;"&amp;F41,$H$17:$H$369,"&gt;="&amp;I41)+COUNTIFS($G$17:$G$369,"="&amp;F41,$H$17:$H$369,"&gt;"&amp;I41)=0,"是","否")</x:f>
        <x:v>否</x:v>
      </x:c>
      <x:c r="L41" s="13" t="str">
        <x:f>IF(COUNTIFS($F$17:$F$369,"&lt;"&amp;G41,$I$17:$I$369,"&gt;="&amp;H41)+COUNTIFS($F$17:$F$369,"="&amp;G41,$I$17:$I$369,"&gt;"&amp;H41)-IF(OR(G41&gt;F41,I41&gt;H41),1,0)=0,"是","否")</x:f>
        <x:v>否</x:v>
      </x:c>
      <x:c r="M41" s="13" t="n">
        <x:f>1+COUNTIF($H$17:$H$369,"&gt;"&amp;I41)</x:f>
        <x:v>123</x:v>
      </x:c>
      <x:c r="N41" s="13" t="n">
        <x:f>COUNTIF($I$17:$I$369,"&gt;="&amp;H41)</x:f>
        <x:v>129</x:v>
      </x:c>
      <x:c r="O41" s="13" t="str">
        <x:v>I04 Table_1!D722/P722/U722</x:v>
      </x:c>
    </x:row>
    <x:row r="42" ht="24" customHeight="1">
      <x:c r="A42" s="13" t="str">
        <x:v>M85034</x:v>
      </x:c>
      <x:c r="B42" s="13" t="str">
        <x:v>QHL</x:v>
      </x:c>
      <x:c r="C42" s="13" t="n">
        <x:v>279</x:v>
      </x:c>
      <x:c r="D42" s="30" t="n">
        <x:v>62</x:v>
      </x:c>
      <x:c r="E42" s="14" t="n">
        <x:f>C42*(1000-ROUND(D42*10,0))/1000</x:f>
        <x:v>106.02</x:v>
      </x:c>
      <x:c r="F42" s="14" t="n">
        <x:f>MAX(0,(ROUND(D42*100,0)-ROUND($B$3*100,0))/100)</x:f>
        <x:v>61.95</x:v>
      </x:c>
      <x:c r="G42" s="14" t="n">
        <x:f>MIN(100,(ROUND(D42*100,0)+ROUND($B$3*100,0))/100)</x:f>
        <x:v>62.05</x:v>
      </x:c>
      <x:c r="H42" s="40" t="n">
        <x:f>C42*(10000-ROUND(G42*100,0))/10000</x:f>
        <x:v>105.8805</x:v>
      </x:c>
      <x:c r="I42" s="40" t="n">
        <x:f>C42*(10000-ROUND(F42*100,0))/10000</x:f>
        <x:v>106.1595</x:v>
      </x:c>
      <x:c r="J42" s="13" t="str">
        <x:f>IF(COUNTIFS($D$17:$D$369,"&lt;"&amp;D42,$E$17:$E$369,"&gt;="&amp;E42)+COUNTIFS($D$17:$D$369,"="&amp;D42,$E$17:$E$369,"&gt;"&amp;E42)=0,"是","否")</x:f>
        <x:v>是</x:v>
      </x:c>
      <x:c r="K42" s="13" t="str">
        <x:f>IF(COUNTIFS($G$17:$G$369,"&lt;"&amp;F42,$H$17:$H$369,"&gt;="&amp;I42)+COUNTIFS($G$17:$G$369,"="&amp;F42,$H$17:$H$369,"&gt;"&amp;I42)=0,"是","否")</x:f>
        <x:v>是</x:v>
      </x:c>
      <x:c r="L42" s="13" t="str">
        <x:f>IF(COUNTIFS($F$17:$F$369,"&lt;"&amp;G42,$I$17:$I$369,"&gt;="&amp;H42)+COUNTIFS($F$17:$F$369,"="&amp;G42,$I$17:$I$369,"&gt;"&amp;H42)-IF(OR(G42&gt;F42,I42&gt;H42),1,0)=0,"是","否")</x:f>
        <x:v>是</x:v>
      </x:c>
      <x:c r="M42" s="13" t="n">
        <x:f>1+COUNTIF($H$17:$H$369,"&gt;"&amp;I42)</x:f>
        <x:v>3</x:v>
      </x:c>
      <x:c r="N42" s="13" t="n">
        <x:f>COUNTIF($I$17:$I$369,"&gt;="&amp;H42)</x:f>
        <x:v>3</x:v>
      </x:c>
      <x:c r="O42" s="13" t="str">
        <x:v>I04 Table_1!D723/P723/U723</x:v>
      </x:c>
    </x:row>
    <x:row r="43" ht="24" customHeight="1">
      <x:c r="A43" s="13" t="str">
        <x:v>M85035</x:v>
      </x:c>
      <x:c r="B43" s="13" t="str">
        <x:v>QHL</x:v>
      </x:c>
      <x:c r="C43" s="13" t="n">
        <x:v>83</x:v>
      </x:c>
      <x:c r="D43" s="30" t="n">
        <x:v>68.7</x:v>
      </x:c>
      <x:c r="E43" s="14" t="n">
        <x:f>C43*(1000-ROUND(D43*10,0))/1000</x:f>
        <x:v>25.979</x:v>
      </x:c>
      <x:c r="F43" s="14" t="n">
        <x:f>MAX(0,(ROUND(D43*100,0)-ROUND($B$3*100,0))/100)</x:f>
        <x:v>68.65</x:v>
      </x:c>
      <x:c r="G43" s="14" t="n">
        <x:f>MIN(100,(ROUND(D43*100,0)+ROUND($B$3*100,0))/100)</x:f>
        <x:v>68.75</x:v>
      </x:c>
      <x:c r="H43" s="40" t="n">
        <x:f>C43*(10000-ROUND(G43*100,0))/10000</x:f>
        <x:v>25.9375</x:v>
      </x:c>
      <x:c r="I43" s="40" t="n">
        <x:f>C43*(10000-ROUND(F43*100,0))/10000</x:f>
        <x:v>26.0205</x:v>
      </x:c>
      <x:c r="J43" s="13" t="str">
        <x:f>IF(COUNTIFS($D$17:$D$369,"&lt;"&amp;D43,$E$17:$E$369,"&gt;="&amp;E43)+COUNTIFS($D$17:$D$369,"="&amp;D43,$E$17:$E$369,"&gt;"&amp;E43)=0,"是","否")</x:f>
        <x:v>否</x:v>
      </x:c>
      <x:c r="K43" s="13" t="str">
        <x:f>IF(COUNTIFS($G$17:$G$369,"&lt;"&amp;F43,$H$17:$H$369,"&gt;="&amp;I43)+COUNTIFS($G$17:$G$369,"="&amp;F43,$H$17:$H$369,"&gt;"&amp;I43)=0,"是","否")</x:f>
        <x:v>否</x:v>
      </x:c>
      <x:c r="L43" s="13" t="str">
        <x:f>IF(COUNTIFS($F$17:$F$369,"&lt;"&amp;G43,$I$17:$I$369,"&gt;="&amp;H43)+COUNTIFS($F$17:$F$369,"="&amp;G43,$I$17:$I$369,"&gt;"&amp;H43)-IF(OR(G43&gt;F43,I43&gt;H43),1,0)=0,"是","否")</x:f>
        <x:v>否</x:v>
      </x:c>
      <x:c r="M43" s="13" t="n">
        <x:f>1+COUNTIF($H$17:$H$369,"&gt;"&amp;I43)</x:f>
        <x:v>93</x:v>
      </x:c>
      <x:c r="N43" s="13" t="n">
        <x:f>COUNTIF($I$17:$I$369,"&gt;="&amp;H43)</x:f>
        <x:v>95</x:v>
      </x:c>
      <x:c r="O43" s="13" t="str">
        <x:v>I04 Table_1!D724/P724/U724</x:v>
      </x:c>
    </x:row>
    <x:row r="44" ht="24" customHeight="1">
      <x:c r="A44" s="13" t="str">
        <x:v>M85037</x:v>
      </x:c>
      <x:c r="B44" s="13" t="str">
        <x:v>QHL</x:v>
      </x:c>
      <x:c r="C44" s="13" t="n">
        <x:v>111</x:v>
      </x:c>
      <x:c r="D44" s="30" t="n">
        <x:v>87.4</x:v>
      </x:c>
      <x:c r="E44" s="14" t="n">
        <x:f>C44*(1000-ROUND(D44*10,0))/1000</x:f>
        <x:v>13.986</x:v>
      </x:c>
      <x:c r="F44" s="14" t="n">
        <x:f>MAX(0,(ROUND(D44*100,0)-ROUND($B$3*100,0))/100)</x:f>
        <x:v>87.35</x:v>
      </x:c>
      <x:c r="G44" s="14" t="n">
        <x:f>MIN(100,(ROUND(D44*100,0)+ROUND($B$3*100,0))/100)</x:f>
        <x:v>87.45</x:v>
      </x:c>
      <x:c r="H44" s="40" t="n">
        <x:f>C44*(10000-ROUND(G44*100,0))/10000</x:f>
        <x:v>13.9305</x:v>
      </x:c>
      <x:c r="I44" s="40" t="n">
        <x:f>C44*(10000-ROUND(F44*100,0))/10000</x:f>
        <x:v>14.0415</x:v>
      </x:c>
      <x:c r="J44" s="13" t="str">
        <x:f>IF(COUNTIFS($D$17:$D$369,"&lt;"&amp;D44,$E$17:$E$369,"&gt;="&amp;E44)+COUNTIFS($D$17:$D$369,"="&amp;D44,$E$17:$E$369,"&gt;"&amp;E44)=0,"是","否")</x:f>
        <x:v>否</x:v>
      </x:c>
      <x:c r="K44" s="13" t="str">
        <x:f>IF(COUNTIFS($G$17:$G$369,"&lt;"&amp;F44,$H$17:$H$369,"&gt;="&amp;I44)+COUNTIFS($G$17:$G$369,"="&amp;F44,$H$17:$H$369,"&gt;"&amp;I44)=0,"是","否")</x:f>
        <x:v>否</x:v>
      </x:c>
      <x:c r="L44" s="13" t="str">
        <x:f>IF(COUNTIFS($F$17:$F$369,"&lt;"&amp;G44,$I$17:$I$369,"&gt;="&amp;H44)+COUNTIFS($F$17:$F$369,"="&amp;G44,$I$17:$I$369,"&gt;"&amp;H44)-IF(OR(G44&gt;F44,I44&gt;H44),1,0)=0,"是","否")</x:f>
        <x:v>否</x:v>
      </x:c>
      <x:c r="M44" s="13" t="n">
        <x:f>1+COUNTIF($H$17:$H$369,"&gt;"&amp;I44)</x:f>
        <x:v>190</x:v>
      </x:c>
      <x:c r="N44" s="13" t="n">
        <x:f>COUNTIF($I$17:$I$369,"&gt;="&amp;H44)</x:f>
        <x:v>199</x:v>
      </x:c>
      <x:c r="O44" s="13" t="str">
        <x:v>I04 Table_1!D725/P725/U725</x:v>
      </x:c>
    </x:row>
    <x:row r="45" ht="24" customHeight="1">
      <x:c r="A45" s="13" t="str">
        <x:v>M85041</x:v>
      </x:c>
      <x:c r="B45" s="13" t="str">
        <x:v>QHL</x:v>
      </x:c>
      <x:c r="C45" s="13" t="n">
        <x:v>69</x:v>
      </x:c>
      <x:c r="D45" s="30" t="n">
        <x:v>59.4</x:v>
      </x:c>
      <x:c r="E45" s="14" t="n">
        <x:f>C45*(1000-ROUND(D45*10,0))/1000</x:f>
        <x:v>28.014</x:v>
      </x:c>
      <x:c r="F45" s="14" t="n">
        <x:f>MAX(0,(ROUND(D45*100,0)-ROUND($B$3*100,0))/100)</x:f>
        <x:v>59.35</x:v>
      </x:c>
      <x:c r="G45" s="14" t="n">
        <x:f>MIN(100,(ROUND(D45*100,0)+ROUND($B$3*100,0))/100)</x:f>
        <x:v>59.45</x:v>
      </x:c>
      <x:c r="H45" s="40" t="n">
        <x:f>C45*(10000-ROUND(G45*100,0))/10000</x:f>
        <x:v>27.9795</x:v>
      </x:c>
      <x:c r="I45" s="40" t="n">
        <x:f>C45*(10000-ROUND(F45*100,0))/10000</x:f>
        <x:v>28.0485</x:v>
      </x:c>
      <x:c r="J45" s="13" t="str">
        <x:f>IF(COUNTIFS($D$17:$D$369,"&lt;"&amp;D45,$E$17:$E$369,"&gt;="&amp;E45)+COUNTIFS($D$17:$D$369,"="&amp;D45,$E$17:$E$369,"&gt;"&amp;E45)=0,"是","否")</x:f>
        <x:v>否</x:v>
      </x:c>
      <x:c r="K45" s="13" t="str">
        <x:f>IF(COUNTIFS($G$17:$G$369,"&lt;"&amp;F45,$H$17:$H$369,"&gt;="&amp;I45)+COUNTIFS($G$17:$G$369,"="&amp;F45,$H$17:$H$369,"&gt;"&amp;I45)=0,"是","否")</x:f>
        <x:v>否</x:v>
      </x:c>
      <x:c r="L45" s="13" t="str">
        <x:f>IF(COUNTIFS($F$17:$F$369,"&lt;"&amp;G45,$I$17:$I$369,"&gt;="&amp;H45)+COUNTIFS($F$17:$F$369,"="&amp;G45,$I$17:$I$369,"&gt;"&amp;H45)-IF(OR(G45&gt;F45,I45&gt;H45),1,0)=0,"是","否")</x:f>
        <x:v>否</x:v>
      </x:c>
      <x:c r="M45" s="13" t="n">
        <x:f>1+COUNTIF($H$17:$H$369,"&gt;"&amp;I45)</x:f>
        <x:v>86</x:v>
      </x:c>
      <x:c r="N45" s="13" t="n">
        <x:f>COUNTIF($I$17:$I$369,"&gt;="&amp;H45)</x:f>
        <x:v>88</x:v>
      </x:c>
      <x:c r="O45" s="13" t="str">
        <x:v>I04 Table_1!D726/P726/U726</x:v>
      </x:c>
    </x:row>
    <x:row r="46" ht="24" customHeight="1">
      <x:c r="A46" s="13" t="str">
        <x:v>M85042</x:v>
      </x:c>
      <x:c r="B46" s="13" t="str">
        <x:v>QHL</x:v>
      </x:c>
      <x:c r="C46" s="13" t="n">
        <x:v>60</x:v>
      </x:c>
      <x:c r="D46" s="30" t="n">
        <x:v>86.7</x:v>
      </x:c>
      <x:c r="E46" s="14" t="n">
        <x:f>C46*(1000-ROUND(D46*10,0))/1000</x:f>
        <x:v>7.98</x:v>
      </x:c>
      <x:c r="F46" s="14" t="n">
        <x:f>MAX(0,(ROUND(D46*100,0)-ROUND($B$3*100,0))/100)</x:f>
        <x:v>86.65</x:v>
      </x:c>
      <x:c r="G46" s="14" t="n">
        <x:f>MIN(100,(ROUND(D46*100,0)+ROUND($B$3*100,0))/100)</x:f>
        <x:v>86.75</x:v>
      </x:c>
      <x:c r="H46" s="40" t="n">
        <x:f>C46*(10000-ROUND(G46*100,0))/10000</x:f>
        <x:v>7.95</x:v>
      </x:c>
      <x:c r="I46" s="40" t="n">
        <x:f>C46*(10000-ROUND(F46*100,0))/10000</x:f>
        <x:v>8.01</x:v>
      </x:c>
      <x:c r="J46" s="13" t="str">
        <x:f>IF(COUNTIFS($D$17:$D$369,"&lt;"&amp;D46,$E$17:$E$369,"&gt;="&amp;E46)+COUNTIFS($D$17:$D$369,"="&amp;D46,$E$17:$E$369,"&gt;"&amp;E46)=0,"是","否")</x:f>
        <x:v>否</x:v>
      </x:c>
      <x:c r="K46" s="13" t="str">
        <x:f>IF(COUNTIFS($G$17:$G$369,"&lt;"&amp;F46,$H$17:$H$369,"&gt;="&amp;I46)+COUNTIFS($G$17:$G$369,"="&amp;F46,$H$17:$H$369,"&gt;"&amp;I46)=0,"是","否")</x:f>
        <x:v>否</x:v>
      </x:c>
      <x:c r="L46" s="13" t="str">
        <x:f>IF(COUNTIFS($F$17:$F$369,"&lt;"&amp;G46,$I$17:$I$369,"&gt;="&amp;H46)+COUNTIFS($F$17:$F$369,"="&amp;G46,$I$17:$I$369,"&gt;"&amp;H46)-IF(OR(G46&gt;F46,I46&gt;H46),1,0)=0,"是","否")</x:f>
        <x:v>否</x:v>
      </x:c>
      <x:c r="M46" s="13" t="n">
        <x:f>1+COUNTIF($H$17:$H$369,"&gt;"&amp;I46)</x:f>
        <x:v>257</x:v>
      </x:c>
      <x:c r="N46" s="13" t="n">
        <x:f>COUNTIF($I$17:$I$369,"&gt;="&amp;H46)</x:f>
        <x:v>271</x:v>
      </x:c>
      <x:c r="O46" s="13" t="str">
        <x:v>I04 Table_1!D727/P727/U727</x:v>
      </x:c>
    </x:row>
    <x:row r="47" ht="24" customHeight="1">
      <x:c r="A47" s="13" t="str">
        <x:v>M85043</x:v>
      </x:c>
      <x:c r="B47" s="13" t="str">
        <x:v>QHL</x:v>
      </x:c>
      <x:c r="C47" s="13" t="n">
        <x:v>59</x:v>
      </x:c>
      <x:c r="D47" s="30" t="n">
        <x:v>66.1</x:v>
      </x:c>
      <x:c r="E47" s="14" t="n">
        <x:f>C47*(1000-ROUND(D47*10,0))/1000</x:f>
        <x:v>20.001</x:v>
      </x:c>
      <x:c r="F47" s="14" t="n">
        <x:f>MAX(0,(ROUND(D47*100,0)-ROUND($B$3*100,0))/100)</x:f>
        <x:v>66.05</x:v>
      </x:c>
      <x:c r="G47" s="14" t="n">
        <x:f>MIN(100,(ROUND(D47*100,0)+ROUND($B$3*100,0))/100)</x:f>
        <x:v>66.15</x:v>
      </x:c>
      <x:c r="H47" s="40" t="n">
        <x:f>C47*(10000-ROUND(G47*100,0))/10000</x:f>
        <x:v>19.9715</x:v>
      </x:c>
      <x:c r="I47" s="40" t="n">
        <x:f>C47*(10000-ROUND(F47*100,0))/10000</x:f>
        <x:v>20.0305</x:v>
      </x:c>
      <x:c r="J47" s="13" t="str">
        <x:f>IF(COUNTIFS($D$17:$D$369,"&lt;"&amp;D47,$E$17:$E$369,"&gt;="&amp;E47)+COUNTIFS($D$17:$D$369,"="&amp;D47,$E$17:$E$369,"&gt;"&amp;E47)=0,"是","否")</x:f>
        <x:v>否</x:v>
      </x:c>
      <x:c r="K47" s="13" t="str">
        <x:f>IF(COUNTIFS($G$17:$G$369,"&lt;"&amp;F47,$H$17:$H$369,"&gt;="&amp;I47)+COUNTIFS($G$17:$G$369,"="&amp;F47,$H$17:$H$369,"&gt;"&amp;I47)=0,"是","否")</x:f>
        <x:v>否</x:v>
      </x:c>
      <x:c r="L47" s="13" t="str">
        <x:f>IF(COUNTIFS($F$17:$F$369,"&lt;"&amp;G47,$I$17:$I$369,"&gt;="&amp;H47)+COUNTIFS($F$17:$F$369,"="&amp;G47,$I$17:$I$369,"&gt;"&amp;H47)-IF(OR(G47&gt;F47,I47&gt;H47),1,0)=0,"是","否")</x:f>
        <x:v>否</x:v>
      </x:c>
      <x:c r="M47" s="13" t="n">
        <x:f>1+COUNTIF($H$17:$H$369,"&gt;"&amp;I47)</x:f>
        <x:v>130</x:v>
      </x:c>
      <x:c r="N47" s="13" t="n">
        <x:f>COUNTIF($I$17:$I$369,"&gt;="&amp;H47)</x:f>
        <x:v>141</x:v>
      </x:c>
      <x:c r="O47" s="13" t="str">
        <x:v>I04 Table_1!D728/P728/U728</x:v>
      </x:c>
    </x:row>
    <x:row r="48" ht="24" customHeight="1">
      <x:c r="A48" s="13" t="str">
        <x:v>M85046</x:v>
      </x:c>
      <x:c r="B48" s="13" t="str">
        <x:v>QHL</x:v>
      </x:c>
      <x:c r="C48" s="13" t="n">
        <x:v>582</x:v>
      </x:c>
      <x:c r="D48" s="30" t="n">
        <x:v>89.5</x:v>
      </x:c>
      <x:c r="E48" s="14" t="n">
        <x:f>C48*(1000-ROUND(D48*10,0))/1000</x:f>
        <x:v>61.11</x:v>
      </x:c>
      <x:c r="F48" s="14" t="n">
        <x:f>MAX(0,(ROUND(D48*100,0)-ROUND($B$3*100,0))/100)</x:f>
        <x:v>89.45</x:v>
      </x:c>
      <x:c r="G48" s="14" t="n">
        <x:f>MIN(100,(ROUND(D48*100,0)+ROUND($B$3*100,0))/100)</x:f>
        <x:v>89.55</x:v>
      </x:c>
      <x:c r="H48" s="40" t="n">
        <x:f>C48*(10000-ROUND(G48*100,0))/10000</x:f>
        <x:v>60.819</x:v>
      </x:c>
      <x:c r="I48" s="40" t="n">
        <x:f>C48*(10000-ROUND(F48*100,0))/10000</x:f>
        <x:v>61.401</x:v>
      </x:c>
      <x:c r="J48" s="13" t="str">
        <x:f>IF(COUNTIFS($D$17:$D$369,"&lt;"&amp;D48,$E$17:$E$369,"&gt;="&amp;E48)+COUNTIFS($D$17:$D$369,"="&amp;D48,$E$17:$E$369,"&gt;"&amp;E48)=0,"是","否")</x:f>
        <x:v>否</x:v>
      </x:c>
      <x:c r="K48" s="13" t="str">
        <x:f>IF(COUNTIFS($G$17:$G$369,"&lt;"&amp;F48,$H$17:$H$369,"&gt;="&amp;I48)+COUNTIFS($G$17:$G$369,"="&amp;F48,$H$17:$H$369,"&gt;"&amp;I48)=0,"是","否")</x:f>
        <x:v>否</x:v>
      </x:c>
      <x:c r="L48" s="13" t="str">
        <x:f>IF(COUNTIFS($F$17:$F$369,"&lt;"&amp;G48,$I$17:$I$369,"&gt;="&amp;H48)+COUNTIFS($F$17:$F$369,"="&amp;G48,$I$17:$I$369,"&gt;"&amp;H48)-IF(OR(G48&gt;F48,I48&gt;H48),1,0)=0,"是","否")</x:f>
        <x:v>否</x:v>
      </x:c>
      <x:c r="M48" s="13" t="n">
        <x:f>1+COUNTIF($H$17:$H$369,"&gt;"&amp;I48)</x:f>
        <x:v>14</x:v>
      </x:c>
      <x:c r="N48" s="13" t="n">
        <x:f>COUNTIF($I$17:$I$369,"&gt;="&amp;H48)</x:f>
        <x:v>14</x:v>
      </x:c>
      <x:c r="O48" s="13" t="str">
        <x:v>I04 Table_1!D729/P729/U729</x:v>
      </x:c>
    </x:row>
    <x:row r="49" ht="24" customHeight="1">
      <x:c r="A49" s="13" t="str">
        <x:v>M85047</x:v>
      </x:c>
      <x:c r="B49" s="13" t="str">
        <x:v>QHL</x:v>
      </x:c>
      <x:c r="C49" s="13" t="n">
        <x:v>69</x:v>
      </x:c>
      <x:c r="D49" s="30" t="n">
        <x:v>75.4</x:v>
      </x:c>
      <x:c r="E49" s="14" t="n">
        <x:f>C49*(1000-ROUND(D49*10,0))/1000</x:f>
        <x:v>16.974</x:v>
      </x:c>
      <x:c r="F49" s="14" t="n">
        <x:f>MAX(0,(ROUND(D49*100,0)-ROUND($B$3*100,0))/100)</x:f>
        <x:v>75.35</x:v>
      </x:c>
      <x:c r="G49" s="14" t="n">
        <x:f>MIN(100,(ROUND(D49*100,0)+ROUND($B$3*100,0))/100)</x:f>
        <x:v>75.45</x:v>
      </x:c>
      <x:c r="H49" s="40" t="n">
        <x:f>C49*(10000-ROUND(G49*100,0))/10000</x:f>
        <x:v>16.9395</x:v>
      </x:c>
      <x:c r="I49" s="40" t="n">
        <x:f>C49*(10000-ROUND(F49*100,0))/10000</x:f>
        <x:v>17.0085</x:v>
      </x:c>
      <x:c r="J49" s="13" t="str">
        <x:f>IF(COUNTIFS($D$17:$D$369,"&lt;"&amp;D49,$E$17:$E$369,"&gt;="&amp;E49)+COUNTIFS($D$17:$D$369,"="&amp;D49,$E$17:$E$369,"&gt;"&amp;E49)=0,"是","否")</x:f>
        <x:v>否</x:v>
      </x:c>
      <x:c r="K49" s="13" t="str">
        <x:f>IF(COUNTIFS($G$17:$G$369,"&lt;"&amp;F49,$H$17:$H$369,"&gt;="&amp;I49)+COUNTIFS($G$17:$G$369,"="&amp;F49,$H$17:$H$369,"&gt;"&amp;I49)=0,"是","否")</x:f>
        <x:v>否</x:v>
      </x:c>
      <x:c r="L49" s="13" t="str">
        <x:f>IF(COUNTIFS($F$17:$F$369,"&lt;"&amp;G49,$I$17:$I$369,"&gt;="&amp;H49)+COUNTIFS($F$17:$F$369,"="&amp;G49,$I$17:$I$369,"&gt;"&amp;H49)-IF(OR(G49&gt;F49,I49&gt;H49),1,0)=0,"是","否")</x:f>
        <x:v>否</x:v>
      </x:c>
      <x:c r="M49" s="13" t="n">
        <x:f>1+COUNTIF($H$17:$H$369,"&gt;"&amp;I49)</x:f>
        <x:v>158</x:v>
      </x:c>
      <x:c r="N49" s="13" t="n">
        <x:f>COUNTIF($I$17:$I$369,"&gt;="&amp;H49)</x:f>
        <x:v>166</x:v>
      </x:c>
      <x:c r="O49" s="13" t="str">
        <x:v>I04 Table_1!D730/P730/U730</x:v>
      </x:c>
    </x:row>
    <x:row r="50" ht="24" customHeight="1">
      <x:c r="A50" s="13" t="str">
        <x:v>M85048</x:v>
      </x:c>
      <x:c r="B50" s="13" t="str">
        <x:v>QHL</x:v>
      </x:c>
      <x:c r="C50" s="13" t="n">
        <x:v>127</x:v>
      </x:c>
      <x:c r="D50" s="30" t="n">
        <x:v>74</x:v>
      </x:c>
      <x:c r="E50" s="14" t="n">
        <x:f>C50*(1000-ROUND(D50*10,0))/1000</x:f>
        <x:v>33.02</x:v>
      </x:c>
      <x:c r="F50" s="14" t="n">
        <x:f>MAX(0,(ROUND(D50*100,0)-ROUND($B$3*100,0))/100)</x:f>
        <x:v>73.95</x:v>
      </x:c>
      <x:c r="G50" s="14" t="n">
        <x:f>MIN(100,(ROUND(D50*100,0)+ROUND($B$3*100,0))/100)</x:f>
        <x:v>74.05</x:v>
      </x:c>
      <x:c r="H50" s="40" t="n">
        <x:f>C50*(10000-ROUND(G50*100,0))/10000</x:f>
        <x:v>32.9565</x:v>
      </x:c>
      <x:c r="I50" s="40" t="n">
        <x:f>C50*(10000-ROUND(F50*100,0))/10000</x:f>
        <x:v>33.0835</x:v>
      </x:c>
      <x:c r="J50" s="13" t="str">
        <x:f>IF(COUNTIFS($D$17:$D$369,"&lt;"&amp;D50,$E$17:$E$369,"&gt;="&amp;E50)+COUNTIFS($D$17:$D$369,"="&amp;D50,$E$17:$E$369,"&gt;"&amp;E50)=0,"是","否")</x:f>
        <x:v>否</x:v>
      </x:c>
      <x:c r="K50" s="13" t="str">
        <x:f>IF(COUNTIFS($G$17:$G$369,"&lt;"&amp;F50,$H$17:$H$369,"&gt;="&amp;I50)+COUNTIFS($G$17:$G$369,"="&amp;F50,$H$17:$H$369,"&gt;"&amp;I50)=0,"是","否")</x:f>
        <x:v>否</x:v>
      </x:c>
      <x:c r="L50" s="13" t="str">
        <x:f>IF(COUNTIFS($F$17:$F$369,"&lt;"&amp;G50,$I$17:$I$369,"&gt;="&amp;H50)+COUNTIFS($F$17:$F$369,"="&amp;G50,$I$17:$I$369,"&gt;"&amp;H50)-IF(OR(G50&gt;F50,I50&gt;H50),1,0)=0,"是","否")</x:f>
        <x:v>否</x:v>
      </x:c>
      <x:c r="M50" s="13" t="n">
        <x:f>1+COUNTIF($H$17:$H$369,"&gt;"&amp;I50)</x:f>
        <x:v>60</x:v>
      </x:c>
      <x:c r="N50" s="13" t="n">
        <x:f>COUNTIF($I$17:$I$369,"&gt;="&amp;H50)</x:f>
        <x:v>63</x:v>
      </x:c>
      <x:c r="O50" s="13" t="str">
        <x:v>I04 Table_1!D731/P731/U731</x:v>
      </x:c>
    </x:row>
    <x:row r="51" ht="24" customHeight="1">
      <x:c r="A51" s="13" t="str">
        <x:v>M85051</x:v>
      </x:c>
      <x:c r="B51" s="13" t="str">
        <x:v>QHL</x:v>
      </x:c>
      <x:c r="C51" s="13" t="n">
        <x:v>98</x:v>
      </x:c>
      <x:c r="D51" s="30" t="n">
        <x:v>70.4</x:v>
      </x:c>
      <x:c r="E51" s="14" t="n">
        <x:f>C51*(1000-ROUND(D51*10,0))/1000</x:f>
        <x:v>29.008</x:v>
      </x:c>
      <x:c r="F51" s="14" t="n">
        <x:f>MAX(0,(ROUND(D51*100,0)-ROUND($B$3*100,0))/100)</x:f>
        <x:v>70.35</x:v>
      </x:c>
      <x:c r="G51" s="14" t="n">
        <x:f>MIN(100,(ROUND(D51*100,0)+ROUND($B$3*100,0))/100)</x:f>
        <x:v>70.45</x:v>
      </x:c>
      <x:c r="H51" s="40" t="n">
        <x:f>C51*(10000-ROUND(G51*100,0))/10000</x:f>
        <x:v>28.959</x:v>
      </x:c>
      <x:c r="I51" s="40" t="n">
        <x:f>C51*(10000-ROUND(F51*100,0))/10000</x:f>
        <x:v>29.057</x:v>
      </x:c>
      <x:c r="J51" s="13" t="str">
        <x:f>IF(COUNTIFS($D$17:$D$369,"&lt;"&amp;D51,$E$17:$E$369,"&gt;="&amp;E51)+COUNTIFS($D$17:$D$369,"="&amp;D51,$E$17:$E$369,"&gt;"&amp;E51)=0,"是","否")</x:f>
        <x:v>否</x:v>
      </x:c>
      <x:c r="K51" s="13" t="str">
        <x:f>IF(COUNTIFS($G$17:$G$369,"&lt;"&amp;F51,$H$17:$H$369,"&gt;="&amp;I51)+COUNTIFS($G$17:$G$369,"="&amp;F51,$H$17:$H$369,"&gt;"&amp;I51)=0,"是","否")</x:f>
        <x:v>否</x:v>
      </x:c>
      <x:c r="L51" s="13" t="str">
        <x:f>IF(COUNTIFS($F$17:$F$369,"&lt;"&amp;G51,$I$17:$I$369,"&gt;="&amp;H51)+COUNTIFS($F$17:$F$369,"="&amp;G51,$I$17:$I$369,"&gt;"&amp;H51)-IF(OR(G51&gt;F51,I51&gt;H51),1,0)=0,"是","否")</x:f>
        <x:v>否</x:v>
      </x:c>
      <x:c r="M51" s="13" t="n">
        <x:f>1+COUNTIF($H$17:$H$369,"&gt;"&amp;I51)</x:f>
        <x:v>83</x:v>
      </x:c>
      <x:c r="N51" s="13" t="n">
        <x:f>COUNTIF($I$17:$I$369,"&gt;="&amp;H51)</x:f>
        <x:v>85</x:v>
      </x:c>
      <x:c r="O51" s="13" t="str">
        <x:v>I04 Table_1!D732/P732/U732</x:v>
      </x:c>
    </x:row>
    <x:row r="52" ht="24" customHeight="1">
      <x:c r="A52" s="13" t="str">
        <x:v>M85053</x:v>
      </x:c>
      <x:c r="B52" s="13" t="str">
        <x:v>QHL</x:v>
      </x:c>
      <x:c r="C52" s="13" t="n">
        <x:v>106</x:v>
      </x:c>
      <x:c r="D52" s="30" t="n">
        <x:v>64.2</x:v>
      </x:c>
      <x:c r="E52" s="14" t="n">
        <x:f>C52*(1000-ROUND(D52*10,0))/1000</x:f>
        <x:v>37.948</x:v>
      </x:c>
      <x:c r="F52" s="14" t="n">
        <x:f>MAX(0,(ROUND(D52*100,0)-ROUND($B$3*100,0))/100)</x:f>
        <x:v>64.15</x:v>
      </x:c>
      <x:c r="G52" s="14" t="n">
        <x:f>MIN(100,(ROUND(D52*100,0)+ROUND($B$3*100,0))/100)</x:f>
        <x:v>64.25</x:v>
      </x:c>
      <x:c r="H52" s="40" t="n">
        <x:f>C52*(10000-ROUND(G52*100,0))/10000</x:f>
        <x:v>37.895</x:v>
      </x:c>
      <x:c r="I52" s="40" t="n">
        <x:f>C52*(10000-ROUND(F52*100,0))/10000</x:f>
        <x:v>38.001</x:v>
      </x:c>
      <x:c r="J52" s="13" t="str">
        <x:f>IF(COUNTIFS($D$17:$D$369,"&lt;"&amp;D52,$E$17:$E$369,"&gt;="&amp;E52)+COUNTIFS($D$17:$D$369,"="&amp;D52,$E$17:$E$369,"&gt;"&amp;E52)=0,"是","否")</x:f>
        <x:v>否</x:v>
      </x:c>
      <x:c r="K52" s="13" t="str">
        <x:f>IF(COUNTIFS($G$17:$G$369,"&lt;"&amp;F52,$H$17:$H$369,"&gt;="&amp;I52)+COUNTIFS($G$17:$G$369,"="&amp;F52,$H$17:$H$369,"&gt;"&amp;I52)=0,"是","否")</x:f>
        <x:v>否</x:v>
      </x:c>
      <x:c r="L52" s="13" t="str">
        <x:f>IF(COUNTIFS($F$17:$F$369,"&lt;"&amp;G52,$I$17:$I$369,"&gt;="&amp;H52)+COUNTIFS($F$17:$F$369,"="&amp;G52,$I$17:$I$369,"&gt;"&amp;H52)-IF(OR(G52&gt;F52,I52&gt;H52),1,0)=0,"是","否")</x:f>
        <x:v>否</x:v>
      </x:c>
      <x:c r="M52" s="13" t="n">
        <x:f>1+COUNTIF($H$17:$H$369,"&gt;"&amp;I52)</x:f>
        <x:v>42</x:v>
      </x:c>
      <x:c r="N52" s="13" t="n">
        <x:f>COUNTIF($I$17:$I$369,"&gt;="&amp;H52)</x:f>
        <x:v>46</x:v>
      </x:c>
      <x:c r="O52" s="13" t="str">
        <x:v>I04 Table_1!D733/P733/U733</x:v>
      </x:c>
    </x:row>
    <x:row r="53" ht="24" customHeight="1">
      <x:c r="A53" s="13" t="str">
        <x:v>M85055</x:v>
      </x:c>
      <x:c r="B53" s="13" t="str">
        <x:v>QHL</x:v>
      </x:c>
      <x:c r="C53" s="13" t="n">
        <x:v>73</x:v>
      </x:c>
      <x:c r="D53" s="30" t="n">
        <x:v>78.1</x:v>
      </x:c>
      <x:c r="E53" s="14" t="n">
        <x:f>C53*(1000-ROUND(D53*10,0))/1000</x:f>
        <x:v>15.987</x:v>
      </x:c>
      <x:c r="F53" s="14" t="n">
        <x:f>MAX(0,(ROUND(D53*100,0)-ROUND($B$3*100,0))/100)</x:f>
        <x:v>78.05</x:v>
      </x:c>
      <x:c r="G53" s="14" t="n">
        <x:f>MIN(100,(ROUND(D53*100,0)+ROUND($B$3*100,0))/100)</x:f>
        <x:v>78.15</x:v>
      </x:c>
      <x:c r="H53" s="40" t="n">
        <x:f>C53*(10000-ROUND(G53*100,0))/10000</x:f>
        <x:v>15.9505</x:v>
      </x:c>
      <x:c r="I53" s="40" t="n">
        <x:f>C53*(10000-ROUND(F53*100,0))/10000</x:f>
        <x:v>16.0235</x:v>
      </x:c>
      <x:c r="J53" s="13" t="str">
        <x:f>IF(COUNTIFS($D$17:$D$369,"&lt;"&amp;D53,$E$17:$E$369,"&gt;="&amp;E53)+COUNTIFS($D$17:$D$369,"="&amp;D53,$E$17:$E$369,"&gt;"&amp;E53)=0,"是","否")</x:f>
        <x:v>否</x:v>
      </x:c>
      <x:c r="K53" s="13" t="str">
        <x:f>IF(COUNTIFS($G$17:$G$369,"&lt;"&amp;F53,$H$17:$H$369,"&gt;="&amp;I53)+COUNTIFS($G$17:$G$369,"="&amp;F53,$H$17:$H$369,"&gt;"&amp;I53)=0,"是","否")</x:f>
        <x:v>否</x:v>
      </x:c>
      <x:c r="L53" s="13" t="str">
        <x:f>IF(COUNTIFS($F$17:$F$369,"&lt;"&amp;G53,$I$17:$I$369,"&gt;="&amp;H53)+COUNTIFS($F$17:$F$369,"="&amp;G53,$I$17:$I$369,"&gt;"&amp;H53)-IF(OR(G53&gt;F53,I53&gt;H53),1,0)=0,"是","否")</x:f>
        <x:v>否</x:v>
      </x:c>
      <x:c r="M53" s="13" t="n">
        <x:f>1+COUNTIF($H$17:$H$369,"&gt;"&amp;I53)</x:f>
        <x:v>167</x:v>
      </x:c>
      <x:c r="N53" s="13" t="n">
        <x:f>COUNTIF($I$17:$I$369,"&gt;="&amp;H53)</x:f>
        <x:v>176</x:v>
      </x:c>
      <x:c r="O53" s="13" t="str">
        <x:v>I04 Table_1!D734/P734/U734</x:v>
      </x:c>
    </x:row>
    <x:row r="54" ht="24" customHeight="1">
      <x:c r="A54" s="13" t="str">
        <x:v>M85056</x:v>
      </x:c>
      <x:c r="B54" s="13" t="str">
        <x:v>QHL</x:v>
      </x:c>
      <x:c r="C54" s="13" t="n">
        <x:v>96</x:v>
      </x:c>
      <x:c r="D54" s="30" t="n">
        <x:v>81.2</x:v>
      </x:c>
      <x:c r="E54" s="14" t="n">
        <x:f>C54*(1000-ROUND(D54*10,0))/1000</x:f>
        <x:v>18.048</x:v>
      </x:c>
      <x:c r="F54" s="14" t="n">
        <x:f>MAX(0,(ROUND(D54*100,0)-ROUND($B$3*100,0))/100)</x:f>
        <x:v>81.15</x:v>
      </x:c>
      <x:c r="G54" s="14" t="n">
        <x:f>MIN(100,(ROUND(D54*100,0)+ROUND($B$3*100,0))/100)</x:f>
        <x:v>81.25</x:v>
      </x:c>
      <x:c r="H54" s="40" t="n">
        <x:f>C54*(10000-ROUND(G54*100,0))/10000</x:f>
        <x:v>18</x:v>
      </x:c>
      <x:c r="I54" s="40" t="n">
        <x:f>C54*(10000-ROUND(F54*100,0))/10000</x:f>
        <x:v>18.096</x:v>
      </x:c>
      <x:c r="J54" s="13" t="str">
        <x:f>IF(COUNTIFS($D$17:$D$369,"&lt;"&amp;D54,$E$17:$E$369,"&gt;="&amp;E54)+COUNTIFS($D$17:$D$369,"="&amp;D54,$E$17:$E$369,"&gt;"&amp;E54)=0,"是","否")</x:f>
        <x:v>否</x:v>
      </x:c>
      <x:c r="K54" s="13" t="str">
        <x:f>IF(COUNTIFS($G$17:$G$369,"&lt;"&amp;F54,$H$17:$H$369,"&gt;="&amp;I54)+COUNTIFS($G$17:$G$369,"="&amp;F54,$H$17:$H$369,"&gt;"&amp;I54)=0,"是","否")</x:f>
        <x:v>否</x:v>
      </x:c>
      <x:c r="L54" s="13" t="str">
        <x:f>IF(COUNTIFS($F$17:$F$369,"&lt;"&amp;G54,$I$17:$I$369,"&gt;="&amp;H54)+COUNTIFS($F$17:$F$369,"="&amp;G54,$I$17:$I$369,"&gt;"&amp;H54)-IF(OR(G54&gt;F54,I54&gt;H54),1,0)=0,"是","否")</x:f>
        <x:v>否</x:v>
      </x:c>
      <x:c r="M54" s="13" t="n">
        <x:f>1+COUNTIF($H$17:$H$369,"&gt;"&amp;I54)</x:f>
        <x:v>152</x:v>
      </x:c>
      <x:c r="N54" s="13" t="n">
        <x:f>COUNTIF($I$17:$I$369,"&gt;="&amp;H54)</x:f>
        <x:v>157</x:v>
      </x:c>
      <x:c r="O54" s="13" t="str">
        <x:v>I04 Table_1!D735/P735/U735</x:v>
      </x:c>
    </x:row>
    <x:row r="55" ht="24" customHeight="1">
      <x:c r="A55" s="13" t="str">
        <x:v>M85058</x:v>
      </x:c>
      <x:c r="B55" s="13" t="str">
        <x:v>QHL</x:v>
      </x:c>
      <x:c r="C55" s="13" t="n">
        <x:v>162</x:v>
      </x:c>
      <x:c r="D55" s="30" t="n">
        <x:v>75.3</x:v>
      </x:c>
      <x:c r="E55" s="14" t="n">
        <x:f>C55*(1000-ROUND(D55*10,0))/1000</x:f>
        <x:v>40.014</x:v>
      </x:c>
      <x:c r="F55" s="14" t="n">
        <x:f>MAX(0,(ROUND(D55*100,0)-ROUND($B$3*100,0))/100)</x:f>
        <x:v>75.25</x:v>
      </x:c>
      <x:c r="G55" s="14" t="n">
        <x:f>MIN(100,(ROUND(D55*100,0)+ROUND($B$3*100,0))/100)</x:f>
        <x:v>75.35</x:v>
      </x:c>
      <x:c r="H55" s="40" t="n">
        <x:f>C55*(10000-ROUND(G55*100,0))/10000</x:f>
        <x:v>39.933</x:v>
      </x:c>
      <x:c r="I55" s="40" t="n">
        <x:f>C55*(10000-ROUND(F55*100,0))/10000</x:f>
        <x:v>40.095</x:v>
      </x:c>
      <x:c r="J55" s="13" t="str">
        <x:f>IF(COUNTIFS($D$17:$D$369,"&lt;"&amp;D55,$E$17:$E$369,"&gt;="&amp;E55)+COUNTIFS($D$17:$D$369,"="&amp;D55,$E$17:$E$369,"&gt;"&amp;E55)=0,"是","否")</x:f>
        <x:v>否</x:v>
      </x:c>
      <x:c r="K55" s="13" t="str">
        <x:f>IF(COUNTIFS($G$17:$G$369,"&lt;"&amp;F55,$H$17:$H$369,"&gt;="&amp;I55)+COUNTIFS($G$17:$G$369,"="&amp;F55,$H$17:$H$369,"&gt;"&amp;I55)=0,"是","否")</x:f>
        <x:v>否</x:v>
      </x:c>
      <x:c r="L55" s="13" t="str">
        <x:f>IF(COUNTIFS($F$17:$F$369,"&lt;"&amp;G55,$I$17:$I$369,"&gt;="&amp;H55)+COUNTIFS($F$17:$F$369,"="&amp;G55,$I$17:$I$369,"&gt;"&amp;H55)-IF(OR(G55&gt;F55,I55&gt;H55),1,0)=0,"是","否")</x:f>
        <x:v>否</x:v>
      </x:c>
      <x:c r="M55" s="13" t="n">
        <x:f>1+COUNTIF($H$17:$H$369,"&gt;"&amp;I55)</x:f>
        <x:v>35</x:v>
      </x:c>
      <x:c r="N55" s="13" t="n">
        <x:f>COUNTIF($I$17:$I$369,"&gt;="&amp;H55)</x:f>
        <x:v>38</x:v>
      </x:c>
      <x:c r="O55" s="13" t="str">
        <x:v>I04 Table_1!D736/P736/U736</x:v>
      </x:c>
    </x:row>
    <x:row r="56" ht="24" customHeight="1">
      <x:c r="A56" s="13" t="str">
        <x:v>M85060</x:v>
      </x:c>
      <x:c r="B56" s="13" t="str">
        <x:v>QHL</x:v>
      </x:c>
      <x:c r="C56" s="13" t="n">
        <x:v>186</x:v>
      </x:c>
      <x:c r="D56" s="30" t="n">
        <x:v>83.3</x:v>
      </x:c>
      <x:c r="E56" s="14" t="n">
        <x:f>C56*(1000-ROUND(D56*10,0))/1000</x:f>
        <x:v>31.062</x:v>
      </x:c>
      <x:c r="F56" s="14" t="n">
        <x:f>MAX(0,(ROUND(D56*100,0)-ROUND($B$3*100,0))/100)</x:f>
        <x:v>83.25</x:v>
      </x:c>
      <x:c r="G56" s="14" t="n">
        <x:f>MIN(100,(ROUND(D56*100,0)+ROUND($B$3*100,0))/100)</x:f>
        <x:v>83.35</x:v>
      </x:c>
      <x:c r="H56" s="40" t="n">
        <x:f>C56*(10000-ROUND(G56*100,0))/10000</x:f>
        <x:v>30.969</x:v>
      </x:c>
      <x:c r="I56" s="40" t="n">
        <x:f>C56*(10000-ROUND(F56*100,0))/10000</x:f>
        <x:v>31.155</x:v>
      </x:c>
      <x:c r="J56" s="13" t="str">
        <x:f>IF(COUNTIFS($D$17:$D$369,"&lt;"&amp;D56,$E$17:$E$369,"&gt;="&amp;E56)+COUNTIFS($D$17:$D$369,"="&amp;D56,$E$17:$E$369,"&gt;"&amp;E56)=0,"是","否")</x:f>
        <x:v>否</x:v>
      </x:c>
      <x:c r="K56" s="13" t="str">
        <x:f>IF(COUNTIFS($G$17:$G$369,"&lt;"&amp;F56,$H$17:$H$369,"&gt;="&amp;I56)+COUNTIFS($G$17:$G$369,"="&amp;F56,$H$17:$H$369,"&gt;"&amp;I56)=0,"是","否")</x:f>
        <x:v>否</x:v>
      </x:c>
      <x:c r="L56" s="13" t="str">
        <x:f>IF(COUNTIFS($F$17:$F$369,"&lt;"&amp;G56,$I$17:$I$369,"&gt;="&amp;H56)+COUNTIFS($F$17:$F$369,"="&amp;G56,$I$17:$I$369,"&gt;"&amp;H56)-IF(OR(G56&gt;F56,I56&gt;H56),1,0)=0,"是","否")</x:f>
        <x:v>否</x:v>
      </x:c>
      <x:c r="M56" s="13" t="n">
        <x:f>1+COUNTIF($H$17:$H$369,"&gt;"&amp;I56)</x:f>
        <x:v>74</x:v>
      </x:c>
      <x:c r="N56" s="13" t="n">
        <x:f>COUNTIF($I$17:$I$369,"&gt;="&amp;H56)</x:f>
        <x:v>79</x:v>
      </x:c>
      <x:c r="O56" s="13" t="str">
        <x:v>I04 Table_1!D737/P737/U737</x:v>
      </x:c>
    </x:row>
    <x:row r="57" ht="24" customHeight="1">
      <x:c r="A57" s="13" t="str">
        <x:v>M85061</x:v>
      </x:c>
      <x:c r="B57" s="13" t="str">
        <x:v>QHL</x:v>
      </x:c>
      <x:c r="C57" s="13" t="n">
        <x:v>155</x:v>
      </x:c>
      <x:c r="D57" s="30" t="n">
        <x:v>67.7</x:v>
      </x:c>
      <x:c r="E57" s="14" t="n">
        <x:f>C57*(1000-ROUND(D57*10,0))/1000</x:f>
        <x:v>50.065</x:v>
      </x:c>
      <x:c r="F57" s="14" t="n">
        <x:f>MAX(0,(ROUND(D57*100,0)-ROUND($B$3*100,0))/100)</x:f>
        <x:v>67.65</x:v>
      </x:c>
      <x:c r="G57" s="14" t="n">
        <x:f>MIN(100,(ROUND(D57*100,0)+ROUND($B$3*100,0))/100)</x:f>
        <x:v>67.75</x:v>
      </x:c>
      <x:c r="H57" s="40" t="n">
        <x:f>C57*(10000-ROUND(G57*100,0))/10000</x:f>
        <x:v>49.9875</x:v>
      </x:c>
      <x:c r="I57" s="40" t="n">
        <x:f>C57*(10000-ROUND(F57*100,0))/10000</x:f>
        <x:v>50.1425</x:v>
      </x:c>
      <x:c r="J57" s="13" t="str">
        <x:f>IF(COUNTIFS($D$17:$D$369,"&lt;"&amp;D57,$E$17:$E$369,"&gt;="&amp;E57)+COUNTIFS($D$17:$D$369,"="&amp;D57,$E$17:$E$369,"&gt;"&amp;E57)=0,"是","否")</x:f>
        <x:v>否</x:v>
      </x:c>
      <x:c r="K57" s="13" t="str">
        <x:f>IF(COUNTIFS($G$17:$G$369,"&lt;"&amp;F57,$H$17:$H$369,"&gt;="&amp;I57)+COUNTIFS($G$17:$G$369,"="&amp;F57,$H$17:$H$369,"&gt;"&amp;I57)=0,"是","否")</x:f>
        <x:v>否</x:v>
      </x:c>
      <x:c r="L57" s="13" t="str">
        <x:f>IF(COUNTIFS($F$17:$F$369,"&lt;"&amp;G57,$I$17:$I$369,"&gt;="&amp;H57)+COUNTIFS($F$17:$F$369,"="&amp;G57,$I$17:$I$369,"&gt;"&amp;H57)-IF(OR(G57&gt;F57,I57&gt;H57),1,0)=0,"是","否")</x:f>
        <x:v>否</x:v>
      </x:c>
      <x:c r="M57" s="13" t="n">
        <x:f>1+COUNTIF($H$17:$H$369,"&gt;"&amp;I57)</x:f>
        <x:v>23</x:v>
      </x:c>
      <x:c r="N57" s="13" t="n">
        <x:f>COUNTIF($I$17:$I$369,"&gt;="&amp;H57)</x:f>
        <x:v>24</x:v>
      </x:c>
      <x:c r="O57" s="13" t="str">
        <x:v>I04 Table_1!D738/P738/U738</x:v>
      </x:c>
    </x:row>
    <x:row r="58" ht="24" customHeight="1">
      <x:c r="A58" s="13" t="str">
        <x:v>M85062</x:v>
      </x:c>
      <x:c r="B58" s="13" t="str">
        <x:v>QHL</x:v>
      </x:c>
      <x:c r="C58" s="13" t="n">
        <x:v>69</x:v>
      </x:c>
      <x:c r="D58" s="30" t="n">
        <x:v>69.6</x:v>
      </x:c>
      <x:c r="E58" s="14" t="n">
        <x:f>C58*(1000-ROUND(D58*10,0))/1000</x:f>
        <x:v>20.976</x:v>
      </x:c>
      <x:c r="F58" s="14" t="n">
        <x:f>MAX(0,(ROUND(D58*100,0)-ROUND($B$3*100,0))/100)</x:f>
        <x:v>69.55</x:v>
      </x:c>
      <x:c r="G58" s="14" t="n">
        <x:f>MIN(100,(ROUND(D58*100,0)+ROUND($B$3*100,0))/100)</x:f>
        <x:v>69.65</x:v>
      </x:c>
      <x:c r="H58" s="40" t="n">
        <x:f>C58*(10000-ROUND(G58*100,0))/10000</x:f>
        <x:v>20.9415</x:v>
      </x:c>
      <x:c r="I58" s="40" t="n">
        <x:f>C58*(10000-ROUND(F58*100,0))/10000</x:f>
        <x:v>21.0105</x:v>
      </x:c>
      <x:c r="J58" s="13" t="str">
        <x:f>IF(COUNTIFS($D$17:$D$369,"&lt;"&amp;D58,$E$17:$E$369,"&gt;="&amp;E58)+COUNTIFS($D$17:$D$369,"="&amp;D58,$E$17:$E$369,"&gt;"&amp;E58)=0,"是","否")</x:f>
        <x:v>否</x:v>
      </x:c>
      <x:c r="K58" s="13" t="str">
        <x:f>IF(COUNTIFS($G$17:$G$369,"&lt;"&amp;F58,$H$17:$H$369,"&gt;="&amp;I58)+COUNTIFS($G$17:$G$369,"="&amp;F58,$H$17:$H$369,"&gt;"&amp;I58)=0,"是","否")</x:f>
        <x:v>否</x:v>
      </x:c>
      <x:c r="L58" s="13" t="str">
        <x:f>IF(COUNTIFS($F$17:$F$369,"&lt;"&amp;G58,$I$17:$I$369,"&gt;="&amp;H58)+COUNTIFS($F$17:$F$369,"="&amp;G58,$I$17:$I$369,"&gt;"&amp;H58)-IF(OR(G58&gt;F58,I58&gt;H58),1,0)=0,"是","否")</x:f>
        <x:v>否</x:v>
      </x:c>
      <x:c r="M58" s="13" t="n">
        <x:f>1+COUNTIF($H$17:$H$369,"&gt;"&amp;I58)</x:f>
        <x:v>123</x:v>
      </x:c>
      <x:c r="N58" s="13" t="n">
        <x:f>COUNTIF($I$17:$I$369,"&gt;="&amp;H58)</x:f>
        <x:v>129</x:v>
      </x:c>
      <x:c r="O58" s="13" t="str">
        <x:v>I04 Table_1!D739/P739/U739</x:v>
      </x:c>
    </x:row>
    <x:row r="59" ht="24" customHeight="1">
      <x:c r="A59" s="13" t="str">
        <x:v>M85063</x:v>
      </x:c>
      <x:c r="B59" s="13" t="str">
        <x:v>QHL</x:v>
      </x:c>
      <x:c r="C59" s="13" t="n">
        <x:v>640</x:v>
      </x:c>
      <x:c r="D59" s="30" t="n">
        <x:v>76.9</x:v>
      </x:c>
      <x:c r="E59" s="14" t="n">
        <x:f>C59*(1000-ROUND(D59*10,0))/1000</x:f>
        <x:v>147.84</x:v>
      </x:c>
      <x:c r="F59" s="14" t="n">
        <x:f>MAX(0,(ROUND(D59*100,0)-ROUND($B$3*100,0))/100)</x:f>
        <x:v>76.85</x:v>
      </x:c>
      <x:c r="G59" s="14" t="n">
        <x:f>MIN(100,(ROUND(D59*100,0)+ROUND($B$3*100,0))/100)</x:f>
        <x:v>76.95</x:v>
      </x:c>
      <x:c r="H59" s="40" t="n">
        <x:f>C59*(10000-ROUND(G59*100,0))/10000</x:f>
        <x:v>147.52</x:v>
      </x:c>
      <x:c r="I59" s="40" t="n">
        <x:f>C59*(10000-ROUND(F59*100,0))/10000</x:f>
        <x:v>148.16</x:v>
      </x:c>
      <x:c r="J59" s="13" t="str">
        <x:f>IF(COUNTIFS($D$17:$D$369,"&lt;"&amp;D59,$E$17:$E$369,"&gt;="&amp;E59)+COUNTIFS($D$17:$D$369,"="&amp;D59,$E$17:$E$369,"&gt;"&amp;E59)=0,"是","否")</x:f>
        <x:v>是</x:v>
      </x:c>
      <x:c r="K59" s="13" t="str">
        <x:f>IF(COUNTIFS($G$17:$G$369,"&lt;"&amp;F59,$H$17:$H$369,"&gt;="&amp;I59)+COUNTIFS($G$17:$G$369,"="&amp;F59,$H$17:$H$369,"&gt;"&amp;I59)=0,"是","否")</x:f>
        <x:v>是</x:v>
      </x:c>
      <x:c r="L59" s="13" t="str">
        <x:f>IF(COUNTIFS($F$17:$F$369,"&lt;"&amp;G59,$I$17:$I$369,"&gt;="&amp;H59)+COUNTIFS($F$17:$F$369,"="&amp;G59,$I$17:$I$369,"&gt;"&amp;H59)-IF(OR(G59&gt;F59,I59&gt;H59),1,0)=0,"是","否")</x:f>
        <x:v>是</x:v>
      </x:c>
      <x:c r="M59" s="13" t="n">
        <x:f>1+COUNTIF($H$17:$H$369,"&gt;"&amp;I59)</x:f>
        <x:v>1</x:v>
      </x:c>
      <x:c r="N59" s="13" t="n">
        <x:f>COUNTIF($I$17:$I$369,"&gt;="&amp;H59)</x:f>
        <x:v>1</x:v>
      </x:c>
      <x:c r="O59" s="13" t="str">
        <x:v>I04 Table_1!D740/P740/U740</x:v>
      </x:c>
    </x:row>
    <x:row r="60" ht="24" customHeight="1">
      <x:c r="A60" s="13" t="str">
        <x:v>M85065</x:v>
      </x:c>
      <x:c r="B60" s="13" t="str">
        <x:v>QHL</x:v>
      </x:c>
      <x:c r="C60" s="13" t="n">
        <x:v>169</x:v>
      </x:c>
      <x:c r="D60" s="30" t="n">
        <x:v>77.5</x:v>
      </x:c>
      <x:c r="E60" s="14" t="n">
        <x:f>C60*(1000-ROUND(D60*10,0))/1000</x:f>
        <x:v>38.025</x:v>
      </x:c>
      <x:c r="F60" s="14" t="n">
        <x:f>MAX(0,(ROUND(D60*100,0)-ROUND($B$3*100,0))/100)</x:f>
        <x:v>77.45</x:v>
      </x:c>
      <x:c r="G60" s="14" t="n">
        <x:f>MIN(100,(ROUND(D60*100,0)+ROUND($B$3*100,0))/100)</x:f>
        <x:v>77.55</x:v>
      </x:c>
      <x:c r="H60" s="40" t="n">
        <x:f>C60*(10000-ROUND(G60*100,0))/10000</x:f>
        <x:v>37.9405</x:v>
      </x:c>
      <x:c r="I60" s="40" t="n">
        <x:f>C60*(10000-ROUND(F60*100,0))/10000</x:f>
        <x:v>38.1095</x:v>
      </x:c>
      <x:c r="J60" s="13" t="str">
        <x:f>IF(COUNTIFS($D$17:$D$369,"&lt;"&amp;D60,$E$17:$E$369,"&gt;="&amp;E60)+COUNTIFS($D$17:$D$369,"="&amp;D60,$E$17:$E$369,"&gt;"&amp;E60)=0,"是","否")</x:f>
        <x:v>否</x:v>
      </x:c>
      <x:c r="K60" s="13" t="str">
        <x:f>IF(COUNTIFS($G$17:$G$369,"&lt;"&amp;F60,$H$17:$H$369,"&gt;="&amp;I60)+COUNTIFS($G$17:$G$369,"="&amp;F60,$H$17:$H$369,"&gt;"&amp;I60)=0,"是","否")</x:f>
        <x:v>否</x:v>
      </x:c>
      <x:c r="L60" s="13" t="str">
        <x:f>IF(COUNTIFS($F$17:$F$369,"&lt;"&amp;G60,$I$17:$I$369,"&gt;="&amp;H60)+COUNTIFS($F$17:$F$369,"="&amp;G60,$I$17:$I$369,"&gt;"&amp;H60)-IF(OR(G60&gt;F60,I60&gt;H60),1,0)=0,"是","否")</x:f>
        <x:v>否</x:v>
      </x:c>
      <x:c r="M60" s="13" t="n">
        <x:f>1+COUNTIF($H$17:$H$369,"&gt;"&amp;I60)</x:f>
        <x:v>42</x:v>
      </x:c>
      <x:c r="N60" s="13" t="n">
        <x:f>COUNTIF($I$17:$I$369,"&gt;="&amp;H60)</x:f>
        <x:v>46</x:v>
      </x:c>
      <x:c r="O60" s="13" t="str">
        <x:v>I04 Table_1!D741/P741/U741</x:v>
      </x:c>
    </x:row>
    <x:row r="61" ht="24" customHeight="1">
      <x:c r="A61" s="13" t="str">
        <x:v>M85066</x:v>
      </x:c>
      <x:c r="B61" s="13" t="str">
        <x:v>QHL</x:v>
      </x:c>
      <x:c r="C61" s="13" t="n">
        <x:v>104</x:v>
      </x:c>
      <x:c r="D61" s="30" t="n">
        <x:v>81.7</x:v>
      </x:c>
      <x:c r="E61" s="14" t="n">
        <x:f>C61*(1000-ROUND(D61*10,0))/1000</x:f>
        <x:v>19.032</x:v>
      </x:c>
      <x:c r="F61" s="14" t="n">
        <x:f>MAX(0,(ROUND(D61*100,0)-ROUND($B$3*100,0))/100)</x:f>
        <x:v>81.65</x:v>
      </x:c>
      <x:c r="G61" s="14" t="n">
        <x:f>MIN(100,(ROUND(D61*100,0)+ROUND($B$3*100,0))/100)</x:f>
        <x:v>81.75</x:v>
      </x:c>
      <x:c r="H61" s="40" t="n">
        <x:f>C61*(10000-ROUND(G61*100,0))/10000</x:f>
        <x:v>18.98</x:v>
      </x:c>
      <x:c r="I61" s="40" t="n">
        <x:f>C61*(10000-ROUND(F61*100,0))/10000</x:f>
        <x:v>19.084</x:v>
      </x:c>
      <x:c r="J61" s="13" t="str">
        <x:f>IF(COUNTIFS($D$17:$D$369,"&lt;"&amp;D61,$E$17:$E$369,"&gt;="&amp;E61)+COUNTIFS($D$17:$D$369,"="&amp;D61,$E$17:$E$369,"&gt;"&amp;E61)=0,"是","否")</x:f>
        <x:v>否</x:v>
      </x:c>
      <x:c r="K61" s="13" t="str">
        <x:f>IF(COUNTIFS($G$17:$G$369,"&lt;"&amp;F61,$H$17:$H$369,"&gt;="&amp;I61)+COUNTIFS($G$17:$G$369,"="&amp;F61,$H$17:$H$369,"&gt;"&amp;I61)=0,"是","否")</x:f>
        <x:v>否</x:v>
      </x:c>
      <x:c r="L61" s="13" t="str">
        <x:f>IF(COUNTIFS($F$17:$F$369,"&lt;"&amp;G61,$I$17:$I$369,"&gt;="&amp;H61)+COUNTIFS($F$17:$F$369,"="&amp;G61,$I$17:$I$369,"&gt;"&amp;H61)-IF(OR(G61&gt;F61,I61&gt;H61),1,0)=0,"是","否")</x:f>
        <x:v>否</x:v>
      </x:c>
      <x:c r="M61" s="13" t="n">
        <x:f>1+COUNTIF($H$17:$H$369,"&gt;"&amp;I61)</x:f>
        <x:v>142</x:v>
      </x:c>
      <x:c r="N61" s="13" t="n">
        <x:f>COUNTIF($I$17:$I$369,"&gt;="&amp;H61)</x:f>
        <x:v>151</x:v>
      </x:c>
      <x:c r="O61" s="13" t="str">
        <x:v>I04 Table_1!D742/P742/U742</x:v>
      </x:c>
    </x:row>
    <x:row r="62" ht="24" customHeight="1">
      <x:c r="A62" s="13" t="str">
        <x:v>M85069</x:v>
      </x:c>
      <x:c r="B62" s="13" t="str">
        <x:v>QHL</x:v>
      </x:c>
      <x:c r="C62" s="13" t="n">
        <x:v>177</x:v>
      </x:c>
      <x:c r="D62" s="30" t="n">
        <x:v>79.1</x:v>
      </x:c>
      <x:c r="E62" s="14" t="n">
        <x:f>C62*(1000-ROUND(D62*10,0))/1000</x:f>
        <x:v>36.993</x:v>
      </x:c>
      <x:c r="F62" s="14" t="n">
        <x:f>MAX(0,(ROUND(D62*100,0)-ROUND($B$3*100,0))/100)</x:f>
        <x:v>79.05</x:v>
      </x:c>
      <x:c r="G62" s="14" t="n">
        <x:f>MIN(100,(ROUND(D62*100,0)+ROUND($B$3*100,0))/100)</x:f>
        <x:v>79.15</x:v>
      </x:c>
      <x:c r="H62" s="40" t="n">
        <x:f>C62*(10000-ROUND(G62*100,0))/10000</x:f>
        <x:v>36.9045</x:v>
      </x:c>
      <x:c r="I62" s="40" t="n">
        <x:f>C62*(10000-ROUND(F62*100,0))/10000</x:f>
        <x:v>37.0815</x:v>
      </x:c>
      <x:c r="J62" s="13" t="str">
        <x:f>IF(COUNTIFS($D$17:$D$369,"&lt;"&amp;D62,$E$17:$E$369,"&gt;="&amp;E62)+COUNTIFS($D$17:$D$369,"="&amp;D62,$E$17:$E$369,"&gt;"&amp;E62)=0,"是","否")</x:f>
        <x:v>否</x:v>
      </x:c>
      <x:c r="K62" s="13" t="str">
        <x:f>IF(COUNTIFS($G$17:$G$369,"&lt;"&amp;F62,$H$17:$H$369,"&gt;="&amp;I62)+COUNTIFS($G$17:$G$369,"="&amp;F62,$H$17:$H$369,"&gt;"&amp;I62)=0,"是","否")</x:f>
        <x:v>否</x:v>
      </x:c>
      <x:c r="L62" s="13" t="str">
        <x:f>IF(COUNTIFS($F$17:$F$369,"&lt;"&amp;G62,$I$17:$I$369,"&gt;="&amp;H62)+COUNTIFS($F$17:$F$369,"="&amp;G62,$I$17:$I$369,"&gt;"&amp;H62)-IF(OR(G62&gt;F62,I62&gt;H62),1,0)=0,"是","否")</x:f>
        <x:v>否</x:v>
      </x:c>
      <x:c r="M62" s="13" t="n">
        <x:f>1+COUNTIF($H$17:$H$369,"&gt;"&amp;I62)</x:f>
        <x:v>47</x:v>
      </x:c>
      <x:c r="N62" s="13" t="n">
        <x:f>COUNTIF($I$17:$I$369,"&gt;="&amp;H62)</x:f>
        <x:v>51</x:v>
      </x:c>
      <x:c r="O62" s="13" t="str">
        <x:v>I04 Table_1!D743/P743/U743</x:v>
      </x:c>
    </x:row>
    <x:row r="63" ht="24" customHeight="1">
      <x:c r="A63" s="13" t="str">
        <x:v>M85070</x:v>
      </x:c>
      <x:c r="B63" s="13" t="str">
        <x:v>QHL</x:v>
      </x:c>
      <x:c r="C63" s="13" t="n">
        <x:v>204</x:v>
      </x:c>
      <x:c r="D63" s="30" t="n">
        <x:v>76.5</x:v>
      </x:c>
      <x:c r="E63" s="14" t="n">
        <x:f>C63*(1000-ROUND(D63*10,0))/1000</x:f>
        <x:v>47.94</x:v>
      </x:c>
      <x:c r="F63" s="14" t="n">
        <x:f>MAX(0,(ROUND(D63*100,0)-ROUND($B$3*100,0))/100)</x:f>
        <x:v>76.45</x:v>
      </x:c>
      <x:c r="G63" s="14" t="n">
        <x:f>MIN(100,(ROUND(D63*100,0)+ROUND($B$3*100,0))/100)</x:f>
        <x:v>76.55</x:v>
      </x:c>
      <x:c r="H63" s="40" t="n">
        <x:f>C63*(10000-ROUND(G63*100,0))/10000</x:f>
        <x:v>47.838</x:v>
      </x:c>
      <x:c r="I63" s="40" t="n">
        <x:f>C63*(10000-ROUND(F63*100,0))/10000</x:f>
        <x:v>48.042</x:v>
      </x:c>
      <x:c r="J63" s="13" t="str">
        <x:f>IF(COUNTIFS($D$17:$D$369,"&lt;"&amp;D63,$E$17:$E$369,"&gt;="&amp;E63)+COUNTIFS($D$17:$D$369,"="&amp;D63,$E$17:$E$369,"&gt;"&amp;E63)=0,"是","否")</x:f>
        <x:v>否</x:v>
      </x:c>
      <x:c r="K63" s="13" t="str">
        <x:f>IF(COUNTIFS($G$17:$G$369,"&lt;"&amp;F63,$H$17:$H$369,"&gt;="&amp;I63)+COUNTIFS($G$17:$G$369,"="&amp;F63,$H$17:$H$369,"&gt;"&amp;I63)=0,"是","否")</x:f>
        <x:v>否</x:v>
      </x:c>
      <x:c r="L63" s="13" t="str">
        <x:f>IF(COUNTIFS($F$17:$F$369,"&lt;"&amp;G63,$I$17:$I$369,"&gt;="&amp;H63)+COUNTIFS($F$17:$F$369,"="&amp;G63,$I$17:$I$369,"&gt;"&amp;H63)-IF(OR(G63&gt;F63,I63&gt;H63),1,0)=0,"是","否")</x:f>
        <x:v>否</x:v>
      </x:c>
      <x:c r="M63" s="13" t="n">
        <x:f>1+COUNTIF($H$17:$H$369,"&gt;"&amp;I63)</x:f>
        <x:v>27</x:v>
      </x:c>
      <x:c r="N63" s="13" t="n">
        <x:f>COUNTIF($I$17:$I$369,"&gt;="&amp;H63)</x:f>
        <x:v>27</x:v>
      </x:c>
      <x:c r="O63" s="13" t="str">
        <x:v>I04 Table_1!D744/P744/U744</x:v>
      </x:c>
    </x:row>
    <x:row r="64" ht="24" customHeight="1">
      <x:c r="A64" s="13" t="str">
        <x:v>M85071</x:v>
      </x:c>
      <x:c r="B64" s="13" t="str">
        <x:v>QHL</x:v>
      </x:c>
      <x:c r="C64" s="13" t="n">
        <x:v>66</x:v>
      </x:c>
      <x:c r="D64" s="30" t="n">
        <x:v>83.3</x:v>
      </x:c>
      <x:c r="E64" s="14" t="n">
        <x:f>C64*(1000-ROUND(D64*10,0))/1000</x:f>
        <x:v>11.022</x:v>
      </x:c>
      <x:c r="F64" s="14" t="n">
        <x:f>MAX(0,(ROUND(D64*100,0)-ROUND($B$3*100,0))/100)</x:f>
        <x:v>83.25</x:v>
      </x:c>
      <x:c r="G64" s="14" t="n">
        <x:f>MIN(100,(ROUND(D64*100,0)+ROUND($B$3*100,0))/100)</x:f>
        <x:v>83.35</x:v>
      </x:c>
      <x:c r="H64" s="40" t="n">
        <x:f>C64*(10000-ROUND(G64*100,0))/10000</x:f>
        <x:v>10.989</x:v>
      </x:c>
      <x:c r="I64" s="40" t="n">
        <x:f>C64*(10000-ROUND(F64*100,0))/10000</x:f>
        <x:v>11.055</x:v>
      </x:c>
      <x:c r="J64" s="13" t="str">
        <x:f>IF(COUNTIFS($D$17:$D$369,"&lt;"&amp;D64,$E$17:$E$369,"&gt;="&amp;E64)+COUNTIFS($D$17:$D$369,"="&amp;D64,$E$17:$E$369,"&gt;"&amp;E64)=0,"是","否")</x:f>
        <x:v>否</x:v>
      </x:c>
      <x:c r="K64" s="13" t="str">
        <x:f>IF(COUNTIFS($G$17:$G$369,"&lt;"&amp;F64,$H$17:$H$369,"&gt;="&amp;I64)+COUNTIFS($G$17:$G$369,"="&amp;F64,$H$17:$H$369,"&gt;"&amp;I64)=0,"是","否")</x:f>
        <x:v>否</x:v>
      </x:c>
      <x:c r="L64" s="13" t="str">
        <x:f>IF(COUNTIFS($F$17:$F$369,"&lt;"&amp;G64,$I$17:$I$369,"&gt;="&amp;H64)+COUNTIFS($F$17:$F$369,"="&amp;G64,$I$17:$I$369,"&gt;"&amp;H64)-IF(OR(G64&gt;F64,I64&gt;H64),1,0)=0,"是","否")</x:f>
        <x:v>否</x:v>
      </x:c>
      <x:c r="M64" s="13" t="n">
        <x:f>1+COUNTIF($H$17:$H$369,"&gt;"&amp;I64)</x:f>
        <x:v>222</x:v>
      </x:c>
      <x:c r="N64" s="13" t="n">
        <x:f>COUNTIF($I$17:$I$369,"&gt;="&amp;H64)</x:f>
        <x:v>230</x:v>
      </x:c>
      <x:c r="O64" s="13" t="str">
        <x:v>I04 Table_1!D745/P745/U745</x:v>
      </x:c>
    </x:row>
    <x:row r="65" ht="24" customHeight="1">
      <x:c r="A65" s="13" t="str">
        <x:v>M85074</x:v>
      </x:c>
      <x:c r="B65" s="13" t="str">
        <x:v>QHL</x:v>
      </x:c>
      <x:c r="C65" s="13" t="n">
        <x:v>60</x:v>
      </x:c>
      <x:c r="D65" s="30" t="n">
        <x:v>66.7</x:v>
      </x:c>
      <x:c r="E65" s="14" t="n">
        <x:f>C65*(1000-ROUND(D65*10,0))/1000</x:f>
        <x:v>19.98</x:v>
      </x:c>
      <x:c r="F65" s="14" t="n">
        <x:f>MAX(0,(ROUND(D65*100,0)-ROUND($B$3*100,0))/100)</x:f>
        <x:v>66.65</x:v>
      </x:c>
      <x:c r="G65" s="14" t="n">
        <x:f>MIN(100,(ROUND(D65*100,0)+ROUND($B$3*100,0))/100)</x:f>
        <x:v>66.75</x:v>
      </x:c>
      <x:c r="H65" s="40" t="n">
        <x:f>C65*(10000-ROUND(G65*100,0))/10000</x:f>
        <x:v>19.95</x:v>
      </x:c>
      <x:c r="I65" s="40" t="n">
        <x:f>C65*(10000-ROUND(F65*100,0))/10000</x:f>
        <x:v>20.01</x:v>
      </x:c>
      <x:c r="J65" s="13" t="str">
        <x:f>IF(COUNTIFS($D$17:$D$369,"&lt;"&amp;D65,$E$17:$E$369,"&gt;="&amp;E65)+COUNTIFS($D$17:$D$369,"="&amp;D65,$E$17:$E$369,"&gt;"&amp;E65)=0,"是","否")</x:f>
        <x:v>否</x:v>
      </x:c>
      <x:c r="K65" s="13" t="str">
        <x:f>IF(COUNTIFS($G$17:$G$369,"&lt;"&amp;F65,$H$17:$H$369,"&gt;="&amp;I65)+COUNTIFS($G$17:$G$369,"="&amp;F65,$H$17:$H$369,"&gt;"&amp;I65)=0,"是","否")</x:f>
        <x:v>否</x:v>
      </x:c>
      <x:c r="L65" s="13" t="str">
        <x:f>IF(COUNTIFS($F$17:$F$369,"&lt;"&amp;G65,$I$17:$I$369,"&gt;="&amp;H65)+COUNTIFS($F$17:$F$369,"="&amp;G65,$I$17:$I$369,"&gt;"&amp;H65)-IF(OR(G65&gt;F65,I65&gt;H65),1,0)=0,"是","否")</x:f>
        <x:v>否</x:v>
      </x:c>
      <x:c r="M65" s="13" t="n">
        <x:f>1+COUNTIF($H$17:$H$369,"&gt;"&amp;I65)</x:f>
        <x:v>130</x:v>
      </x:c>
      <x:c r="N65" s="13" t="n">
        <x:f>COUNTIF($I$17:$I$369,"&gt;="&amp;H65)</x:f>
        <x:v>141</x:v>
      </x:c>
      <x:c r="O65" s="13" t="str">
        <x:v>I04 Table_1!D746/P746/U746</x:v>
      </x:c>
    </x:row>
    <x:row r="66" ht="24" customHeight="1">
      <x:c r="A66" s="13" t="str">
        <x:v>M85076</x:v>
      </x:c>
      <x:c r="B66" s="13" t="str">
        <x:v>QHL</x:v>
      </x:c>
      <x:c r="C66" s="13" t="n">
        <x:v>92</x:v>
      </x:c>
      <x:c r="D66" s="30" t="n">
        <x:v>79.3</x:v>
      </x:c>
      <x:c r="E66" s="14" t="n">
        <x:f>C66*(1000-ROUND(D66*10,0))/1000</x:f>
        <x:v>19.044</x:v>
      </x:c>
      <x:c r="F66" s="14" t="n">
        <x:f>MAX(0,(ROUND(D66*100,0)-ROUND($B$3*100,0))/100)</x:f>
        <x:v>79.25</x:v>
      </x:c>
      <x:c r="G66" s="14" t="n">
        <x:f>MIN(100,(ROUND(D66*100,0)+ROUND($B$3*100,0))/100)</x:f>
        <x:v>79.35</x:v>
      </x:c>
      <x:c r="H66" s="40" t="n">
        <x:f>C66*(10000-ROUND(G66*100,0))/10000</x:f>
        <x:v>18.998</x:v>
      </x:c>
      <x:c r="I66" s="40" t="n">
        <x:f>C66*(10000-ROUND(F66*100,0))/10000</x:f>
        <x:v>19.09</x:v>
      </x:c>
      <x:c r="J66" s="13" t="str">
        <x:f>IF(COUNTIFS($D$17:$D$369,"&lt;"&amp;D66,$E$17:$E$369,"&gt;="&amp;E66)+COUNTIFS($D$17:$D$369,"="&amp;D66,$E$17:$E$369,"&gt;"&amp;E66)=0,"是","否")</x:f>
        <x:v>否</x:v>
      </x:c>
      <x:c r="K66" s="13" t="str">
        <x:f>IF(COUNTIFS($G$17:$G$369,"&lt;"&amp;F66,$H$17:$H$369,"&gt;="&amp;I66)+COUNTIFS($G$17:$G$369,"="&amp;F66,$H$17:$H$369,"&gt;"&amp;I66)=0,"是","否")</x:f>
        <x:v>否</x:v>
      </x:c>
      <x:c r="L66" s="13" t="str">
        <x:f>IF(COUNTIFS($F$17:$F$369,"&lt;"&amp;G66,$I$17:$I$369,"&gt;="&amp;H66)+COUNTIFS($F$17:$F$369,"="&amp;G66,$I$17:$I$369,"&gt;"&amp;H66)-IF(OR(G66&gt;F66,I66&gt;H66),1,0)=0,"是","否")</x:f>
        <x:v>否</x:v>
      </x:c>
      <x:c r="M66" s="13" t="n">
        <x:f>1+COUNTIF($H$17:$H$369,"&gt;"&amp;I66)</x:f>
        <x:v>142</x:v>
      </x:c>
      <x:c r="N66" s="13" t="n">
        <x:f>COUNTIF($I$17:$I$369,"&gt;="&amp;H66)</x:f>
        <x:v>151</x:v>
      </x:c>
      <x:c r="O66" s="13" t="str">
        <x:v>I04 Table_1!D747/P747/U747</x:v>
      </x:c>
    </x:row>
    <x:row r="67" ht="24" customHeight="1">
      <x:c r="A67" s="13" t="str">
        <x:v>M85077</x:v>
      </x:c>
      <x:c r="B67" s="13" t="str">
        <x:v>QHL</x:v>
      </x:c>
      <x:c r="C67" s="13" t="n">
        <x:v>92</x:v>
      </x:c>
      <x:c r="D67" s="30" t="n">
        <x:v>88</x:v>
      </x:c>
      <x:c r="E67" s="14" t="n">
        <x:f>C67*(1000-ROUND(D67*10,0))/1000</x:f>
        <x:v>11.04</x:v>
      </x:c>
      <x:c r="F67" s="14" t="n">
        <x:f>MAX(0,(ROUND(D67*100,0)-ROUND($B$3*100,0))/100)</x:f>
        <x:v>87.95</x:v>
      </x:c>
      <x:c r="G67" s="14" t="n">
        <x:f>MIN(100,(ROUND(D67*100,0)+ROUND($B$3*100,0))/100)</x:f>
        <x:v>88.05</x:v>
      </x:c>
      <x:c r="H67" s="40" t="n">
        <x:f>C67*(10000-ROUND(G67*100,0))/10000</x:f>
        <x:v>10.994</x:v>
      </x:c>
      <x:c r="I67" s="40" t="n">
        <x:f>C67*(10000-ROUND(F67*100,0))/10000</x:f>
        <x:v>11.086</x:v>
      </x:c>
      <x:c r="J67" s="13" t="str">
        <x:f>IF(COUNTIFS($D$17:$D$369,"&lt;"&amp;D67,$E$17:$E$369,"&gt;="&amp;E67)+COUNTIFS($D$17:$D$369,"="&amp;D67,$E$17:$E$369,"&gt;"&amp;E67)=0,"是","否")</x:f>
        <x:v>否</x:v>
      </x:c>
      <x:c r="K67" s="13" t="str">
        <x:f>IF(COUNTIFS($G$17:$G$369,"&lt;"&amp;F67,$H$17:$H$369,"&gt;="&amp;I67)+COUNTIFS($G$17:$G$369,"="&amp;F67,$H$17:$H$369,"&gt;"&amp;I67)=0,"是","否")</x:f>
        <x:v>否</x:v>
      </x:c>
      <x:c r="L67" s="13" t="str">
        <x:f>IF(COUNTIFS($F$17:$F$369,"&lt;"&amp;G67,$I$17:$I$369,"&gt;="&amp;H67)+COUNTIFS($F$17:$F$369,"="&amp;G67,$I$17:$I$369,"&gt;"&amp;H67)-IF(OR(G67&gt;F67,I67&gt;H67),1,0)=0,"是","否")</x:f>
        <x:v>否</x:v>
      </x:c>
      <x:c r="M67" s="13" t="n">
        <x:f>1+COUNTIF($H$17:$H$369,"&gt;"&amp;I67)</x:f>
        <x:v>222</x:v>
      </x:c>
      <x:c r="N67" s="13" t="n">
        <x:f>COUNTIF($I$17:$I$369,"&gt;="&amp;H67)</x:f>
        <x:v>230</x:v>
      </x:c>
      <x:c r="O67" s="13" t="str">
        <x:v>I04 Table_1!D748/P748/U748</x:v>
      </x:c>
    </x:row>
    <x:row r="68" ht="24" customHeight="1">
      <x:c r="A68" s="13" t="str">
        <x:v>M85078</x:v>
      </x:c>
      <x:c r="B68" s="13" t="str">
        <x:v>QHL</x:v>
      </x:c>
      <x:c r="C68" s="13" t="n">
        <x:v>123</x:v>
      </x:c>
      <x:c r="D68" s="30" t="n">
        <x:v>78</x:v>
      </x:c>
      <x:c r="E68" s="14" t="n">
        <x:f>C68*(1000-ROUND(D68*10,0))/1000</x:f>
        <x:v>27.06</x:v>
      </x:c>
      <x:c r="F68" s="14" t="n">
        <x:f>MAX(0,(ROUND(D68*100,0)-ROUND($B$3*100,0))/100)</x:f>
        <x:v>77.95</x:v>
      </x:c>
      <x:c r="G68" s="14" t="n">
        <x:f>MIN(100,(ROUND(D68*100,0)+ROUND($B$3*100,0))/100)</x:f>
        <x:v>78.05</x:v>
      </x:c>
      <x:c r="H68" s="40" t="n">
        <x:f>C68*(10000-ROUND(G68*100,0))/10000</x:f>
        <x:v>26.9985</x:v>
      </x:c>
      <x:c r="I68" s="40" t="n">
        <x:f>C68*(10000-ROUND(F68*100,0))/10000</x:f>
        <x:v>27.1215</x:v>
      </x:c>
      <x:c r="J68" s="13" t="str">
        <x:f>IF(COUNTIFS($D$17:$D$369,"&lt;"&amp;D68,$E$17:$E$369,"&gt;="&amp;E68)+COUNTIFS($D$17:$D$369,"="&amp;D68,$E$17:$E$369,"&gt;"&amp;E68)=0,"是","否")</x:f>
        <x:v>否</x:v>
      </x:c>
      <x:c r="K68" s="13" t="str">
        <x:f>IF(COUNTIFS($G$17:$G$369,"&lt;"&amp;F68,$H$17:$H$369,"&gt;="&amp;I68)+COUNTIFS($G$17:$G$369,"="&amp;F68,$H$17:$H$369,"&gt;"&amp;I68)=0,"是","否")</x:f>
        <x:v>否</x:v>
      </x:c>
      <x:c r="L68" s="13" t="str">
        <x:f>IF(COUNTIFS($F$17:$F$369,"&lt;"&amp;G68,$I$17:$I$369,"&gt;="&amp;H68)+COUNTIFS($F$17:$F$369,"="&amp;G68,$I$17:$I$369,"&gt;"&amp;H68)-IF(OR(G68&gt;F68,I68&gt;H68),1,0)=0,"是","否")</x:f>
        <x:v>否</x:v>
      </x:c>
      <x:c r="M68" s="13" t="n">
        <x:f>1+COUNTIF($H$17:$H$369,"&gt;"&amp;I68)</x:f>
        <x:v>89</x:v>
      </x:c>
      <x:c r="N68" s="13" t="n">
        <x:f>COUNTIF($I$17:$I$369,"&gt;="&amp;H68)</x:f>
        <x:v>92</x:v>
      </x:c>
      <x:c r="O68" s="13" t="str">
        <x:v>I04 Table_1!D749/P749/U749</x:v>
      </x:c>
    </x:row>
    <x:row r="69" ht="24" customHeight="1">
      <x:c r="A69" s="13" t="str">
        <x:v>M85079</x:v>
      </x:c>
      <x:c r="B69" s="13" t="str">
        <x:v>QHL</x:v>
      </x:c>
      <x:c r="C69" s="13" t="n">
        <x:v>117</x:v>
      </x:c>
      <x:c r="D69" s="30" t="n">
        <x:v>72.6</x:v>
      </x:c>
      <x:c r="E69" s="14" t="n">
        <x:f>C69*(1000-ROUND(D69*10,0))/1000</x:f>
        <x:v>32.058</x:v>
      </x:c>
      <x:c r="F69" s="14" t="n">
        <x:f>MAX(0,(ROUND(D69*100,0)-ROUND($B$3*100,0))/100)</x:f>
        <x:v>72.55</x:v>
      </x:c>
      <x:c r="G69" s="14" t="n">
        <x:f>MIN(100,(ROUND(D69*100,0)+ROUND($B$3*100,0))/100)</x:f>
        <x:v>72.65</x:v>
      </x:c>
      <x:c r="H69" s="40" t="n">
        <x:f>C69*(10000-ROUND(G69*100,0))/10000</x:f>
        <x:v>31.9995</x:v>
      </x:c>
      <x:c r="I69" s="40" t="n">
        <x:f>C69*(10000-ROUND(F69*100,0))/10000</x:f>
        <x:v>32.1165</x:v>
      </x:c>
      <x:c r="J69" s="13" t="str">
        <x:f>IF(COUNTIFS($D$17:$D$369,"&lt;"&amp;D69,$E$17:$E$369,"&gt;="&amp;E69)+COUNTIFS($D$17:$D$369,"="&amp;D69,$E$17:$E$369,"&gt;"&amp;E69)=0,"是","否")</x:f>
        <x:v>否</x:v>
      </x:c>
      <x:c r="K69" s="13" t="str">
        <x:f>IF(COUNTIFS($G$17:$G$369,"&lt;"&amp;F69,$H$17:$H$369,"&gt;="&amp;I69)+COUNTIFS($G$17:$G$369,"="&amp;F69,$H$17:$H$369,"&gt;"&amp;I69)=0,"是","否")</x:f>
        <x:v>否</x:v>
      </x:c>
      <x:c r="L69" s="13" t="str">
        <x:f>IF(COUNTIFS($F$17:$F$369,"&lt;"&amp;G69,$I$17:$I$369,"&gt;="&amp;H69)+COUNTIFS($F$17:$F$369,"="&amp;G69,$I$17:$I$369,"&gt;"&amp;H69)-IF(OR(G69&gt;F69,I69&gt;H69),1,0)=0,"是","否")</x:f>
        <x:v>否</x:v>
      </x:c>
      <x:c r="M69" s="13" t="n">
        <x:f>1+COUNTIF($H$17:$H$369,"&gt;"&amp;I69)</x:f>
        <x:v>64</x:v>
      </x:c>
      <x:c r="N69" s="13" t="n">
        <x:f>COUNTIF($I$17:$I$369,"&gt;="&amp;H69)</x:f>
        <x:v>73</x:v>
      </x:c>
      <x:c r="O69" s="13" t="str">
        <x:v>I04 Table_1!D750/P750/U750</x:v>
      </x:c>
    </x:row>
    <x:row r="70" ht="24" customHeight="1">
      <x:c r="A70" s="13" t="str">
        <x:v>M85081</x:v>
      </x:c>
      <x:c r="B70" s="13" t="str">
        <x:v>QHL</x:v>
      </x:c>
      <x:c r="C70" s="13" t="n">
        <x:v>128</x:v>
      </x:c>
      <x:c r="D70" s="30" t="n">
        <x:v>78.9</x:v>
      </x:c>
      <x:c r="E70" s="14" t="n">
        <x:f>C70*(1000-ROUND(D70*10,0))/1000</x:f>
        <x:v>27.008</x:v>
      </x:c>
      <x:c r="F70" s="14" t="n">
        <x:f>MAX(0,(ROUND(D70*100,0)-ROUND($B$3*100,0))/100)</x:f>
        <x:v>78.85</x:v>
      </x:c>
      <x:c r="G70" s="14" t="n">
        <x:f>MIN(100,(ROUND(D70*100,0)+ROUND($B$3*100,0))/100)</x:f>
        <x:v>78.95</x:v>
      </x:c>
      <x:c r="H70" s="40" t="n">
        <x:f>C70*(10000-ROUND(G70*100,0))/10000</x:f>
        <x:v>26.944</x:v>
      </x:c>
      <x:c r="I70" s="40" t="n">
        <x:f>C70*(10000-ROUND(F70*100,0))/10000</x:f>
        <x:v>27.072</x:v>
      </x:c>
      <x:c r="J70" s="13" t="str">
        <x:f>IF(COUNTIFS($D$17:$D$369,"&lt;"&amp;D70,$E$17:$E$369,"&gt;="&amp;E70)+COUNTIFS($D$17:$D$369,"="&amp;D70,$E$17:$E$369,"&gt;"&amp;E70)=0,"是","否")</x:f>
        <x:v>否</x:v>
      </x:c>
      <x:c r="K70" s="13" t="str">
        <x:f>IF(COUNTIFS($G$17:$G$369,"&lt;"&amp;F70,$H$17:$H$369,"&gt;="&amp;I70)+COUNTIFS($G$17:$G$369,"="&amp;F70,$H$17:$H$369,"&gt;"&amp;I70)=0,"是","否")</x:f>
        <x:v>否</x:v>
      </x:c>
      <x:c r="L70" s="13" t="str">
        <x:f>IF(COUNTIFS($F$17:$F$369,"&lt;"&amp;G70,$I$17:$I$369,"&gt;="&amp;H70)+COUNTIFS($F$17:$F$369,"="&amp;G70,$I$17:$I$369,"&gt;"&amp;H70)-IF(OR(G70&gt;F70,I70&gt;H70),1,0)=0,"是","否")</x:f>
        <x:v>否</x:v>
      </x:c>
      <x:c r="M70" s="13" t="n">
        <x:f>1+COUNTIF($H$17:$H$369,"&gt;"&amp;I70)</x:f>
        <x:v>89</x:v>
      </x:c>
      <x:c r="N70" s="13" t="n">
        <x:f>COUNTIF($I$17:$I$369,"&gt;="&amp;H70)</x:f>
        <x:v>92</x:v>
      </x:c>
      <x:c r="O70" s="13" t="str">
        <x:v>I04 Table_1!D751/P751/U751</x:v>
      </x:c>
    </x:row>
    <x:row r="71" ht="24" customHeight="1">
      <x:c r="A71" s="13" t="str">
        <x:v>M85082</x:v>
      </x:c>
      <x:c r="B71" s="13" t="str">
        <x:v>QHL</x:v>
      </x:c>
      <x:c r="C71" s="13" t="n">
        <x:v>58</x:v>
      </x:c>
      <x:c r="D71" s="30" t="n">
        <x:v>87.9</x:v>
      </x:c>
      <x:c r="E71" s="14" t="n">
        <x:f>C71*(1000-ROUND(D71*10,0))/1000</x:f>
        <x:v>7.018</x:v>
      </x:c>
      <x:c r="F71" s="14" t="n">
        <x:f>MAX(0,(ROUND(D71*100,0)-ROUND($B$3*100,0))/100)</x:f>
        <x:v>87.85</x:v>
      </x:c>
      <x:c r="G71" s="14" t="n">
        <x:f>MIN(100,(ROUND(D71*100,0)+ROUND($B$3*100,0))/100)</x:f>
        <x:v>87.95</x:v>
      </x:c>
      <x:c r="H71" s="40" t="n">
        <x:f>C71*(10000-ROUND(G71*100,0))/10000</x:f>
        <x:v>6.989</x:v>
      </x:c>
      <x:c r="I71" s="40" t="n">
        <x:f>C71*(10000-ROUND(F71*100,0))/10000</x:f>
        <x:v>7.047</x:v>
      </x:c>
      <x:c r="J71" s="13" t="str">
        <x:f>IF(COUNTIFS($D$17:$D$369,"&lt;"&amp;D71,$E$17:$E$369,"&gt;="&amp;E71)+COUNTIFS($D$17:$D$369,"="&amp;D71,$E$17:$E$369,"&gt;"&amp;E71)=0,"是","否")</x:f>
        <x:v>否</x:v>
      </x:c>
      <x:c r="K71" s="13" t="str">
        <x:f>IF(COUNTIFS($G$17:$G$369,"&lt;"&amp;F71,$H$17:$H$369,"&gt;="&amp;I71)+COUNTIFS($G$17:$G$369,"="&amp;F71,$H$17:$H$369,"&gt;"&amp;I71)=0,"是","否")</x:f>
        <x:v>否</x:v>
      </x:c>
      <x:c r="L71" s="13" t="str">
        <x:f>IF(COUNTIFS($F$17:$F$369,"&lt;"&amp;G71,$I$17:$I$369,"&gt;="&amp;H71)+COUNTIFS($F$17:$F$369,"="&amp;G71,$I$17:$I$369,"&gt;"&amp;H71)-IF(OR(G71&gt;F71,I71&gt;H71),1,0)=0,"是","否")</x:f>
        <x:v>否</x:v>
      </x:c>
      <x:c r="M71" s="13" t="n">
        <x:f>1+COUNTIF($H$17:$H$369,"&gt;"&amp;I71)</x:f>
        <x:v>272</x:v>
      </x:c>
      <x:c r="N71" s="13" t="n">
        <x:f>COUNTIF($I$17:$I$369,"&gt;="&amp;H71)</x:f>
        <x:v>285</x:v>
      </x:c>
      <x:c r="O71" s="13" t="str">
        <x:v>I04 Table_1!D752/P752/U752</x:v>
      </x:c>
    </x:row>
    <x:row r="72" ht="24" customHeight="1">
      <x:c r="A72" s="13" t="str">
        <x:v>M85084</x:v>
      </x:c>
      <x:c r="B72" s="13" t="str">
        <x:v>QHL</x:v>
      </x:c>
      <x:c r="C72" s="13" t="n">
        <x:v>91</x:v>
      </x:c>
      <x:c r="D72" s="30" t="n">
        <x:v>61.5</x:v>
      </x:c>
      <x:c r="E72" s="14" t="n">
        <x:f>C72*(1000-ROUND(D72*10,0))/1000</x:f>
        <x:v>35.035</x:v>
      </x:c>
      <x:c r="F72" s="14" t="n">
        <x:f>MAX(0,(ROUND(D72*100,0)-ROUND($B$3*100,0))/100)</x:f>
        <x:v>61.45</x:v>
      </x:c>
      <x:c r="G72" s="14" t="n">
        <x:f>MIN(100,(ROUND(D72*100,0)+ROUND($B$3*100,0))/100)</x:f>
        <x:v>61.55</x:v>
      </x:c>
      <x:c r="H72" s="40" t="n">
        <x:f>C72*(10000-ROUND(G72*100,0))/10000</x:f>
        <x:v>34.9895</x:v>
      </x:c>
      <x:c r="I72" s="40" t="n">
        <x:f>C72*(10000-ROUND(F72*100,0))/10000</x:f>
        <x:v>35.0805</x:v>
      </x:c>
      <x:c r="J72" s="13" t="str">
        <x:f>IF(COUNTIFS($D$17:$D$369,"&lt;"&amp;D72,$E$17:$E$369,"&gt;="&amp;E72)+COUNTIFS($D$17:$D$369,"="&amp;D72,$E$17:$E$369,"&gt;"&amp;E72)=0,"是","否")</x:f>
        <x:v>否</x:v>
      </x:c>
      <x:c r="K72" s="13" t="str">
        <x:f>IF(COUNTIFS($G$17:$G$369,"&lt;"&amp;F72,$H$17:$H$369,"&gt;="&amp;I72)+COUNTIFS($G$17:$G$369,"="&amp;F72,$H$17:$H$369,"&gt;"&amp;I72)=0,"是","否")</x:f>
        <x:v>否</x:v>
      </x:c>
      <x:c r="L72" s="13" t="str">
        <x:f>IF(COUNTIFS($F$17:$F$369,"&lt;"&amp;G72,$I$17:$I$369,"&gt;="&amp;H72)+COUNTIFS($F$17:$F$369,"="&amp;G72,$I$17:$I$369,"&gt;"&amp;H72)-IF(OR(G72&gt;F72,I72&gt;H72),1,0)=0,"是","否")</x:f>
        <x:v>否</x:v>
      </x:c>
      <x:c r="M72" s="13" t="n">
        <x:f>1+COUNTIF($H$17:$H$369,"&gt;"&amp;I72)</x:f>
        <x:v>55</x:v>
      </x:c>
      <x:c r="N72" s="13" t="n">
        <x:f>COUNTIF($I$17:$I$369,"&gt;="&amp;H72)</x:f>
        <x:v>56</x:v>
      </x:c>
      <x:c r="O72" s="13" t="str">
        <x:v>I04 Table_1!D753/P753/U753</x:v>
      </x:c>
    </x:row>
    <x:row r="73" ht="24" customHeight="1">
      <x:c r="A73" s="13" t="str">
        <x:v>M85086</x:v>
      </x:c>
      <x:c r="B73" s="13" t="str">
        <x:v>QHL</x:v>
      </x:c>
      <x:c r="C73" s="13" t="n">
        <x:v>118</x:v>
      </x:c>
      <x:c r="D73" s="30" t="n">
        <x:v>86.4</x:v>
      </x:c>
      <x:c r="E73" s="14" t="n">
        <x:f>C73*(1000-ROUND(D73*10,0))/1000</x:f>
        <x:v>16.048</x:v>
      </x:c>
      <x:c r="F73" s="14" t="n">
        <x:f>MAX(0,(ROUND(D73*100,0)-ROUND($B$3*100,0))/100)</x:f>
        <x:v>86.35</x:v>
      </x:c>
      <x:c r="G73" s="14" t="n">
        <x:f>MIN(100,(ROUND(D73*100,0)+ROUND($B$3*100,0))/100)</x:f>
        <x:v>86.45</x:v>
      </x:c>
      <x:c r="H73" s="40" t="n">
        <x:f>C73*(10000-ROUND(G73*100,0))/10000</x:f>
        <x:v>15.989</x:v>
      </x:c>
      <x:c r="I73" s="40" t="n">
        <x:f>C73*(10000-ROUND(F73*100,0))/10000</x:f>
        <x:v>16.107</x:v>
      </x:c>
      <x:c r="J73" s="13" t="str">
        <x:f>IF(COUNTIFS($D$17:$D$369,"&lt;"&amp;D73,$E$17:$E$369,"&gt;="&amp;E73)+COUNTIFS($D$17:$D$369,"="&amp;D73,$E$17:$E$369,"&gt;"&amp;E73)=0,"是","否")</x:f>
        <x:v>否</x:v>
      </x:c>
      <x:c r="K73" s="13" t="str">
        <x:f>IF(COUNTIFS($G$17:$G$369,"&lt;"&amp;F73,$H$17:$H$369,"&gt;="&amp;I73)+COUNTIFS($G$17:$G$369,"="&amp;F73,$H$17:$H$369,"&gt;"&amp;I73)=0,"是","否")</x:f>
        <x:v>否</x:v>
      </x:c>
      <x:c r="L73" s="13" t="str">
        <x:f>IF(COUNTIFS($F$17:$F$369,"&lt;"&amp;G73,$I$17:$I$369,"&gt;="&amp;H73)+COUNTIFS($F$17:$F$369,"="&amp;G73,$I$17:$I$369,"&gt;"&amp;H73)-IF(OR(G73&gt;F73,I73&gt;H73),1,0)=0,"是","否")</x:f>
        <x:v>否</x:v>
      </x:c>
      <x:c r="M73" s="13" t="n">
        <x:f>1+COUNTIF($H$17:$H$369,"&gt;"&amp;I73)</x:f>
        <x:v>167</x:v>
      </x:c>
      <x:c r="N73" s="13" t="n">
        <x:f>COUNTIF($I$17:$I$369,"&gt;="&amp;H73)</x:f>
        <x:v>176</x:v>
      </x:c>
      <x:c r="O73" s="13" t="str">
        <x:v>I04 Table_1!D754/P754/U754</x:v>
      </x:c>
    </x:row>
    <x:row r="74" ht="24" customHeight="1">
      <x:c r="A74" s="13" t="str">
        <x:v>M85087</x:v>
      </x:c>
      <x:c r="B74" s="13" t="str">
        <x:v>QHL</x:v>
      </x:c>
      <x:c r="C74" s="13" t="n">
        <x:v>154</x:v>
      </x:c>
      <x:c r="D74" s="30" t="n">
        <x:v>81.2</x:v>
      </x:c>
      <x:c r="E74" s="14" t="n">
        <x:f>C74*(1000-ROUND(D74*10,0))/1000</x:f>
        <x:v>28.952</x:v>
      </x:c>
      <x:c r="F74" s="14" t="n">
        <x:f>MAX(0,(ROUND(D74*100,0)-ROUND($B$3*100,0))/100)</x:f>
        <x:v>81.15</x:v>
      </x:c>
      <x:c r="G74" s="14" t="n">
        <x:f>MIN(100,(ROUND(D74*100,0)+ROUND($B$3*100,0))/100)</x:f>
        <x:v>81.25</x:v>
      </x:c>
      <x:c r="H74" s="40" t="n">
        <x:f>C74*(10000-ROUND(G74*100,0))/10000</x:f>
        <x:v>28.875</x:v>
      </x:c>
      <x:c r="I74" s="40" t="n">
        <x:f>C74*(10000-ROUND(F74*100,0))/10000</x:f>
        <x:v>29.029</x:v>
      </x:c>
      <x:c r="J74" s="13" t="str">
        <x:f>IF(COUNTIFS($D$17:$D$369,"&lt;"&amp;D74,$E$17:$E$369,"&gt;="&amp;E74)+COUNTIFS($D$17:$D$369,"="&amp;D74,$E$17:$E$369,"&gt;"&amp;E74)=0,"是","否")</x:f>
        <x:v>否</x:v>
      </x:c>
      <x:c r="K74" s="13" t="str">
        <x:f>IF(COUNTIFS($G$17:$G$369,"&lt;"&amp;F74,$H$17:$H$369,"&gt;="&amp;I74)+COUNTIFS($G$17:$G$369,"="&amp;F74,$H$17:$H$369,"&gt;"&amp;I74)=0,"是","否")</x:f>
        <x:v>否</x:v>
      </x:c>
      <x:c r="L74" s="13" t="str">
        <x:f>IF(COUNTIFS($F$17:$F$369,"&lt;"&amp;G74,$I$17:$I$369,"&gt;="&amp;H74)+COUNTIFS($F$17:$F$369,"="&amp;G74,$I$17:$I$369,"&gt;"&amp;H74)-IF(OR(G74&gt;F74,I74&gt;H74),1,0)=0,"是","否")</x:f>
        <x:v>否</x:v>
      </x:c>
      <x:c r="M74" s="13" t="n">
        <x:f>1+COUNTIF($H$17:$H$369,"&gt;"&amp;I74)</x:f>
        <x:v>83</x:v>
      </x:c>
      <x:c r="N74" s="13" t="n">
        <x:f>COUNTIF($I$17:$I$369,"&gt;="&amp;H74)</x:f>
        <x:v>85</x:v>
      </x:c>
      <x:c r="O74" s="13" t="str">
        <x:v>I04 Table_1!D755/P755/U755</x:v>
      </x:c>
    </x:row>
    <x:row r="75" ht="24" customHeight="1">
      <x:c r="A75" s="13" t="str">
        <x:v>M85088</x:v>
      </x:c>
      <x:c r="B75" s="13" t="str">
        <x:v>QHL</x:v>
      </x:c>
      <x:c r="C75" s="13" t="n">
        <x:v>169</x:v>
      </x:c>
      <x:c r="D75" s="30" t="n">
        <x:v>66.9</x:v>
      </x:c>
      <x:c r="E75" s="14" t="n">
        <x:f>C75*(1000-ROUND(D75*10,0))/1000</x:f>
        <x:v>55.939</x:v>
      </x:c>
      <x:c r="F75" s="14" t="n">
        <x:f>MAX(0,(ROUND(D75*100,0)-ROUND($B$3*100,0))/100)</x:f>
        <x:v>66.85</x:v>
      </x:c>
      <x:c r="G75" s="14" t="n">
        <x:f>MIN(100,(ROUND(D75*100,0)+ROUND($B$3*100,0))/100)</x:f>
        <x:v>66.95</x:v>
      </x:c>
      <x:c r="H75" s="40" t="n">
        <x:f>C75*(10000-ROUND(G75*100,0))/10000</x:f>
        <x:v>55.8545</x:v>
      </x:c>
      <x:c r="I75" s="40" t="n">
        <x:f>C75*(10000-ROUND(F75*100,0))/10000</x:f>
        <x:v>56.0235</x:v>
      </x:c>
      <x:c r="J75" s="13" t="str">
        <x:f>IF(COUNTIFS($D$17:$D$369,"&lt;"&amp;D75,$E$17:$E$369,"&gt;="&amp;E75)+COUNTIFS($D$17:$D$369,"="&amp;D75,$E$17:$E$369,"&gt;"&amp;E75)=0,"是","否")</x:f>
        <x:v>否</x:v>
      </x:c>
      <x:c r="K75" s="13" t="str">
        <x:f>IF(COUNTIFS($G$17:$G$369,"&lt;"&amp;F75,$H$17:$H$369,"&gt;="&amp;I75)+COUNTIFS($G$17:$G$369,"="&amp;F75,$H$17:$H$369,"&gt;"&amp;I75)=0,"是","否")</x:f>
        <x:v>否</x:v>
      </x:c>
      <x:c r="L75" s="13" t="str">
        <x:f>IF(COUNTIFS($F$17:$F$369,"&lt;"&amp;G75,$I$17:$I$369,"&gt;="&amp;H75)+COUNTIFS($F$17:$F$369,"="&amp;G75,$I$17:$I$369,"&gt;"&amp;H75)-IF(OR(G75&gt;F75,I75&gt;H75),1,0)=0,"是","否")</x:f>
        <x:v>否</x:v>
      </x:c>
      <x:c r="M75" s="13" t="n">
        <x:f>1+COUNTIF($H$17:$H$369,"&gt;"&amp;I75)</x:f>
        <x:v>19</x:v>
      </x:c>
      <x:c r="N75" s="13" t="n">
        <x:f>COUNTIF($I$17:$I$369,"&gt;="&amp;H75)</x:f>
        <x:v>19</x:v>
      </x:c>
      <x:c r="O75" s="13" t="str">
        <x:v>I04 Table_1!D756/P756/U756</x:v>
      </x:c>
    </x:row>
    <x:row r="76" ht="24" customHeight="1">
      <x:c r="A76" s="13" t="str">
        <x:v>M85094</x:v>
      </x:c>
      <x:c r="B76" s="13" t="str">
        <x:v>QHL</x:v>
      </x:c>
      <x:c r="C76" s="13" t="n">
        <x:v>39</x:v>
      </x:c>
      <x:c r="D76" s="30" t="n">
        <x:v>79.5</x:v>
      </x:c>
      <x:c r="E76" s="14" t="n">
        <x:f>C76*(1000-ROUND(D76*10,0))/1000</x:f>
        <x:v>7.995</x:v>
      </x:c>
      <x:c r="F76" s="14" t="n">
        <x:f>MAX(0,(ROUND(D76*100,0)-ROUND($B$3*100,0))/100)</x:f>
        <x:v>79.45</x:v>
      </x:c>
      <x:c r="G76" s="14" t="n">
        <x:f>MIN(100,(ROUND(D76*100,0)+ROUND($B$3*100,0))/100)</x:f>
        <x:v>79.55</x:v>
      </x:c>
      <x:c r="H76" s="40" t="n">
        <x:f>C76*(10000-ROUND(G76*100,0))/10000</x:f>
        <x:v>7.9755</x:v>
      </x:c>
      <x:c r="I76" s="40" t="n">
        <x:f>C76*(10000-ROUND(F76*100,0))/10000</x:f>
        <x:v>8.0145</x:v>
      </x:c>
      <x:c r="J76" s="13" t="str">
        <x:f>IF(COUNTIFS($D$17:$D$369,"&lt;"&amp;D76,$E$17:$E$369,"&gt;="&amp;E76)+COUNTIFS($D$17:$D$369,"="&amp;D76,$E$17:$E$369,"&gt;"&amp;E76)=0,"是","否")</x:f>
        <x:v>否</x:v>
      </x:c>
      <x:c r="K76" s="13" t="str">
        <x:f>IF(COUNTIFS($G$17:$G$369,"&lt;"&amp;F76,$H$17:$H$369,"&gt;="&amp;I76)+COUNTIFS($G$17:$G$369,"="&amp;F76,$H$17:$H$369,"&gt;"&amp;I76)=0,"是","否")</x:f>
        <x:v>否</x:v>
      </x:c>
      <x:c r="L76" s="13" t="str">
        <x:f>IF(COUNTIFS($F$17:$F$369,"&lt;"&amp;G76,$I$17:$I$369,"&gt;="&amp;H76)+COUNTIFS($F$17:$F$369,"="&amp;G76,$I$17:$I$369,"&gt;"&amp;H76)-IF(OR(G76&gt;F76,I76&gt;H76),1,0)=0,"是","否")</x:f>
        <x:v>否</x:v>
      </x:c>
      <x:c r="M76" s="13" t="n">
        <x:f>1+COUNTIF($H$17:$H$369,"&gt;"&amp;I76)</x:f>
        <x:v>257</x:v>
      </x:c>
      <x:c r="N76" s="13" t="n">
        <x:f>COUNTIF($I$17:$I$369,"&gt;="&amp;H76)</x:f>
        <x:v>271</x:v>
      </x:c>
      <x:c r="O76" s="13" t="str">
        <x:v>I04 Table_1!D757/P757/U757</x:v>
      </x:c>
    </x:row>
    <x:row r="77" ht="24" customHeight="1">
      <x:c r="A77" s="13" t="str">
        <x:v>M85097</x:v>
      </x:c>
      <x:c r="B77" s="13" t="str">
        <x:v>QHL</x:v>
      </x:c>
      <x:c r="C77" s="13" t="n">
        <x:v>28</x:v>
      </x:c>
      <x:c r="D77" s="30" t="n">
        <x:v>85.7</x:v>
      </x:c>
      <x:c r="E77" s="14" t="n">
        <x:f>C77*(1000-ROUND(D77*10,0))/1000</x:f>
        <x:v>4.004</x:v>
      </x:c>
      <x:c r="F77" s="14" t="n">
        <x:f>MAX(0,(ROUND(D77*100,0)-ROUND($B$3*100,0))/100)</x:f>
        <x:v>85.65</x:v>
      </x:c>
      <x:c r="G77" s="14" t="n">
        <x:f>MIN(100,(ROUND(D77*100,0)+ROUND($B$3*100,0))/100)</x:f>
        <x:v>85.75</x:v>
      </x:c>
      <x:c r="H77" s="40" t="n">
        <x:f>C77*(10000-ROUND(G77*100,0))/10000</x:f>
        <x:v>3.99</x:v>
      </x:c>
      <x:c r="I77" s="40" t="n">
        <x:f>C77*(10000-ROUND(F77*100,0))/10000</x:f>
        <x:v>4.018</x:v>
      </x:c>
      <x:c r="J77" s="13" t="str">
        <x:f>IF(COUNTIFS($D$17:$D$369,"&lt;"&amp;D77,$E$17:$E$369,"&gt;="&amp;E77)+COUNTIFS($D$17:$D$369,"="&amp;D77,$E$17:$E$369,"&gt;"&amp;E77)=0,"是","否")</x:f>
        <x:v>否</x:v>
      </x:c>
      <x:c r="K77" s="13" t="str">
        <x:f>IF(COUNTIFS($G$17:$G$369,"&lt;"&amp;F77,$H$17:$H$369,"&gt;="&amp;I77)+COUNTIFS($G$17:$G$369,"="&amp;F77,$H$17:$H$369,"&gt;"&amp;I77)=0,"是","否")</x:f>
        <x:v>否</x:v>
      </x:c>
      <x:c r="L77" s="13" t="str">
        <x:f>IF(COUNTIFS($F$17:$F$369,"&lt;"&amp;G77,$I$17:$I$369,"&gt;="&amp;H77)+COUNTIFS($F$17:$F$369,"="&amp;G77,$I$17:$I$369,"&gt;"&amp;H77)-IF(OR(G77&gt;F77,I77&gt;H77),1,0)=0,"是","否")</x:f>
        <x:v>否</x:v>
      </x:c>
      <x:c r="M77" s="13" t="n">
        <x:f>1+COUNTIF($H$17:$H$369,"&gt;"&amp;I77)</x:f>
        <x:v>320</x:v>
      </x:c>
      <x:c r="N77" s="13" t="n">
        <x:f>COUNTIF($I$17:$I$369,"&gt;="&amp;H77)</x:f>
        <x:v>330</x:v>
      </x:c>
      <x:c r="O77" s="13" t="str">
        <x:v>I04 Table_1!D758/P758/U758</x:v>
      </x:c>
    </x:row>
    <x:row r="78" ht="24" customHeight="1">
      <x:c r="A78" s="13" t="str">
        <x:v>M85098</x:v>
      </x:c>
      <x:c r="B78" s="13" t="str">
        <x:v>QHL</x:v>
      </x:c>
      <x:c r="C78" s="13" t="n">
        <x:v>54</x:v>
      </x:c>
      <x:c r="D78" s="30" t="n">
        <x:v>88.9</x:v>
      </x:c>
      <x:c r="E78" s="14" t="n">
        <x:f>C78*(1000-ROUND(D78*10,0))/1000</x:f>
        <x:v>5.994</x:v>
      </x:c>
      <x:c r="F78" s="14" t="n">
        <x:f>MAX(0,(ROUND(D78*100,0)-ROUND($B$3*100,0))/100)</x:f>
        <x:v>88.85</x:v>
      </x:c>
      <x:c r="G78" s="14" t="n">
        <x:f>MIN(100,(ROUND(D78*100,0)+ROUND($B$3*100,0))/100)</x:f>
        <x:v>88.95</x:v>
      </x:c>
      <x:c r="H78" s="40" t="n">
        <x:f>C78*(10000-ROUND(G78*100,0))/10000</x:f>
        <x:v>5.967</x:v>
      </x:c>
      <x:c r="I78" s="40" t="n">
        <x:f>C78*(10000-ROUND(F78*100,0))/10000</x:f>
        <x:v>6.021</x:v>
      </x:c>
      <x:c r="J78" s="13" t="str">
        <x:f>IF(COUNTIFS($D$17:$D$369,"&lt;"&amp;D78,$E$17:$E$369,"&gt;="&amp;E78)+COUNTIFS($D$17:$D$369,"="&amp;D78,$E$17:$E$369,"&gt;"&amp;E78)=0,"是","否")</x:f>
        <x:v>否</x:v>
      </x:c>
      <x:c r="K78" s="13" t="str">
        <x:f>IF(COUNTIFS($G$17:$G$369,"&lt;"&amp;F78,$H$17:$H$369,"&gt;="&amp;I78)+COUNTIFS($G$17:$G$369,"="&amp;F78,$H$17:$H$369,"&gt;"&amp;I78)=0,"是","否")</x:f>
        <x:v>否</x:v>
      </x:c>
      <x:c r="L78" s="13" t="str">
        <x:f>IF(COUNTIFS($F$17:$F$369,"&lt;"&amp;G78,$I$17:$I$369,"&gt;="&amp;H78)+COUNTIFS($F$17:$F$369,"="&amp;G78,$I$17:$I$369,"&gt;"&amp;H78)-IF(OR(G78&gt;F78,I78&gt;H78),1,0)=0,"是","否")</x:f>
        <x:v>否</x:v>
      </x:c>
      <x:c r="M78" s="13" t="n">
        <x:f>1+COUNTIF($H$17:$H$369,"&gt;"&amp;I78)</x:f>
        <x:v>286</x:v>
      </x:c>
      <x:c r="N78" s="13" t="n">
        <x:f>COUNTIF($I$17:$I$369,"&gt;="&amp;H78)</x:f>
        <x:v>301</x:v>
      </x:c>
      <x:c r="O78" s="13" t="str">
        <x:v>I04 Table_1!D759/P759/U759</x:v>
      </x:c>
    </x:row>
    <x:row r="79" ht="24" customHeight="1">
      <x:c r="A79" s="13" t="str">
        <x:v>M85105</x:v>
      </x:c>
      <x:c r="B79" s="13" t="str">
        <x:v>QHL</x:v>
      </x:c>
      <x:c r="C79" s="13" t="n">
        <x:v>70</x:v>
      </x:c>
      <x:c r="D79" s="30" t="n">
        <x:v>82.9</x:v>
      </x:c>
      <x:c r="E79" s="14" t="n">
        <x:f>C79*(1000-ROUND(D79*10,0))/1000</x:f>
        <x:v>11.97</x:v>
      </x:c>
      <x:c r="F79" s="14" t="n">
        <x:f>MAX(0,(ROUND(D79*100,0)-ROUND($B$3*100,0))/100)</x:f>
        <x:v>82.85</x:v>
      </x:c>
      <x:c r="G79" s="14" t="n">
        <x:f>MIN(100,(ROUND(D79*100,0)+ROUND($B$3*100,0))/100)</x:f>
        <x:v>82.95</x:v>
      </x:c>
      <x:c r="H79" s="40" t="n">
        <x:f>C79*(10000-ROUND(G79*100,0))/10000</x:f>
        <x:v>11.935</x:v>
      </x:c>
      <x:c r="I79" s="40" t="n">
        <x:f>C79*(10000-ROUND(F79*100,0))/10000</x:f>
        <x:v>12.005</x:v>
      </x:c>
      <x:c r="J79" s="13" t="str">
        <x:f>IF(COUNTIFS($D$17:$D$369,"&lt;"&amp;D79,$E$17:$E$369,"&gt;="&amp;E79)+COUNTIFS($D$17:$D$369,"="&amp;D79,$E$17:$E$369,"&gt;"&amp;E79)=0,"是","否")</x:f>
        <x:v>否</x:v>
      </x:c>
      <x:c r="K79" s="13" t="str">
        <x:f>IF(COUNTIFS($G$17:$G$369,"&lt;"&amp;F79,$H$17:$H$369,"&gt;="&amp;I79)+COUNTIFS($G$17:$G$369,"="&amp;F79,$H$17:$H$369,"&gt;"&amp;I79)=0,"是","否")</x:f>
        <x:v>否</x:v>
      </x:c>
      <x:c r="L79" s="13" t="str">
        <x:f>IF(COUNTIFS($F$17:$F$369,"&lt;"&amp;G79,$I$17:$I$369,"&gt;="&amp;H79)+COUNTIFS($F$17:$F$369,"="&amp;G79,$I$17:$I$369,"&gt;"&amp;H79)-IF(OR(G79&gt;F79,I79&gt;H79),1,0)=0,"是","否")</x:f>
        <x:v>否</x:v>
      </x:c>
      <x:c r="M79" s="13" t="n">
        <x:f>1+COUNTIF($H$17:$H$369,"&gt;"&amp;I79)</x:f>
        <x:v>213</x:v>
      </x:c>
      <x:c r="N79" s="13" t="n">
        <x:f>COUNTIF($I$17:$I$369,"&gt;="&amp;H79)</x:f>
        <x:v>221</x:v>
      </x:c>
      <x:c r="O79" s="13" t="str">
        <x:v>I04 Table_1!D760/P760/U760</x:v>
      </x:c>
    </x:row>
    <x:row r="80" ht="24" customHeight="1">
      <x:c r="A80" s="13" t="str">
        <x:v>M85107</x:v>
      </x:c>
      <x:c r="B80" s="13" t="str">
        <x:v>QHL</x:v>
      </x:c>
      <x:c r="C80" s="13" t="n">
        <x:v>56</x:v>
      </x:c>
      <x:c r="D80" s="30" t="n">
        <x:v>67.9</x:v>
      </x:c>
      <x:c r="E80" s="14" t="n">
        <x:f>C80*(1000-ROUND(D80*10,0))/1000</x:f>
        <x:v>17.976</x:v>
      </x:c>
      <x:c r="F80" s="14" t="n">
        <x:f>MAX(0,(ROUND(D80*100,0)-ROUND($B$3*100,0))/100)</x:f>
        <x:v>67.85</x:v>
      </x:c>
      <x:c r="G80" s="14" t="n">
        <x:f>MIN(100,(ROUND(D80*100,0)+ROUND($B$3*100,0))/100)</x:f>
        <x:v>67.95</x:v>
      </x:c>
      <x:c r="H80" s="40" t="n">
        <x:f>C80*(10000-ROUND(G80*100,0))/10000</x:f>
        <x:v>17.948</x:v>
      </x:c>
      <x:c r="I80" s="40" t="n">
        <x:f>C80*(10000-ROUND(F80*100,0))/10000</x:f>
        <x:v>18.004</x:v>
      </x:c>
      <x:c r="J80" s="13" t="str">
        <x:f>IF(COUNTIFS($D$17:$D$369,"&lt;"&amp;D80,$E$17:$E$369,"&gt;="&amp;E80)+COUNTIFS($D$17:$D$369,"="&amp;D80,$E$17:$E$369,"&gt;"&amp;E80)=0,"是","否")</x:f>
        <x:v>否</x:v>
      </x:c>
      <x:c r="K80" s="13" t="str">
        <x:f>IF(COUNTIFS($G$17:$G$369,"&lt;"&amp;F80,$H$17:$H$369,"&gt;="&amp;I80)+COUNTIFS($G$17:$G$369,"="&amp;F80,$H$17:$H$369,"&gt;"&amp;I80)=0,"是","否")</x:f>
        <x:v>否</x:v>
      </x:c>
      <x:c r="L80" s="13" t="str">
        <x:f>IF(COUNTIFS($F$17:$F$369,"&lt;"&amp;G80,$I$17:$I$369,"&gt;="&amp;H80)+COUNTIFS($F$17:$F$369,"="&amp;G80,$I$17:$I$369,"&gt;"&amp;H80)-IF(OR(G80&gt;F80,I80&gt;H80),1,0)=0,"是","否")</x:f>
        <x:v>否</x:v>
      </x:c>
      <x:c r="M80" s="13" t="n">
        <x:f>1+COUNTIF($H$17:$H$369,"&gt;"&amp;I80)</x:f>
        <x:v>152</x:v>
      </x:c>
      <x:c r="N80" s="13" t="n">
        <x:f>COUNTIF($I$17:$I$369,"&gt;="&amp;H80)</x:f>
        <x:v>157</x:v>
      </x:c>
      <x:c r="O80" s="13" t="str">
        <x:v>I04 Table_1!D761/P761/U761</x:v>
      </x:c>
    </x:row>
    <x:row r="81" ht="24" customHeight="1">
      <x:c r="A81" s="13" t="str">
        <x:v>M85108</x:v>
      </x:c>
      <x:c r="B81" s="13" t="str">
        <x:v>QHL</x:v>
      </x:c>
      <x:c r="C81" s="13" t="n">
        <x:v>70</x:v>
      </x:c>
      <x:c r="D81" s="30" t="n">
        <x:v>54.3</x:v>
      </x:c>
      <x:c r="E81" s="14" t="n">
        <x:f>C81*(1000-ROUND(D81*10,0))/1000</x:f>
        <x:v>31.99</x:v>
      </x:c>
      <x:c r="F81" s="14" t="n">
        <x:f>MAX(0,(ROUND(D81*100,0)-ROUND($B$3*100,0))/100)</x:f>
        <x:v>54.25</x:v>
      </x:c>
      <x:c r="G81" s="14" t="n">
        <x:f>MIN(100,(ROUND(D81*100,0)+ROUND($B$3*100,0))/100)</x:f>
        <x:v>54.35</x:v>
      </x:c>
      <x:c r="H81" s="40" t="n">
        <x:f>C81*(10000-ROUND(G81*100,0))/10000</x:f>
        <x:v>31.955</x:v>
      </x:c>
      <x:c r="I81" s="40" t="n">
        <x:f>C81*(10000-ROUND(F81*100,0))/10000</x:f>
        <x:v>32.025</x:v>
      </x:c>
      <x:c r="J81" s="13" t="str">
        <x:f>IF(COUNTIFS($D$17:$D$369,"&lt;"&amp;D81,$E$17:$E$369,"&gt;="&amp;E81)+COUNTIFS($D$17:$D$369,"="&amp;D81,$E$17:$E$369,"&gt;"&amp;E81)=0,"是","否")</x:f>
        <x:v>否</x:v>
      </x:c>
      <x:c r="K81" s="13" t="str">
        <x:f>IF(COUNTIFS($G$17:$G$369,"&lt;"&amp;F81,$H$17:$H$369,"&gt;="&amp;I81)+COUNTIFS($G$17:$G$369,"="&amp;F81,$H$17:$H$369,"&gt;"&amp;I81)=0,"是","否")</x:f>
        <x:v>否</x:v>
      </x:c>
      <x:c r="L81" s="13" t="str">
        <x:f>IF(COUNTIFS($F$17:$F$369,"&lt;"&amp;G81,$I$17:$I$369,"&gt;="&amp;H81)+COUNTIFS($F$17:$F$369,"="&amp;G81,$I$17:$I$369,"&gt;"&amp;H81)-IF(OR(G81&gt;F81,I81&gt;H81),1,0)=0,"是","否")</x:f>
        <x:v>否</x:v>
      </x:c>
      <x:c r="M81" s="13" t="n">
        <x:f>1+COUNTIF($H$17:$H$369,"&gt;"&amp;I81)</x:f>
        <x:v>64</x:v>
      </x:c>
      <x:c r="N81" s="13" t="n">
        <x:f>COUNTIF($I$17:$I$369,"&gt;="&amp;H81)</x:f>
        <x:v>73</x:v>
      </x:c>
      <x:c r="O81" s="13" t="str">
        <x:v>I04 Table_1!D762/P762/U762</x:v>
      </x:c>
    </x:row>
    <x:row r="82" ht="24" customHeight="1">
      <x:c r="A82" s="13" t="str">
        <x:v>M85110</x:v>
      </x:c>
      <x:c r="B82" s="13" t="str">
        <x:v>QHL</x:v>
      </x:c>
      <x:c r="C82" s="13" t="n">
        <x:v>138</x:v>
      </x:c>
      <x:c r="D82" s="30" t="n">
        <x:v>74.6</x:v>
      </x:c>
      <x:c r="E82" s="14" t="n">
        <x:f>C82*(1000-ROUND(D82*10,0))/1000</x:f>
        <x:v>35.052</x:v>
      </x:c>
      <x:c r="F82" s="14" t="n">
        <x:f>MAX(0,(ROUND(D82*100,0)-ROUND($B$3*100,0))/100)</x:f>
        <x:v>74.55</x:v>
      </x:c>
      <x:c r="G82" s="14" t="n">
        <x:f>MIN(100,(ROUND(D82*100,0)+ROUND($B$3*100,0))/100)</x:f>
        <x:v>74.65</x:v>
      </x:c>
      <x:c r="H82" s="40" t="n">
        <x:f>C82*(10000-ROUND(G82*100,0))/10000</x:f>
        <x:v>34.983</x:v>
      </x:c>
      <x:c r="I82" s="40" t="n">
        <x:f>C82*(10000-ROUND(F82*100,0))/10000</x:f>
        <x:v>35.121</x:v>
      </x:c>
      <x:c r="J82" s="13" t="str">
        <x:f>IF(COUNTIFS($D$17:$D$369,"&lt;"&amp;D82,$E$17:$E$369,"&gt;="&amp;E82)+COUNTIFS($D$17:$D$369,"="&amp;D82,$E$17:$E$369,"&gt;"&amp;E82)=0,"是","否")</x:f>
        <x:v>否</x:v>
      </x:c>
      <x:c r="K82" s="13" t="str">
        <x:f>IF(COUNTIFS($G$17:$G$369,"&lt;"&amp;F82,$H$17:$H$369,"&gt;="&amp;I82)+COUNTIFS($G$17:$G$369,"="&amp;F82,$H$17:$H$369,"&gt;"&amp;I82)=0,"是","否")</x:f>
        <x:v>否</x:v>
      </x:c>
      <x:c r="L82" s="13" t="str">
        <x:f>IF(COUNTIFS($F$17:$F$369,"&lt;"&amp;G82,$I$17:$I$369,"&gt;="&amp;H82)+COUNTIFS($F$17:$F$369,"="&amp;G82,$I$17:$I$369,"&gt;"&amp;H82)-IF(OR(G82&gt;F82,I82&gt;H82),1,0)=0,"是","否")</x:f>
        <x:v>否</x:v>
      </x:c>
      <x:c r="M82" s="13" t="n">
        <x:f>1+COUNTIF($H$17:$H$369,"&gt;"&amp;I82)</x:f>
        <x:v>55</x:v>
      </x:c>
      <x:c r="N82" s="13" t="n">
        <x:f>COUNTIF($I$17:$I$369,"&gt;="&amp;H82)</x:f>
        <x:v>56</x:v>
      </x:c>
      <x:c r="O82" s="13" t="str">
        <x:v>I04 Table_1!D763/P763/U763</x:v>
      </x:c>
    </x:row>
    <x:row r="83" ht="24" customHeight="1">
      <x:c r="A83" s="13" t="str">
        <x:v>M85113</x:v>
      </x:c>
      <x:c r="B83" s="13" t="str">
        <x:v>QHL</x:v>
      </x:c>
      <x:c r="C83" s="13" t="n">
        <x:v>77</x:v>
      </x:c>
      <x:c r="D83" s="30" t="n">
        <x:v>70.1</x:v>
      </x:c>
      <x:c r="E83" s="14" t="n">
        <x:f>C83*(1000-ROUND(D83*10,0))/1000</x:f>
        <x:v>23.023</x:v>
      </x:c>
      <x:c r="F83" s="14" t="n">
        <x:f>MAX(0,(ROUND(D83*100,0)-ROUND($B$3*100,0))/100)</x:f>
        <x:v>70.05</x:v>
      </x:c>
      <x:c r="G83" s="14" t="n">
        <x:f>MIN(100,(ROUND(D83*100,0)+ROUND($B$3*100,0))/100)</x:f>
        <x:v>70.15</x:v>
      </x:c>
      <x:c r="H83" s="40" t="n">
        <x:f>C83*(10000-ROUND(G83*100,0))/10000</x:f>
        <x:v>22.9845</x:v>
      </x:c>
      <x:c r="I83" s="40" t="n">
        <x:f>C83*(10000-ROUND(F83*100,0))/10000</x:f>
        <x:v>23.0615</x:v>
      </x:c>
      <x:c r="J83" s="13" t="str">
        <x:f>IF(COUNTIFS($D$17:$D$369,"&lt;"&amp;D83,$E$17:$E$369,"&gt;="&amp;E83)+COUNTIFS($D$17:$D$369,"="&amp;D83,$E$17:$E$369,"&gt;"&amp;E83)=0,"是","否")</x:f>
        <x:v>否</x:v>
      </x:c>
      <x:c r="K83" s="13" t="str">
        <x:f>IF(COUNTIFS($G$17:$G$369,"&lt;"&amp;F83,$H$17:$H$369,"&gt;="&amp;I83)+COUNTIFS($G$17:$G$369,"="&amp;F83,$H$17:$H$369,"&gt;"&amp;I83)=0,"是","否")</x:f>
        <x:v>否</x:v>
      </x:c>
      <x:c r="L83" s="13" t="str">
        <x:f>IF(COUNTIFS($F$17:$F$369,"&lt;"&amp;G83,$I$17:$I$369,"&gt;="&amp;H83)+COUNTIFS($F$17:$F$369,"="&amp;G83,$I$17:$I$369,"&gt;"&amp;H83)-IF(OR(G83&gt;F83,I83&gt;H83),1,0)=0,"是","否")</x:f>
        <x:v>否</x:v>
      </x:c>
      <x:c r="M83" s="13" t="n">
        <x:f>1+COUNTIF($H$17:$H$369,"&gt;"&amp;I83)</x:f>
        <x:v>112</x:v>
      </x:c>
      <x:c r="N83" s="13" t="n">
        <x:f>COUNTIF($I$17:$I$369,"&gt;="&amp;H83)</x:f>
        <x:v>119</x:v>
      </x:c>
      <x:c r="O83" s="13" t="str">
        <x:v>I04 Table_1!D764/P764/U764</x:v>
      </x:c>
    </x:row>
    <x:row r="84" ht="24" customHeight="1">
      <x:c r="A84" s="13" t="str">
        <x:v>M85115</x:v>
      </x:c>
      <x:c r="B84" s="13" t="str">
        <x:v>QHL</x:v>
      </x:c>
      <x:c r="C84" s="13" t="n">
        <x:v>17</x:v>
      </x:c>
      <x:c r="D84" s="30" t="n">
        <x:v>70.6</x:v>
      </x:c>
      <x:c r="E84" s="14" t="n">
        <x:f>C84*(1000-ROUND(D84*10,0))/1000</x:f>
        <x:v>4.998</x:v>
      </x:c>
      <x:c r="F84" s="14" t="n">
        <x:f>MAX(0,(ROUND(D84*100,0)-ROUND($B$3*100,0))/100)</x:f>
        <x:v>70.55</x:v>
      </x:c>
      <x:c r="G84" s="14" t="n">
        <x:f>MIN(100,(ROUND(D84*100,0)+ROUND($B$3*100,0))/100)</x:f>
        <x:v>70.65</x:v>
      </x:c>
      <x:c r="H84" s="40" t="n">
        <x:f>C84*(10000-ROUND(G84*100,0))/10000</x:f>
        <x:v>4.9895</x:v>
      </x:c>
      <x:c r="I84" s="40" t="n">
        <x:f>C84*(10000-ROUND(F84*100,0))/10000</x:f>
        <x:v>5.0065</x:v>
      </x:c>
      <x:c r="J84" s="13" t="str">
        <x:f>IF(COUNTIFS($D$17:$D$369,"&lt;"&amp;D84,$E$17:$E$369,"&gt;="&amp;E84)+COUNTIFS($D$17:$D$369,"="&amp;D84,$E$17:$E$369,"&gt;"&amp;E84)=0,"是","否")</x:f>
        <x:v>否</x:v>
      </x:c>
      <x:c r="K84" s="13" t="str">
        <x:f>IF(COUNTIFS($G$17:$G$369,"&lt;"&amp;F84,$H$17:$H$369,"&gt;="&amp;I84)+COUNTIFS($G$17:$G$369,"="&amp;F84,$H$17:$H$369,"&gt;"&amp;I84)=0,"是","否")</x:f>
        <x:v>否</x:v>
      </x:c>
      <x:c r="L84" s="13" t="str">
        <x:f>IF(COUNTIFS($F$17:$F$369,"&lt;"&amp;G84,$I$17:$I$369,"&gt;="&amp;H84)+COUNTIFS($F$17:$F$369,"="&amp;G84,$I$17:$I$369,"&gt;"&amp;H84)-IF(OR(G84&gt;F84,I84&gt;H84),1,0)=0,"是","否")</x:f>
        <x:v>否</x:v>
      </x:c>
      <x:c r="M84" s="13" t="n">
        <x:f>1+COUNTIF($H$17:$H$369,"&gt;"&amp;I84)</x:f>
        <x:v>302</x:v>
      </x:c>
      <x:c r="N84" s="13" t="n">
        <x:f>COUNTIF($I$17:$I$369,"&gt;="&amp;H84)</x:f>
        <x:v>319</x:v>
      </x:c>
      <x:c r="O84" s="13" t="str">
        <x:v>I04 Table_1!D765/P765/U765</x:v>
      </x:c>
    </x:row>
    <x:row r="85" ht="24" customHeight="1">
      <x:c r="A85" s="13" t="str">
        <x:v>M85116</x:v>
      </x:c>
      <x:c r="B85" s="13" t="str">
        <x:v>QHL</x:v>
      </x:c>
      <x:c r="C85" s="13" t="n">
        <x:v>125</x:v>
      </x:c>
      <x:c r="D85" s="30" t="n">
        <x:v>81.6</x:v>
      </x:c>
      <x:c r="E85" s="14" t="n">
        <x:f>C85*(1000-ROUND(D85*10,0))/1000</x:f>
        <x:v>23</x:v>
      </x:c>
      <x:c r="F85" s="14" t="n">
        <x:f>MAX(0,(ROUND(D85*100,0)-ROUND($B$3*100,0))/100)</x:f>
        <x:v>81.55</x:v>
      </x:c>
      <x:c r="G85" s="14" t="n">
        <x:f>MIN(100,(ROUND(D85*100,0)+ROUND($B$3*100,0))/100)</x:f>
        <x:v>81.65</x:v>
      </x:c>
      <x:c r="H85" s="40" t="n">
        <x:f>C85*(10000-ROUND(G85*100,0))/10000</x:f>
        <x:v>22.9375</x:v>
      </x:c>
      <x:c r="I85" s="40" t="n">
        <x:f>C85*(10000-ROUND(F85*100,0))/10000</x:f>
        <x:v>23.0625</x:v>
      </x:c>
      <x:c r="J85" s="13" t="str">
        <x:f>IF(COUNTIFS($D$17:$D$369,"&lt;"&amp;D85,$E$17:$E$369,"&gt;="&amp;E85)+COUNTIFS($D$17:$D$369,"="&amp;D85,$E$17:$E$369,"&gt;"&amp;E85)=0,"是","否")</x:f>
        <x:v>否</x:v>
      </x:c>
      <x:c r="K85" s="13" t="str">
        <x:f>IF(COUNTIFS($G$17:$G$369,"&lt;"&amp;F85,$H$17:$H$369,"&gt;="&amp;I85)+COUNTIFS($G$17:$G$369,"="&amp;F85,$H$17:$H$369,"&gt;"&amp;I85)=0,"是","否")</x:f>
        <x:v>否</x:v>
      </x:c>
      <x:c r="L85" s="13" t="str">
        <x:f>IF(COUNTIFS($F$17:$F$369,"&lt;"&amp;G85,$I$17:$I$369,"&gt;="&amp;H85)+COUNTIFS($F$17:$F$369,"="&amp;G85,$I$17:$I$369,"&gt;"&amp;H85)-IF(OR(G85&gt;F85,I85&gt;H85),1,0)=0,"是","否")</x:f>
        <x:v>否</x:v>
      </x:c>
      <x:c r="M85" s="13" t="n">
        <x:f>1+COUNTIF($H$17:$H$369,"&gt;"&amp;I85)</x:f>
        <x:v>112</x:v>
      </x:c>
      <x:c r="N85" s="13" t="n">
        <x:f>COUNTIF($I$17:$I$369,"&gt;="&amp;H85)</x:f>
        <x:v>119</x:v>
      </x:c>
      <x:c r="O85" s="13" t="str">
        <x:v>I04 Table_1!D766/P766/U766</x:v>
      </x:c>
    </x:row>
    <x:row r="86" ht="24" customHeight="1">
      <x:c r="A86" s="13" t="str">
        <x:v>M85117</x:v>
      </x:c>
      <x:c r="B86" s="13" t="str">
        <x:v>QHL</x:v>
      </x:c>
      <x:c r="C86" s="13" t="n">
        <x:v>75</x:v>
      </x:c>
      <x:c r="D86" s="30" t="n">
        <x:v>80</x:v>
      </x:c>
      <x:c r="E86" s="14" t="n">
        <x:f>C86*(1000-ROUND(D86*10,0))/1000</x:f>
        <x:v>15</x:v>
      </x:c>
      <x:c r="F86" s="14" t="n">
        <x:f>MAX(0,(ROUND(D86*100,0)-ROUND($B$3*100,0))/100)</x:f>
        <x:v>79.95</x:v>
      </x:c>
      <x:c r="G86" s="14" t="n">
        <x:f>MIN(100,(ROUND(D86*100,0)+ROUND($B$3*100,0))/100)</x:f>
        <x:v>80.05</x:v>
      </x:c>
      <x:c r="H86" s="40" t="n">
        <x:f>C86*(10000-ROUND(G86*100,0))/10000</x:f>
        <x:v>14.9625</x:v>
      </x:c>
      <x:c r="I86" s="40" t="n">
        <x:f>C86*(10000-ROUND(F86*100,0))/10000</x:f>
        <x:v>15.0375</x:v>
      </x:c>
      <x:c r="J86" s="13" t="str">
        <x:f>IF(COUNTIFS($D$17:$D$369,"&lt;"&amp;D86,$E$17:$E$369,"&gt;="&amp;E86)+COUNTIFS($D$17:$D$369,"="&amp;D86,$E$17:$E$369,"&gt;"&amp;E86)=0,"是","否")</x:f>
        <x:v>否</x:v>
      </x:c>
      <x:c r="K86" s="13" t="str">
        <x:f>IF(COUNTIFS($G$17:$G$369,"&lt;"&amp;F86,$H$17:$H$369,"&gt;="&amp;I86)+COUNTIFS($G$17:$G$369,"="&amp;F86,$H$17:$H$369,"&gt;"&amp;I86)=0,"是","否")</x:f>
        <x:v>否</x:v>
      </x:c>
      <x:c r="L86" s="13" t="str">
        <x:f>IF(COUNTIFS($F$17:$F$369,"&lt;"&amp;G86,$I$17:$I$369,"&gt;="&amp;H86)+COUNTIFS($F$17:$F$369,"="&amp;G86,$I$17:$I$369,"&gt;"&amp;H86)-IF(OR(G86&gt;F86,I86&gt;H86),1,0)=0,"是","否")</x:f>
        <x:v>否</x:v>
      </x:c>
      <x:c r="M86" s="13" t="n">
        <x:f>1+COUNTIF($H$17:$H$369,"&gt;"&amp;I86)</x:f>
        <x:v>177</x:v>
      </x:c>
      <x:c r="N86" s="13" t="n">
        <x:f>COUNTIF($I$17:$I$369,"&gt;="&amp;H86)</x:f>
        <x:v>189</x:v>
      </x:c>
      <x:c r="O86" s="13" t="str">
        <x:v>I04 Table_1!D767/P767/U767</x:v>
      </x:c>
    </x:row>
    <x:row r="87" ht="24" customHeight="1">
      <x:c r="A87" s="13" t="str">
        <x:v>M85118</x:v>
      </x:c>
      <x:c r="B87" s="13" t="str">
        <x:v>QHL</x:v>
      </x:c>
      <x:c r="C87" s="13" t="n">
        <x:v>42</x:v>
      </x:c>
      <x:c r="D87" s="30" t="n">
        <x:v>88.1</x:v>
      </x:c>
      <x:c r="E87" s="14" t="n">
        <x:f>C87*(1000-ROUND(D87*10,0))/1000</x:f>
        <x:v>4.998</x:v>
      </x:c>
      <x:c r="F87" s="14" t="n">
        <x:f>MAX(0,(ROUND(D87*100,0)-ROUND($B$3*100,0))/100)</x:f>
        <x:v>88.05</x:v>
      </x:c>
      <x:c r="G87" s="14" t="n">
        <x:f>MIN(100,(ROUND(D87*100,0)+ROUND($B$3*100,0))/100)</x:f>
        <x:v>88.15</x:v>
      </x:c>
      <x:c r="H87" s="40" t="n">
        <x:f>C87*(10000-ROUND(G87*100,0))/10000</x:f>
        <x:v>4.977</x:v>
      </x:c>
      <x:c r="I87" s="40" t="n">
        <x:f>C87*(10000-ROUND(F87*100,0))/10000</x:f>
        <x:v>5.019</x:v>
      </x:c>
      <x:c r="J87" s="13" t="str">
        <x:f>IF(COUNTIFS($D$17:$D$369,"&lt;"&amp;D87,$E$17:$E$369,"&gt;="&amp;E87)+COUNTIFS($D$17:$D$369,"="&amp;D87,$E$17:$E$369,"&gt;"&amp;E87)=0,"是","否")</x:f>
        <x:v>否</x:v>
      </x:c>
      <x:c r="K87" s="13" t="str">
        <x:f>IF(COUNTIFS($G$17:$G$369,"&lt;"&amp;F87,$H$17:$H$369,"&gt;="&amp;I87)+COUNTIFS($G$17:$G$369,"="&amp;F87,$H$17:$H$369,"&gt;"&amp;I87)=0,"是","否")</x:f>
        <x:v>否</x:v>
      </x:c>
      <x:c r="L87" s="13" t="str">
        <x:f>IF(COUNTIFS($F$17:$F$369,"&lt;"&amp;G87,$I$17:$I$369,"&gt;="&amp;H87)+COUNTIFS($F$17:$F$369,"="&amp;G87,$I$17:$I$369,"&gt;"&amp;H87)-IF(OR(G87&gt;F87,I87&gt;H87),1,0)=0,"是","否")</x:f>
        <x:v>否</x:v>
      </x:c>
      <x:c r="M87" s="13" t="n">
        <x:f>1+COUNTIF($H$17:$H$369,"&gt;"&amp;I87)</x:f>
        <x:v>302</x:v>
      </x:c>
      <x:c r="N87" s="13" t="n">
        <x:f>COUNTIF($I$17:$I$369,"&gt;="&amp;H87)</x:f>
        <x:v>319</x:v>
      </x:c>
      <x:c r="O87" s="13" t="str">
        <x:v>I04 Table_1!D768/P768/U768</x:v>
      </x:c>
    </x:row>
    <x:row r="88" ht="24" customHeight="1">
      <x:c r="A88" s="13" t="str">
        <x:v>M85123</x:v>
      </x:c>
      <x:c r="B88" s="13" t="str">
        <x:v>QHL</x:v>
      </x:c>
      <x:c r="C88" s="13" t="n">
        <x:v>138</x:v>
      </x:c>
      <x:c r="D88" s="30" t="n">
        <x:v>76.8</x:v>
      </x:c>
      <x:c r="E88" s="14" t="n">
        <x:f>C88*(1000-ROUND(D88*10,0))/1000</x:f>
        <x:v>32.016</x:v>
      </x:c>
      <x:c r="F88" s="14" t="n">
        <x:f>MAX(0,(ROUND(D88*100,0)-ROUND($B$3*100,0))/100)</x:f>
        <x:v>76.75</x:v>
      </x:c>
      <x:c r="G88" s="14" t="n">
        <x:f>MIN(100,(ROUND(D88*100,0)+ROUND($B$3*100,0))/100)</x:f>
        <x:v>76.85</x:v>
      </x:c>
      <x:c r="H88" s="40" t="n">
        <x:f>C88*(10000-ROUND(G88*100,0))/10000</x:f>
        <x:v>31.947</x:v>
      </x:c>
      <x:c r="I88" s="40" t="n">
        <x:f>C88*(10000-ROUND(F88*100,0))/10000</x:f>
        <x:v>32.085</x:v>
      </x:c>
      <x:c r="J88" s="13" t="str">
        <x:f>IF(COUNTIFS($D$17:$D$369,"&lt;"&amp;D88,$E$17:$E$369,"&gt;="&amp;E88)+COUNTIFS($D$17:$D$369,"="&amp;D88,$E$17:$E$369,"&gt;"&amp;E88)=0,"是","否")</x:f>
        <x:v>否</x:v>
      </x:c>
      <x:c r="K88" s="13" t="str">
        <x:f>IF(COUNTIFS($G$17:$G$369,"&lt;"&amp;F88,$H$17:$H$369,"&gt;="&amp;I88)+COUNTIFS($G$17:$G$369,"="&amp;F88,$H$17:$H$369,"&gt;"&amp;I88)=0,"是","否")</x:f>
        <x:v>否</x:v>
      </x:c>
      <x:c r="L88" s="13" t="str">
        <x:f>IF(COUNTIFS($F$17:$F$369,"&lt;"&amp;G88,$I$17:$I$369,"&gt;="&amp;H88)+COUNTIFS($F$17:$F$369,"="&amp;G88,$I$17:$I$369,"&gt;"&amp;H88)-IF(OR(G88&gt;F88,I88&gt;H88),1,0)=0,"是","否")</x:f>
        <x:v>否</x:v>
      </x:c>
      <x:c r="M88" s="13" t="n">
        <x:f>1+COUNTIF($H$17:$H$369,"&gt;"&amp;I88)</x:f>
        <x:v>64</x:v>
      </x:c>
      <x:c r="N88" s="13" t="n">
        <x:f>COUNTIF($I$17:$I$369,"&gt;="&amp;H88)</x:f>
        <x:v>73</x:v>
      </x:c>
      <x:c r="O88" s="13" t="str">
        <x:v>I04 Table_1!D769/P769/U769</x:v>
      </x:c>
    </x:row>
    <x:row r="89" ht="24" customHeight="1">
      <x:c r="A89" s="13" t="str">
        <x:v>M85124</x:v>
      </x:c>
      <x:c r="B89" s="13" t="str">
        <x:v>QHL</x:v>
      </x:c>
      <x:c r="C89" s="13" t="n">
        <x:v>105</x:v>
      </x:c>
      <x:c r="D89" s="30" t="n">
        <x:v>62.9</x:v>
      </x:c>
      <x:c r="E89" s="14" t="n">
        <x:f>C89*(1000-ROUND(D89*10,0))/1000</x:f>
        <x:v>38.955</x:v>
      </x:c>
      <x:c r="F89" s="14" t="n">
        <x:f>MAX(0,(ROUND(D89*100,0)-ROUND($B$3*100,0))/100)</x:f>
        <x:v>62.85</x:v>
      </x:c>
      <x:c r="G89" s="14" t="n">
        <x:f>MIN(100,(ROUND(D89*100,0)+ROUND($B$3*100,0))/100)</x:f>
        <x:v>62.95</x:v>
      </x:c>
      <x:c r="H89" s="40" t="n">
        <x:f>C89*(10000-ROUND(G89*100,0))/10000</x:f>
        <x:v>38.9025</x:v>
      </x:c>
      <x:c r="I89" s="40" t="n">
        <x:f>C89*(10000-ROUND(F89*100,0))/10000</x:f>
        <x:v>39.0075</x:v>
      </x:c>
      <x:c r="J89" s="13" t="str">
        <x:f>IF(COUNTIFS($D$17:$D$369,"&lt;"&amp;D89,$E$17:$E$369,"&gt;="&amp;E89)+COUNTIFS($D$17:$D$369,"="&amp;D89,$E$17:$E$369,"&gt;"&amp;E89)=0,"是","否")</x:f>
        <x:v>否</x:v>
      </x:c>
      <x:c r="K89" s="13" t="str">
        <x:f>IF(COUNTIFS($G$17:$G$369,"&lt;"&amp;F89,$H$17:$H$369,"&gt;="&amp;I89)+COUNTIFS($G$17:$G$369,"="&amp;F89,$H$17:$H$369,"&gt;"&amp;I89)=0,"是","否")</x:f>
        <x:v>否</x:v>
      </x:c>
      <x:c r="L89" s="13" t="str">
        <x:f>IF(COUNTIFS($F$17:$F$369,"&lt;"&amp;G89,$I$17:$I$369,"&gt;="&amp;H89)+COUNTIFS($F$17:$F$369,"="&amp;G89,$I$17:$I$369,"&gt;"&amp;H89)-IF(OR(G89&gt;F89,I89&gt;H89),1,0)=0,"是","否")</x:f>
        <x:v>否</x:v>
      </x:c>
      <x:c r="M89" s="13" t="n">
        <x:f>1+COUNTIF($H$17:$H$369,"&gt;"&amp;I89)</x:f>
        <x:v>39</x:v>
      </x:c>
      <x:c r="N89" s="13" t="n">
        <x:f>COUNTIF($I$17:$I$369,"&gt;="&amp;H89)</x:f>
        <x:v>41</x:v>
      </x:c>
      <x:c r="O89" s="13" t="str">
        <x:v>I04 Table_1!D770/P770/U770</x:v>
      </x:c>
    </x:row>
    <x:row r="90" ht="24" customHeight="1">
      <x:c r="A90" s="13" t="str">
        <x:v>M85128</x:v>
      </x:c>
      <x:c r="B90" s="13" t="str">
        <x:v>QHL</x:v>
      </x:c>
      <x:c r="C90" s="13" t="n">
        <x:v>53</x:v>
      </x:c>
      <x:c r="D90" s="30" t="n">
        <x:v>88.7</x:v>
      </x:c>
      <x:c r="E90" s="14" t="n">
        <x:f>C90*(1000-ROUND(D90*10,0))/1000</x:f>
        <x:v>5.989</x:v>
      </x:c>
      <x:c r="F90" s="14" t="n">
        <x:f>MAX(0,(ROUND(D90*100,0)-ROUND($B$3*100,0))/100)</x:f>
        <x:v>88.65</x:v>
      </x:c>
      <x:c r="G90" s="14" t="n">
        <x:f>MIN(100,(ROUND(D90*100,0)+ROUND($B$3*100,0))/100)</x:f>
        <x:v>88.75</x:v>
      </x:c>
      <x:c r="H90" s="40" t="n">
        <x:f>C90*(10000-ROUND(G90*100,0))/10000</x:f>
        <x:v>5.9625</x:v>
      </x:c>
      <x:c r="I90" s="40" t="n">
        <x:f>C90*(10000-ROUND(F90*100,0))/10000</x:f>
        <x:v>6.0155</x:v>
      </x:c>
      <x:c r="J90" s="13" t="str">
        <x:f>IF(COUNTIFS($D$17:$D$369,"&lt;"&amp;D90,$E$17:$E$369,"&gt;="&amp;E90)+COUNTIFS($D$17:$D$369,"="&amp;D90,$E$17:$E$369,"&gt;"&amp;E90)=0,"是","否")</x:f>
        <x:v>否</x:v>
      </x:c>
      <x:c r="K90" s="13" t="str">
        <x:f>IF(COUNTIFS($G$17:$G$369,"&lt;"&amp;F90,$H$17:$H$369,"&gt;="&amp;I90)+COUNTIFS($G$17:$G$369,"="&amp;F90,$H$17:$H$369,"&gt;"&amp;I90)=0,"是","否")</x:f>
        <x:v>否</x:v>
      </x:c>
      <x:c r="L90" s="13" t="str">
        <x:f>IF(COUNTIFS($F$17:$F$369,"&lt;"&amp;G90,$I$17:$I$369,"&gt;="&amp;H90)+COUNTIFS($F$17:$F$369,"="&amp;G90,$I$17:$I$369,"&gt;"&amp;H90)-IF(OR(G90&gt;F90,I90&gt;H90),1,0)=0,"是","否")</x:f>
        <x:v>否</x:v>
      </x:c>
      <x:c r="M90" s="13" t="n">
        <x:f>1+COUNTIF($H$17:$H$369,"&gt;"&amp;I90)</x:f>
        <x:v>286</x:v>
      </x:c>
      <x:c r="N90" s="13" t="n">
        <x:f>COUNTIF($I$17:$I$369,"&gt;="&amp;H90)</x:f>
        <x:v>301</x:v>
      </x:c>
      <x:c r="O90" s="13" t="str">
        <x:v>I04 Table_1!D771/P771/U771</x:v>
      </x:c>
    </x:row>
    <x:row r="91" ht="24" customHeight="1">
      <x:c r="A91" s="13" t="str">
        <x:v>M85134</x:v>
      </x:c>
      <x:c r="B91" s="13" t="str">
        <x:v>QHL</x:v>
      </x:c>
      <x:c r="C91" s="13" t="n">
        <x:v>43</x:v>
      </x:c>
      <x:c r="D91" s="30" t="n">
        <x:v>88.4</x:v>
      </x:c>
      <x:c r="E91" s="14" t="n">
        <x:f>C91*(1000-ROUND(D91*10,0))/1000</x:f>
        <x:v>4.988</x:v>
      </x:c>
      <x:c r="F91" s="14" t="n">
        <x:f>MAX(0,(ROUND(D91*100,0)-ROUND($B$3*100,0))/100)</x:f>
        <x:v>88.35</x:v>
      </x:c>
      <x:c r="G91" s="14" t="n">
        <x:f>MIN(100,(ROUND(D91*100,0)+ROUND($B$3*100,0))/100)</x:f>
        <x:v>88.45</x:v>
      </x:c>
      <x:c r="H91" s="40" t="n">
        <x:f>C91*(10000-ROUND(G91*100,0))/10000</x:f>
        <x:v>4.9665</x:v>
      </x:c>
      <x:c r="I91" s="40" t="n">
        <x:f>C91*(10000-ROUND(F91*100,0))/10000</x:f>
        <x:v>5.0095</x:v>
      </x:c>
      <x:c r="J91" s="13" t="str">
        <x:f>IF(COUNTIFS($D$17:$D$369,"&lt;"&amp;D91,$E$17:$E$369,"&gt;="&amp;E91)+COUNTIFS($D$17:$D$369,"="&amp;D91,$E$17:$E$369,"&gt;"&amp;E91)=0,"是","否")</x:f>
        <x:v>否</x:v>
      </x:c>
      <x:c r="K91" s="13" t="str">
        <x:f>IF(COUNTIFS($G$17:$G$369,"&lt;"&amp;F91,$H$17:$H$369,"&gt;="&amp;I91)+COUNTIFS($G$17:$G$369,"="&amp;F91,$H$17:$H$369,"&gt;"&amp;I91)=0,"是","否")</x:f>
        <x:v>否</x:v>
      </x:c>
      <x:c r="L91" s="13" t="str">
        <x:f>IF(COUNTIFS($F$17:$F$369,"&lt;"&amp;G91,$I$17:$I$369,"&gt;="&amp;H91)+COUNTIFS($F$17:$F$369,"="&amp;G91,$I$17:$I$369,"&gt;"&amp;H91)-IF(OR(G91&gt;F91,I91&gt;H91),1,0)=0,"是","否")</x:f>
        <x:v>否</x:v>
      </x:c>
      <x:c r="M91" s="13" t="n">
        <x:f>1+COUNTIF($H$17:$H$369,"&gt;"&amp;I91)</x:f>
        <x:v>302</x:v>
      </x:c>
      <x:c r="N91" s="13" t="n">
        <x:f>COUNTIF($I$17:$I$369,"&gt;="&amp;H91)</x:f>
        <x:v>319</x:v>
      </x:c>
      <x:c r="O91" s="13" t="str">
        <x:v>I04 Table_1!D772/P772/U772</x:v>
      </x:c>
    </x:row>
    <x:row r="92" ht="24" customHeight="1">
      <x:c r="A92" s="13" t="str">
        <x:v>M85136</x:v>
      </x:c>
      <x:c r="B92" s="13" t="str">
        <x:v>QHL</x:v>
      </x:c>
      <x:c r="C92" s="13" t="n">
        <x:v>189</x:v>
      </x:c>
      <x:c r="D92" s="30" t="n">
        <x:v>74.1</x:v>
      </x:c>
      <x:c r="E92" s="14" t="n">
        <x:f>C92*(1000-ROUND(D92*10,0))/1000</x:f>
        <x:v>48.951</x:v>
      </x:c>
      <x:c r="F92" s="14" t="n">
        <x:f>MAX(0,(ROUND(D92*100,0)-ROUND($B$3*100,0))/100)</x:f>
        <x:v>74.05</x:v>
      </x:c>
      <x:c r="G92" s="14" t="n">
        <x:f>MIN(100,(ROUND(D92*100,0)+ROUND($B$3*100,0))/100)</x:f>
        <x:v>74.15</x:v>
      </x:c>
      <x:c r="H92" s="40" t="n">
        <x:f>C92*(10000-ROUND(G92*100,0))/10000</x:f>
        <x:v>48.8565</x:v>
      </x:c>
      <x:c r="I92" s="40" t="n">
        <x:f>C92*(10000-ROUND(F92*100,0))/10000</x:f>
        <x:v>49.0455</x:v>
      </x:c>
      <x:c r="J92" s="13" t="str">
        <x:f>IF(COUNTIFS($D$17:$D$369,"&lt;"&amp;D92,$E$17:$E$369,"&gt;="&amp;E92)+COUNTIFS($D$17:$D$369,"="&amp;D92,$E$17:$E$369,"&gt;"&amp;E92)=0,"是","否")</x:f>
        <x:v>否</x:v>
      </x:c>
      <x:c r="K92" s="13" t="str">
        <x:f>IF(COUNTIFS($G$17:$G$369,"&lt;"&amp;F92,$H$17:$H$369,"&gt;="&amp;I92)+COUNTIFS($G$17:$G$369,"="&amp;F92,$H$17:$H$369,"&gt;"&amp;I92)=0,"是","否")</x:f>
        <x:v>否</x:v>
      </x:c>
      <x:c r="L92" s="13" t="str">
        <x:f>IF(COUNTIFS($F$17:$F$369,"&lt;"&amp;G92,$I$17:$I$369,"&gt;="&amp;H92)+COUNTIFS($F$17:$F$369,"="&amp;G92,$I$17:$I$369,"&gt;"&amp;H92)-IF(OR(G92&gt;F92,I92&gt;H92),1,0)=0,"是","否")</x:f>
        <x:v>否</x:v>
      </x:c>
      <x:c r="M92" s="13" t="n">
        <x:f>1+COUNTIF($H$17:$H$369,"&gt;"&amp;I92)</x:f>
        <x:v>25</x:v>
      </x:c>
      <x:c r="N92" s="13" t="n">
        <x:f>COUNTIF($I$17:$I$369,"&gt;="&amp;H92)</x:f>
        <x:v>26</x:v>
      </x:c>
      <x:c r="O92" s="13" t="str">
        <x:v>I04 Table_1!D773/P773/U773</x:v>
      </x:c>
    </x:row>
    <x:row r="93" ht="24" customHeight="1">
      <x:c r="A93" s="13" t="str">
        <x:v>M85139</x:v>
      </x:c>
      <x:c r="B93" s="13" t="str">
        <x:v>QHL</x:v>
      </x:c>
      <x:c r="C93" s="13" t="n">
        <x:v>88</x:v>
      </x:c>
      <x:c r="D93" s="30" t="n">
        <x:v>84.1</x:v>
      </x:c>
      <x:c r="E93" s="14" t="n">
        <x:f>C93*(1000-ROUND(D93*10,0))/1000</x:f>
        <x:v>13.992</x:v>
      </x:c>
      <x:c r="F93" s="14" t="n">
        <x:f>MAX(0,(ROUND(D93*100,0)-ROUND($B$3*100,0))/100)</x:f>
        <x:v>84.05</x:v>
      </x:c>
      <x:c r="G93" s="14" t="n">
        <x:f>MIN(100,(ROUND(D93*100,0)+ROUND($B$3*100,0))/100)</x:f>
        <x:v>84.15</x:v>
      </x:c>
      <x:c r="H93" s="40" t="n">
        <x:f>C93*(10000-ROUND(G93*100,0))/10000</x:f>
        <x:v>13.948</x:v>
      </x:c>
      <x:c r="I93" s="40" t="n">
        <x:f>C93*(10000-ROUND(F93*100,0))/10000</x:f>
        <x:v>14.036</x:v>
      </x:c>
      <x:c r="J93" s="13" t="str">
        <x:f>IF(COUNTIFS($D$17:$D$369,"&lt;"&amp;D93,$E$17:$E$369,"&gt;="&amp;E93)+COUNTIFS($D$17:$D$369,"="&amp;D93,$E$17:$E$369,"&gt;"&amp;E93)=0,"是","否")</x:f>
        <x:v>否</x:v>
      </x:c>
      <x:c r="K93" s="13" t="str">
        <x:f>IF(COUNTIFS($G$17:$G$369,"&lt;"&amp;F93,$H$17:$H$369,"&gt;="&amp;I93)+COUNTIFS($G$17:$G$369,"="&amp;F93,$H$17:$H$369,"&gt;"&amp;I93)=0,"是","否")</x:f>
        <x:v>否</x:v>
      </x:c>
      <x:c r="L93" s="13" t="str">
        <x:f>IF(COUNTIFS($F$17:$F$369,"&lt;"&amp;G93,$I$17:$I$369,"&gt;="&amp;H93)+COUNTIFS($F$17:$F$369,"="&amp;G93,$I$17:$I$369,"&gt;"&amp;H93)-IF(OR(G93&gt;F93,I93&gt;H93),1,0)=0,"是","否")</x:f>
        <x:v>否</x:v>
      </x:c>
      <x:c r="M93" s="13" t="n">
        <x:f>1+COUNTIF($H$17:$H$369,"&gt;"&amp;I93)</x:f>
        <x:v>190</x:v>
      </x:c>
      <x:c r="N93" s="13" t="n">
        <x:f>COUNTIF($I$17:$I$369,"&gt;="&amp;H93)</x:f>
        <x:v>199</x:v>
      </x:c>
      <x:c r="O93" s="13" t="str">
        <x:v>I04 Table_1!D774/P774/U774</x:v>
      </x:c>
    </x:row>
    <x:row r="94" ht="24" customHeight="1">
      <x:c r="A94" s="13" t="str">
        <x:v>M85141</x:v>
      </x:c>
      <x:c r="B94" s="13" t="str">
        <x:v>QHL</x:v>
      </x:c>
      <x:c r="C94" s="13" t="n">
        <x:v>35</x:v>
      </x:c>
      <x:c r="D94" s="30" t="n">
        <x:v>74.3</x:v>
      </x:c>
      <x:c r="E94" s="14" t="n">
        <x:f>C94*(1000-ROUND(D94*10,0))/1000</x:f>
        <x:v>8.995</x:v>
      </x:c>
      <x:c r="F94" s="14" t="n">
        <x:f>MAX(0,(ROUND(D94*100,0)-ROUND($B$3*100,0))/100)</x:f>
        <x:v>74.25</x:v>
      </x:c>
      <x:c r="G94" s="14" t="n">
        <x:f>MIN(100,(ROUND(D94*100,0)+ROUND($B$3*100,0))/100)</x:f>
        <x:v>74.35</x:v>
      </x:c>
      <x:c r="H94" s="40" t="n">
        <x:f>C94*(10000-ROUND(G94*100,0))/10000</x:f>
        <x:v>8.9775</x:v>
      </x:c>
      <x:c r="I94" s="40" t="n">
        <x:f>C94*(10000-ROUND(F94*100,0))/10000</x:f>
        <x:v>9.0125</x:v>
      </x:c>
      <x:c r="J94" s="13" t="str">
        <x:f>IF(COUNTIFS($D$17:$D$369,"&lt;"&amp;D94,$E$17:$E$369,"&gt;="&amp;E94)+COUNTIFS($D$17:$D$369,"="&amp;D94,$E$17:$E$369,"&gt;"&amp;E94)=0,"是","否")</x:f>
        <x:v>否</x:v>
      </x:c>
      <x:c r="K94" s="13" t="str">
        <x:f>IF(COUNTIFS($G$17:$G$369,"&lt;"&amp;F94,$H$17:$H$369,"&gt;="&amp;I94)+COUNTIFS($G$17:$G$369,"="&amp;F94,$H$17:$H$369,"&gt;"&amp;I94)=0,"是","否")</x:f>
        <x:v>否</x:v>
      </x:c>
      <x:c r="L94" s="13" t="str">
        <x:f>IF(COUNTIFS($F$17:$F$369,"&lt;"&amp;G94,$I$17:$I$369,"&gt;="&amp;H94)+COUNTIFS($F$17:$F$369,"="&amp;G94,$I$17:$I$369,"&gt;"&amp;H94)-IF(OR(G94&gt;F94,I94&gt;H94),1,0)=0,"是","否")</x:f>
        <x:v>否</x:v>
      </x:c>
      <x:c r="M94" s="13" t="n">
        <x:f>1+COUNTIF($H$17:$H$369,"&gt;"&amp;I94)</x:f>
        <x:v>244</x:v>
      </x:c>
      <x:c r="N94" s="13" t="n">
        <x:f>COUNTIF($I$17:$I$369,"&gt;="&amp;H94)</x:f>
        <x:v>256</x:v>
      </x:c>
      <x:c r="O94" s="13" t="str">
        <x:v>I04 Table_1!D775/P775/U775</x:v>
      </x:c>
    </x:row>
    <x:row r="95" ht="24" customHeight="1">
      <x:c r="A95" s="13" t="str">
        <x:v>M85142</x:v>
      </x:c>
      <x:c r="B95" s="13" t="str">
        <x:v>QHL</x:v>
      </x:c>
      <x:c r="C95" s="13" t="n">
        <x:v>15</x:v>
      </x:c>
      <x:c r="D95" s="30" t="n">
        <x:v>86.7</x:v>
      </x:c>
      <x:c r="E95" s="14" t="n">
        <x:f>C95*(1000-ROUND(D95*10,0))/1000</x:f>
        <x:v>1.995</x:v>
      </x:c>
      <x:c r="F95" s="14" t="n">
        <x:f>MAX(0,(ROUND(D95*100,0)-ROUND($B$3*100,0))/100)</x:f>
        <x:v>86.65</x:v>
      </x:c>
      <x:c r="G95" s="14" t="n">
        <x:f>MIN(100,(ROUND(D95*100,0)+ROUND($B$3*100,0))/100)</x:f>
        <x:v>86.75</x:v>
      </x:c>
      <x:c r="H95" s="40" t="n">
        <x:f>C95*(10000-ROUND(G95*100,0))/10000</x:f>
        <x:v>1.9875</x:v>
      </x:c>
      <x:c r="I95" s="40" t="n">
        <x:f>C95*(10000-ROUND(F95*100,0))/10000</x:f>
        <x:v>2.0025</x:v>
      </x:c>
      <x:c r="J95" s="13" t="str">
        <x:f>IF(COUNTIFS($D$17:$D$369,"&lt;"&amp;D95,$E$17:$E$369,"&gt;="&amp;E95)+COUNTIFS($D$17:$D$369,"="&amp;D95,$E$17:$E$369,"&gt;"&amp;E95)=0,"是","否")</x:f>
        <x:v>否</x:v>
      </x:c>
      <x:c r="K95" s="13" t="str">
        <x:f>IF(COUNTIFS($G$17:$G$369,"&lt;"&amp;F95,$H$17:$H$369,"&gt;="&amp;I95)+COUNTIFS($G$17:$G$369,"="&amp;F95,$H$17:$H$369,"&gt;"&amp;I95)=0,"是","否")</x:f>
        <x:v>否</x:v>
      </x:c>
      <x:c r="L95" s="13" t="str">
        <x:f>IF(COUNTIFS($F$17:$F$369,"&lt;"&amp;G95,$I$17:$I$369,"&gt;="&amp;H95)+COUNTIFS($F$17:$F$369,"="&amp;G95,$I$17:$I$369,"&gt;"&amp;H95)-IF(OR(G95&gt;F95,I95&gt;H95),1,0)=0,"是","否")</x:f>
        <x:v>否</x:v>
      </x:c>
      <x:c r="M95" s="13" t="n">
        <x:f>1+COUNTIF($H$17:$H$369,"&gt;"&amp;I95)</x:f>
        <x:v>342</x:v>
      </x:c>
      <x:c r="N95" s="13" t="n">
        <x:f>COUNTIF($I$17:$I$369,"&gt;="&amp;H95)</x:f>
        <x:v>350</x:v>
      </x:c>
      <x:c r="O95" s="13" t="str">
        <x:v>I04 Table_1!D776/P776/U776</x:v>
      </x:c>
    </x:row>
    <x:row r="96" ht="24" customHeight="1">
      <x:c r="A96" s="13" t="str">
        <x:v>M85143</x:v>
      </x:c>
      <x:c r="B96" s="13" t="str">
        <x:v>QHL</x:v>
      </x:c>
      <x:c r="C96" s="13" t="n">
        <x:v>80</x:v>
      </x:c>
      <x:c r="D96" s="30" t="n">
        <x:v>70</x:v>
      </x:c>
      <x:c r="E96" s="14" t="n">
        <x:f>C96*(1000-ROUND(D96*10,0))/1000</x:f>
        <x:v>24</x:v>
      </x:c>
      <x:c r="F96" s="14" t="n">
        <x:f>MAX(0,(ROUND(D96*100,0)-ROUND($B$3*100,0))/100)</x:f>
        <x:v>69.95</x:v>
      </x:c>
      <x:c r="G96" s="14" t="n">
        <x:f>MIN(100,(ROUND(D96*100,0)+ROUND($B$3*100,0))/100)</x:f>
        <x:v>70.05</x:v>
      </x:c>
      <x:c r="H96" s="40" t="n">
        <x:f>C96*(10000-ROUND(G96*100,0))/10000</x:f>
        <x:v>23.96</x:v>
      </x:c>
      <x:c r="I96" s="40" t="n">
        <x:f>C96*(10000-ROUND(F96*100,0))/10000</x:f>
        <x:v>24.04</x:v>
      </x:c>
      <x:c r="J96" s="13" t="str">
        <x:f>IF(COUNTIFS($D$17:$D$369,"&lt;"&amp;D96,$E$17:$E$369,"&gt;="&amp;E96)+COUNTIFS($D$17:$D$369,"="&amp;D96,$E$17:$E$369,"&gt;"&amp;E96)=0,"是","否")</x:f>
        <x:v>否</x:v>
      </x:c>
      <x:c r="K96" s="13" t="str">
        <x:f>IF(COUNTIFS($G$17:$G$369,"&lt;"&amp;F96,$H$17:$H$369,"&gt;="&amp;I96)+COUNTIFS($G$17:$G$369,"="&amp;F96,$H$17:$H$369,"&gt;"&amp;I96)=0,"是","否")</x:f>
        <x:v>否</x:v>
      </x:c>
      <x:c r="L96" s="13" t="str">
        <x:f>IF(COUNTIFS($F$17:$F$369,"&lt;"&amp;G96,$I$17:$I$369,"&gt;="&amp;H96)+COUNTIFS($F$17:$F$369,"="&amp;G96,$I$17:$I$369,"&gt;"&amp;H96)-IF(OR(G96&gt;F96,I96&gt;H96),1,0)=0,"是","否")</x:f>
        <x:v>否</x:v>
      </x:c>
      <x:c r="M96" s="13" t="n">
        <x:f>1+COUNTIF($H$17:$H$369,"&gt;"&amp;I96)</x:f>
        <x:v>101</x:v>
      </x:c>
      <x:c r="N96" s="13" t="n">
        <x:f>COUNTIF($I$17:$I$369,"&gt;="&amp;H96)</x:f>
        <x:v>111</x:v>
      </x:c>
      <x:c r="O96" s="13" t="str">
        <x:v>I04 Table_1!D777/P777/U777</x:v>
      </x:c>
    </x:row>
    <x:row r="97" ht="24" customHeight="1">
      <x:c r="A97" s="13" t="str">
        <x:v>M85145</x:v>
      </x:c>
      <x:c r="B97" s="13" t="str">
        <x:v>QHL</x:v>
      </x:c>
      <x:c r="C97" s="13" t="n">
        <x:v>105</x:v>
      </x:c>
      <x:c r="D97" s="30" t="n">
        <x:v>79</x:v>
      </x:c>
      <x:c r="E97" s="14" t="n">
        <x:f>C97*(1000-ROUND(D97*10,0))/1000</x:f>
        <x:v>22.05</x:v>
      </x:c>
      <x:c r="F97" s="14" t="n">
        <x:f>MAX(0,(ROUND(D97*100,0)-ROUND($B$3*100,0))/100)</x:f>
        <x:v>78.95</x:v>
      </x:c>
      <x:c r="G97" s="14" t="n">
        <x:f>MIN(100,(ROUND(D97*100,0)+ROUND($B$3*100,0))/100)</x:f>
        <x:v>79.05</x:v>
      </x:c>
      <x:c r="H97" s="40" t="n">
        <x:f>C97*(10000-ROUND(G97*100,0))/10000</x:f>
        <x:v>21.9975</x:v>
      </x:c>
      <x:c r="I97" s="40" t="n">
        <x:f>C97*(10000-ROUND(F97*100,0))/10000</x:f>
        <x:v>22.1025</x:v>
      </x:c>
      <x:c r="J97" s="13" t="str">
        <x:f>IF(COUNTIFS($D$17:$D$369,"&lt;"&amp;D97,$E$17:$E$369,"&gt;="&amp;E97)+COUNTIFS($D$17:$D$369,"="&amp;D97,$E$17:$E$369,"&gt;"&amp;E97)=0,"是","否")</x:f>
        <x:v>否</x:v>
      </x:c>
      <x:c r="K97" s="13" t="str">
        <x:f>IF(COUNTIFS($G$17:$G$369,"&lt;"&amp;F97,$H$17:$H$369,"&gt;="&amp;I97)+COUNTIFS($G$17:$G$369,"="&amp;F97,$H$17:$H$369,"&gt;"&amp;I97)=0,"是","否")</x:f>
        <x:v>否</x:v>
      </x:c>
      <x:c r="L97" s="13" t="str">
        <x:f>IF(COUNTIFS($F$17:$F$369,"&lt;"&amp;G97,$I$17:$I$369,"&gt;="&amp;H97)+COUNTIFS($F$17:$F$369,"="&amp;G97,$I$17:$I$369,"&gt;"&amp;H97)-IF(OR(G97&gt;F97,I97&gt;H97),1,0)=0,"是","否")</x:f>
        <x:v>否</x:v>
      </x:c>
      <x:c r="M97" s="13" t="n">
        <x:f>1+COUNTIF($H$17:$H$369,"&gt;"&amp;I97)</x:f>
        <x:v>120</x:v>
      </x:c>
      <x:c r="N97" s="13" t="n">
        <x:f>COUNTIF($I$17:$I$369,"&gt;="&amp;H97)</x:f>
        <x:v>122</x:v>
      </x:c>
      <x:c r="O97" s="13" t="str">
        <x:v>I04 Table_1!D778/P778/U778</x:v>
      </x:c>
    </x:row>
    <x:row r="98" ht="24" customHeight="1">
      <x:c r="A98" s="13" t="str">
        <x:v>M85146</x:v>
      </x:c>
      <x:c r="B98" s="13" t="str">
        <x:v>QHL</x:v>
      </x:c>
      <x:c r="C98" s="13" t="n">
        <x:v>68</x:v>
      </x:c>
      <x:c r="D98" s="30" t="n">
        <x:v>64.7</x:v>
      </x:c>
      <x:c r="E98" s="14" t="n">
        <x:f>C98*(1000-ROUND(D98*10,0))/1000</x:f>
        <x:v>24.004</x:v>
      </x:c>
      <x:c r="F98" s="14" t="n">
        <x:f>MAX(0,(ROUND(D98*100,0)-ROUND($B$3*100,0))/100)</x:f>
        <x:v>64.65</x:v>
      </x:c>
      <x:c r="G98" s="14" t="n">
        <x:f>MIN(100,(ROUND(D98*100,0)+ROUND($B$3*100,0))/100)</x:f>
        <x:v>64.75</x:v>
      </x:c>
      <x:c r="H98" s="40" t="n">
        <x:f>C98*(10000-ROUND(G98*100,0))/10000</x:f>
        <x:v>23.97</x:v>
      </x:c>
      <x:c r="I98" s="40" t="n">
        <x:f>C98*(10000-ROUND(F98*100,0))/10000</x:f>
        <x:v>24.038</x:v>
      </x:c>
      <x:c r="J98" s="13" t="str">
        <x:f>IF(COUNTIFS($D$17:$D$369,"&lt;"&amp;D98,$E$17:$E$369,"&gt;="&amp;E98)+COUNTIFS($D$17:$D$369,"="&amp;D98,$E$17:$E$369,"&gt;"&amp;E98)=0,"是","否")</x:f>
        <x:v>否</x:v>
      </x:c>
      <x:c r="K98" s="13" t="str">
        <x:f>IF(COUNTIFS($G$17:$G$369,"&lt;"&amp;F98,$H$17:$H$369,"&gt;="&amp;I98)+COUNTIFS($G$17:$G$369,"="&amp;F98,$H$17:$H$369,"&gt;"&amp;I98)=0,"是","否")</x:f>
        <x:v>否</x:v>
      </x:c>
      <x:c r="L98" s="13" t="str">
        <x:f>IF(COUNTIFS($F$17:$F$369,"&lt;"&amp;G98,$I$17:$I$369,"&gt;="&amp;H98)+COUNTIFS($F$17:$F$369,"="&amp;G98,$I$17:$I$369,"&gt;"&amp;H98)-IF(OR(G98&gt;F98,I98&gt;H98),1,0)=0,"是","否")</x:f>
        <x:v>否</x:v>
      </x:c>
      <x:c r="M98" s="13" t="n">
        <x:f>1+COUNTIF($H$17:$H$369,"&gt;"&amp;I98)</x:f>
        <x:v>101</x:v>
      </x:c>
      <x:c r="N98" s="13" t="n">
        <x:f>COUNTIF($I$17:$I$369,"&gt;="&amp;H98)</x:f>
        <x:v>111</x:v>
      </x:c>
      <x:c r="O98" s="13" t="str">
        <x:v>I04 Table_1!D779/P779/U779</x:v>
      </x:c>
    </x:row>
    <x:row r="99" ht="24" customHeight="1">
      <x:c r="A99" s="13" t="str">
        <x:v>M85149</x:v>
      </x:c>
      <x:c r="B99" s="13" t="str">
        <x:v>QHL</x:v>
      </x:c>
      <x:c r="C99" s="13" t="n">
        <x:v>66</x:v>
      </x:c>
      <x:c r="D99" s="30" t="n">
        <x:v>78.8</x:v>
      </x:c>
      <x:c r="E99" s="14" t="n">
        <x:f>C99*(1000-ROUND(D99*10,0))/1000</x:f>
        <x:v>13.992</x:v>
      </x:c>
      <x:c r="F99" s="14" t="n">
        <x:f>MAX(0,(ROUND(D99*100,0)-ROUND($B$3*100,0))/100)</x:f>
        <x:v>78.75</x:v>
      </x:c>
      <x:c r="G99" s="14" t="n">
        <x:f>MIN(100,(ROUND(D99*100,0)+ROUND($B$3*100,0))/100)</x:f>
        <x:v>78.85</x:v>
      </x:c>
      <x:c r="H99" s="40" t="n">
        <x:f>C99*(10000-ROUND(G99*100,0))/10000</x:f>
        <x:v>13.959</x:v>
      </x:c>
      <x:c r="I99" s="40" t="n">
        <x:f>C99*(10000-ROUND(F99*100,0))/10000</x:f>
        <x:v>14.025</x:v>
      </x:c>
      <x:c r="J99" s="13" t="str">
        <x:f>IF(COUNTIFS($D$17:$D$369,"&lt;"&amp;D99,$E$17:$E$369,"&gt;="&amp;E99)+COUNTIFS($D$17:$D$369,"="&amp;D99,$E$17:$E$369,"&gt;"&amp;E99)=0,"是","否")</x:f>
        <x:v>否</x:v>
      </x:c>
      <x:c r="K99" s="13" t="str">
        <x:f>IF(COUNTIFS($G$17:$G$369,"&lt;"&amp;F99,$H$17:$H$369,"&gt;="&amp;I99)+COUNTIFS($G$17:$G$369,"="&amp;F99,$H$17:$H$369,"&gt;"&amp;I99)=0,"是","否")</x:f>
        <x:v>否</x:v>
      </x:c>
      <x:c r="L99" s="13" t="str">
        <x:f>IF(COUNTIFS($F$17:$F$369,"&lt;"&amp;G99,$I$17:$I$369,"&gt;="&amp;H99)+COUNTIFS($F$17:$F$369,"="&amp;G99,$I$17:$I$369,"&gt;"&amp;H99)-IF(OR(G99&gt;F99,I99&gt;H99),1,0)=0,"是","否")</x:f>
        <x:v>否</x:v>
      </x:c>
      <x:c r="M99" s="13" t="n">
        <x:f>1+COUNTIF($H$17:$H$369,"&gt;"&amp;I99)</x:f>
        <x:v>190</x:v>
      </x:c>
      <x:c r="N99" s="13" t="n">
        <x:f>COUNTIF($I$17:$I$369,"&gt;="&amp;H99)</x:f>
        <x:v>199</x:v>
      </x:c>
      <x:c r="O99" s="13" t="str">
        <x:v>I04 Table_1!D780/P780/U780</x:v>
      </x:c>
    </x:row>
    <x:row r="100" ht="24" customHeight="1">
      <x:c r="A100" s="13" t="str">
        <x:v>M85153</x:v>
      </x:c>
      <x:c r="B100" s="13" t="str">
        <x:v>QHL</x:v>
      </x:c>
      <x:c r="C100" s="13" t="n">
        <x:v>48</x:v>
      </x:c>
      <x:c r="D100" s="30" t="n">
        <x:v>70.8</x:v>
      </x:c>
      <x:c r="E100" s="14" t="n">
        <x:f>C100*(1000-ROUND(D100*10,0))/1000</x:f>
        <x:v>14.016</x:v>
      </x:c>
      <x:c r="F100" s="14" t="n">
        <x:f>MAX(0,(ROUND(D100*100,0)-ROUND($B$3*100,0))/100)</x:f>
        <x:v>70.75</x:v>
      </x:c>
      <x:c r="G100" s="14" t="n">
        <x:f>MIN(100,(ROUND(D100*100,0)+ROUND($B$3*100,0))/100)</x:f>
        <x:v>70.85</x:v>
      </x:c>
      <x:c r="H100" s="40" t="n">
        <x:f>C100*(10000-ROUND(G100*100,0))/10000</x:f>
        <x:v>13.992</x:v>
      </x:c>
      <x:c r="I100" s="40" t="n">
        <x:f>C100*(10000-ROUND(F100*100,0))/10000</x:f>
        <x:v>14.04</x:v>
      </x:c>
      <x:c r="J100" s="13" t="str">
        <x:f>IF(COUNTIFS($D$17:$D$369,"&lt;"&amp;D100,$E$17:$E$369,"&gt;="&amp;E100)+COUNTIFS($D$17:$D$369,"="&amp;D100,$E$17:$E$369,"&gt;"&amp;E100)=0,"是","否")</x:f>
        <x:v>否</x:v>
      </x:c>
      <x:c r="K100" s="13" t="str">
        <x:f>IF(COUNTIFS($G$17:$G$369,"&lt;"&amp;F100,$H$17:$H$369,"&gt;="&amp;I100)+COUNTIFS($G$17:$G$369,"="&amp;F100,$H$17:$H$369,"&gt;"&amp;I100)=0,"是","否")</x:f>
        <x:v>否</x:v>
      </x:c>
      <x:c r="L100" s="13" t="str">
        <x:f>IF(COUNTIFS($F$17:$F$369,"&lt;"&amp;G100,$I$17:$I$369,"&gt;="&amp;H100)+COUNTIFS($F$17:$F$369,"="&amp;G100,$I$17:$I$369,"&gt;"&amp;H100)-IF(OR(G100&gt;F100,I100&gt;H100),1,0)=0,"是","否")</x:f>
        <x:v>否</x:v>
      </x:c>
      <x:c r="M100" s="13" t="n">
        <x:f>1+COUNTIF($H$17:$H$369,"&gt;"&amp;I100)</x:f>
        <x:v>190</x:v>
      </x:c>
      <x:c r="N100" s="13" t="n">
        <x:f>COUNTIF($I$17:$I$369,"&gt;="&amp;H100)</x:f>
        <x:v>199</x:v>
      </x:c>
      <x:c r="O100" s="13" t="str">
        <x:v>I04 Table_1!D781/P781/U781</x:v>
      </x:c>
    </x:row>
    <x:row r="101" ht="24" customHeight="1">
      <x:c r="A101" s="13" t="str">
        <x:v>M85154</x:v>
      </x:c>
      <x:c r="B101" s="13" t="str">
        <x:v>QHL</x:v>
      </x:c>
      <x:c r="C101" s="13" t="n">
        <x:v>60</x:v>
      </x:c>
      <x:c r="D101" s="30" t="n">
        <x:v>95</x:v>
      </x:c>
      <x:c r="E101" s="14" t="n">
        <x:f>C101*(1000-ROUND(D101*10,0))/1000</x:f>
        <x:v>3</x:v>
      </x:c>
      <x:c r="F101" s="14" t="n">
        <x:f>MAX(0,(ROUND(D101*100,0)-ROUND($B$3*100,0))/100)</x:f>
        <x:v>94.95</x:v>
      </x:c>
      <x:c r="G101" s="14" t="n">
        <x:f>MIN(100,(ROUND(D101*100,0)+ROUND($B$3*100,0))/100)</x:f>
        <x:v>95.05</x:v>
      </x:c>
      <x:c r="H101" s="40" t="n">
        <x:f>C101*(10000-ROUND(G101*100,0))/10000</x:f>
        <x:v>2.97</x:v>
      </x:c>
      <x:c r="I101" s="40" t="n">
        <x:f>C101*(10000-ROUND(F101*100,0))/10000</x:f>
        <x:v>3.03</x:v>
      </x:c>
      <x:c r="J101" s="13" t="str">
        <x:f>IF(COUNTIFS($D$17:$D$369,"&lt;"&amp;D101,$E$17:$E$369,"&gt;="&amp;E101)+COUNTIFS($D$17:$D$369,"="&amp;D101,$E$17:$E$369,"&gt;"&amp;E101)=0,"是","否")</x:f>
        <x:v>否</x:v>
      </x:c>
      <x:c r="K101" s="13" t="str">
        <x:f>IF(COUNTIFS($G$17:$G$369,"&lt;"&amp;F101,$H$17:$H$369,"&gt;="&amp;I101)+COUNTIFS($G$17:$G$369,"="&amp;F101,$H$17:$H$369,"&gt;"&amp;I101)=0,"是","否")</x:f>
        <x:v>否</x:v>
      </x:c>
      <x:c r="L101" s="13" t="str">
        <x:f>IF(COUNTIFS($F$17:$F$369,"&lt;"&amp;G101,$I$17:$I$369,"&gt;="&amp;H101)+COUNTIFS($F$17:$F$369,"="&amp;G101,$I$17:$I$369,"&gt;"&amp;H101)-IF(OR(G101&gt;F101,I101&gt;H101),1,0)=0,"是","否")</x:f>
        <x:v>否</x:v>
      </x:c>
      <x:c r="M101" s="13" t="n">
        <x:f>1+COUNTIF($H$17:$H$369,"&gt;"&amp;I101)</x:f>
        <x:v>331</x:v>
      </x:c>
      <x:c r="N101" s="13" t="n">
        <x:f>COUNTIF($I$17:$I$369,"&gt;="&amp;H101)</x:f>
        <x:v>341</x:v>
      </x:c>
      <x:c r="O101" s="13" t="str">
        <x:v>I04 Table_1!D782/P782/U782</x:v>
      </x:c>
    </x:row>
    <x:row r="102" ht="24" customHeight="1">
      <x:c r="A102" s="13" t="str">
        <x:v>M85155</x:v>
      </x:c>
      <x:c r="B102" s="13" t="str">
        <x:v>QHL</x:v>
      </x:c>
      <x:c r="C102" s="13" t="n">
        <x:v>114</x:v>
      </x:c>
      <x:c r="D102" s="30" t="n">
        <x:v>88.6</x:v>
      </x:c>
      <x:c r="E102" s="14" t="n">
        <x:f>C102*(1000-ROUND(D102*10,0))/1000</x:f>
        <x:v>12.996</x:v>
      </x:c>
      <x:c r="F102" s="14" t="n">
        <x:f>MAX(0,(ROUND(D102*100,0)-ROUND($B$3*100,0))/100)</x:f>
        <x:v>88.55</x:v>
      </x:c>
      <x:c r="G102" s="14" t="n">
        <x:f>MIN(100,(ROUND(D102*100,0)+ROUND($B$3*100,0))/100)</x:f>
        <x:v>88.65</x:v>
      </x:c>
      <x:c r="H102" s="40" t="n">
        <x:f>C102*(10000-ROUND(G102*100,0))/10000</x:f>
        <x:v>12.939</x:v>
      </x:c>
      <x:c r="I102" s="40" t="n">
        <x:f>C102*(10000-ROUND(F102*100,0))/10000</x:f>
        <x:v>13.053</x:v>
      </x:c>
      <x:c r="J102" s="13" t="str">
        <x:f>IF(COUNTIFS($D$17:$D$369,"&lt;"&amp;D102,$E$17:$E$369,"&gt;="&amp;E102)+COUNTIFS($D$17:$D$369,"="&amp;D102,$E$17:$E$369,"&gt;"&amp;E102)=0,"是","否")</x:f>
        <x:v>否</x:v>
      </x:c>
      <x:c r="K102" s="13" t="str">
        <x:f>IF(COUNTIFS($G$17:$G$369,"&lt;"&amp;F102,$H$17:$H$369,"&gt;="&amp;I102)+COUNTIFS($G$17:$G$369,"="&amp;F102,$H$17:$H$369,"&gt;"&amp;I102)=0,"是","否")</x:f>
        <x:v>否</x:v>
      </x:c>
      <x:c r="L102" s="13" t="str">
        <x:f>IF(COUNTIFS($F$17:$F$369,"&lt;"&amp;G102,$I$17:$I$369,"&gt;="&amp;H102)+COUNTIFS($F$17:$F$369,"="&amp;G102,$I$17:$I$369,"&gt;"&amp;H102)-IF(OR(G102&gt;F102,I102&gt;H102),1,0)=0,"是","否")</x:f>
        <x:v>否</x:v>
      </x:c>
      <x:c r="M102" s="13" t="n">
        <x:f>1+COUNTIF($H$17:$H$369,"&gt;"&amp;I102)</x:f>
        <x:v>200</x:v>
      </x:c>
      <x:c r="N102" s="13" t="n">
        <x:f>COUNTIF($I$17:$I$369,"&gt;="&amp;H102)</x:f>
        <x:v>212</x:v>
      </x:c>
      <x:c r="O102" s="13" t="str">
        <x:v>I04 Table_1!D783/P783/U783</x:v>
      </x:c>
    </x:row>
    <x:row r="103" ht="24" customHeight="1">
      <x:c r="A103" s="13" t="str">
        <x:v>M85156</x:v>
      </x:c>
      <x:c r="B103" s="13" t="str">
        <x:v>QHL</x:v>
      </x:c>
      <x:c r="C103" s="13" t="n">
        <x:v>114</x:v>
      </x:c>
      <x:c r="D103" s="30" t="n">
        <x:v>78.1</x:v>
      </x:c>
      <x:c r="E103" s="14" t="n">
        <x:f>C103*(1000-ROUND(D103*10,0))/1000</x:f>
        <x:v>24.966</x:v>
      </x:c>
      <x:c r="F103" s="14" t="n">
        <x:f>MAX(0,(ROUND(D103*100,0)-ROUND($B$3*100,0))/100)</x:f>
        <x:v>78.05</x:v>
      </x:c>
      <x:c r="G103" s="14" t="n">
        <x:f>MIN(100,(ROUND(D103*100,0)+ROUND($B$3*100,0))/100)</x:f>
        <x:v>78.15</x:v>
      </x:c>
      <x:c r="H103" s="40" t="n">
        <x:f>C103*(10000-ROUND(G103*100,0))/10000</x:f>
        <x:v>24.909</x:v>
      </x:c>
      <x:c r="I103" s="40" t="n">
        <x:f>C103*(10000-ROUND(F103*100,0))/10000</x:f>
        <x:v>25.023</x:v>
      </x:c>
      <x:c r="J103" s="13" t="str">
        <x:f>IF(COUNTIFS($D$17:$D$369,"&lt;"&amp;D103,$E$17:$E$369,"&gt;="&amp;E103)+COUNTIFS($D$17:$D$369,"="&amp;D103,$E$17:$E$369,"&gt;"&amp;E103)=0,"是","否")</x:f>
        <x:v>否</x:v>
      </x:c>
      <x:c r="K103" s="13" t="str">
        <x:f>IF(COUNTIFS($G$17:$G$369,"&lt;"&amp;F103,$H$17:$H$369,"&gt;="&amp;I103)+COUNTIFS($G$17:$G$369,"="&amp;F103,$H$17:$H$369,"&gt;"&amp;I103)=0,"是","否")</x:f>
        <x:v>否</x:v>
      </x:c>
      <x:c r="L103" s="13" t="str">
        <x:f>IF(COUNTIFS($F$17:$F$369,"&lt;"&amp;G103,$I$17:$I$369,"&gt;="&amp;H103)+COUNTIFS($F$17:$F$369,"="&amp;G103,$I$17:$I$369,"&gt;"&amp;H103)-IF(OR(G103&gt;F103,I103&gt;H103),1,0)=0,"是","否")</x:f>
        <x:v>否</x:v>
      </x:c>
      <x:c r="M103" s="13" t="n">
        <x:f>1+COUNTIF($H$17:$H$369,"&gt;"&amp;I103)</x:f>
        <x:v>96</x:v>
      </x:c>
      <x:c r="N103" s="13" t="n">
        <x:f>COUNTIF($I$17:$I$369,"&gt;="&amp;H103)</x:f>
        <x:v>100</x:v>
      </x:c>
      <x:c r="O103" s="13" t="str">
        <x:v>I04 Table_1!D784/P784/U784</x:v>
      </x:c>
    </x:row>
    <x:row r="104" ht="24" customHeight="1">
      <x:c r="A104" s="13" t="str">
        <x:v>M85158</x:v>
      </x:c>
      <x:c r="B104" s="13" t="str">
        <x:v>QHL</x:v>
      </x:c>
      <x:c r="C104" s="13" t="n">
        <x:v>26</x:v>
      </x:c>
      <x:c r="D104" s="30" t="n">
        <x:v>88.5</x:v>
      </x:c>
      <x:c r="E104" s="14" t="n">
        <x:f>C104*(1000-ROUND(D104*10,0))/1000</x:f>
        <x:v>2.99</x:v>
      </x:c>
      <x:c r="F104" s="14" t="n">
        <x:f>MAX(0,(ROUND(D104*100,0)-ROUND($B$3*100,0))/100)</x:f>
        <x:v>88.45</x:v>
      </x:c>
      <x:c r="G104" s="14" t="n">
        <x:f>MIN(100,(ROUND(D104*100,0)+ROUND($B$3*100,0))/100)</x:f>
        <x:v>88.55</x:v>
      </x:c>
      <x:c r="H104" s="40" t="n">
        <x:f>C104*(10000-ROUND(G104*100,0))/10000</x:f>
        <x:v>2.977</x:v>
      </x:c>
      <x:c r="I104" s="40" t="n">
        <x:f>C104*(10000-ROUND(F104*100,0))/10000</x:f>
        <x:v>3.003</x:v>
      </x:c>
      <x:c r="J104" s="13" t="str">
        <x:f>IF(COUNTIFS($D$17:$D$369,"&lt;"&amp;D104,$E$17:$E$369,"&gt;="&amp;E104)+COUNTIFS($D$17:$D$369,"="&amp;D104,$E$17:$E$369,"&gt;"&amp;E104)=0,"是","否")</x:f>
        <x:v>否</x:v>
      </x:c>
      <x:c r="K104" s="13" t="str">
        <x:f>IF(COUNTIFS($G$17:$G$369,"&lt;"&amp;F104,$H$17:$H$369,"&gt;="&amp;I104)+COUNTIFS($G$17:$G$369,"="&amp;F104,$H$17:$H$369,"&gt;"&amp;I104)=0,"是","否")</x:f>
        <x:v>否</x:v>
      </x:c>
      <x:c r="L104" s="13" t="str">
        <x:f>IF(COUNTIFS($F$17:$F$369,"&lt;"&amp;G104,$I$17:$I$369,"&gt;="&amp;H104)+COUNTIFS($F$17:$F$369,"="&amp;G104,$I$17:$I$369,"&gt;"&amp;H104)-IF(OR(G104&gt;F104,I104&gt;H104),1,0)=0,"是","否")</x:f>
        <x:v>否</x:v>
      </x:c>
      <x:c r="M104" s="13" t="n">
        <x:f>1+COUNTIF($H$17:$H$369,"&gt;"&amp;I104)</x:f>
        <x:v>331</x:v>
      </x:c>
      <x:c r="N104" s="13" t="n">
        <x:f>COUNTIF($I$17:$I$369,"&gt;="&amp;H104)</x:f>
        <x:v>341</x:v>
      </x:c>
      <x:c r="O104" s="13" t="str">
        <x:v>I04 Table_1!D785/P785/U785</x:v>
      </x:c>
    </x:row>
    <x:row r="105" ht="24" customHeight="1">
      <x:c r="A105" s="13" t="str">
        <x:v>M85164</x:v>
      </x:c>
      <x:c r="B105" s="13" t="str">
        <x:v>QHL</x:v>
      </x:c>
      <x:c r="C105" s="13" t="n">
        <x:v>188</x:v>
      </x:c>
      <x:c r="D105" s="30" t="n">
        <x:v>69.1</x:v>
      </x:c>
      <x:c r="E105" s="14" t="n">
        <x:f>C105*(1000-ROUND(D105*10,0))/1000</x:f>
        <x:v>58.092</x:v>
      </x:c>
      <x:c r="F105" s="14" t="n">
        <x:f>MAX(0,(ROUND(D105*100,0)-ROUND($B$3*100,0))/100)</x:f>
        <x:v>69.05</x:v>
      </x:c>
      <x:c r="G105" s="14" t="n">
        <x:f>MIN(100,(ROUND(D105*100,0)+ROUND($B$3*100,0))/100)</x:f>
        <x:v>69.15</x:v>
      </x:c>
      <x:c r="H105" s="40" t="n">
        <x:f>C105*(10000-ROUND(G105*100,0))/10000</x:f>
        <x:v>57.998</x:v>
      </x:c>
      <x:c r="I105" s="40" t="n">
        <x:f>C105*(10000-ROUND(F105*100,0))/10000</x:f>
        <x:v>58.186</x:v>
      </x:c>
      <x:c r="J105" s="13" t="str">
        <x:f>IF(COUNTIFS($D$17:$D$369,"&lt;"&amp;D105,$E$17:$E$369,"&gt;="&amp;E105)+COUNTIFS($D$17:$D$369,"="&amp;D105,$E$17:$E$369,"&gt;"&amp;E105)=0,"是","否")</x:f>
        <x:v>否</x:v>
      </x:c>
      <x:c r="K105" s="13" t="str">
        <x:f>IF(COUNTIFS($G$17:$G$369,"&lt;"&amp;F105,$H$17:$H$369,"&gt;="&amp;I105)+COUNTIFS($G$17:$G$369,"="&amp;F105,$H$17:$H$369,"&gt;"&amp;I105)=0,"是","否")</x:f>
        <x:v>否</x:v>
      </x:c>
      <x:c r="L105" s="13" t="str">
        <x:f>IF(COUNTIFS($F$17:$F$369,"&lt;"&amp;G105,$I$17:$I$369,"&gt;="&amp;H105)+COUNTIFS($F$17:$F$369,"="&amp;G105,$I$17:$I$369,"&gt;"&amp;H105)-IF(OR(G105&gt;F105,I105&gt;H105),1,0)=0,"是","否")</x:f>
        <x:v>否</x:v>
      </x:c>
      <x:c r="M105" s="13" t="n">
        <x:f>1+COUNTIF($H$17:$H$369,"&gt;"&amp;I105)</x:f>
        <x:v>15</x:v>
      </x:c>
      <x:c r="N105" s="13" t="n">
        <x:f>COUNTIF($I$17:$I$369,"&gt;="&amp;H105)</x:f>
        <x:v>16</x:v>
      </x:c>
      <x:c r="O105" s="13" t="str">
        <x:v>I04 Table_1!D786/P786/U786</x:v>
      </x:c>
    </x:row>
    <x:row r="106" ht="24" customHeight="1">
      <x:c r="A106" s="13" t="str">
        <x:v>M85167</x:v>
      </x:c>
      <x:c r="B106" s="13" t="str">
        <x:v>QHL</x:v>
      </x:c>
      <x:c r="C106" s="13" t="n">
        <x:v>44</x:v>
      </x:c>
      <x:c r="D106" s="30" t="n">
        <x:v>61.4</x:v>
      </x:c>
      <x:c r="E106" s="14" t="n">
        <x:f>C106*(1000-ROUND(D106*10,0))/1000</x:f>
        <x:v>16.984</x:v>
      </x:c>
      <x:c r="F106" s="14" t="n">
        <x:f>MAX(0,(ROUND(D106*100,0)-ROUND($B$3*100,0))/100)</x:f>
        <x:v>61.35</x:v>
      </x:c>
      <x:c r="G106" s="14" t="n">
        <x:f>MIN(100,(ROUND(D106*100,0)+ROUND($B$3*100,0))/100)</x:f>
        <x:v>61.45</x:v>
      </x:c>
      <x:c r="H106" s="40" t="n">
        <x:f>C106*(10000-ROUND(G106*100,0))/10000</x:f>
        <x:v>16.962</x:v>
      </x:c>
      <x:c r="I106" s="40" t="n">
        <x:f>C106*(10000-ROUND(F106*100,0))/10000</x:f>
        <x:v>17.006</x:v>
      </x:c>
      <x:c r="J106" s="13" t="str">
        <x:f>IF(COUNTIFS($D$17:$D$369,"&lt;"&amp;D106,$E$17:$E$369,"&gt;="&amp;E106)+COUNTIFS($D$17:$D$369,"="&amp;D106,$E$17:$E$369,"&gt;"&amp;E106)=0,"是","否")</x:f>
        <x:v>否</x:v>
      </x:c>
      <x:c r="K106" s="13" t="str">
        <x:f>IF(COUNTIFS($G$17:$G$369,"&lt;"&amp;F106,$H$17:$H$369,"&gt;="&amp;I106)+COUNTIFS($G$17:$G$369,"="&amp;F106,$H$17:$H$369,"&gt;"&amp;I106)=0,"是","否")</x:f>
        <x:v>否</x:v>
      </x:c>
      <x:c r="L106" s="13" t="str">
        <x:f>IF(COUNTIFS($F$17:$F$369,"&lt;"&amp;G106,$I$17:$I$369,"&gt;="&amp;H106)+COUNTIFS($F$17:$F$369,"="&amp;G106,$I$17:$I$369,"&gt;"&amp;H106)-IF(OR(G106&gt;F106,I106&gt;H106),1,0)=0,"是","否")</x:f>
        <x:v>否</x:v>
      </x:c>
      <x:c r="M106" s="13" t="n">
        <x:f>1+COUNTIF($H$17:$H$369,"&gt;"&amp;I106)</x:f>
        <x:v>158</x:v>
      </x:c>
      <x:c r="N106" s="13" t="n">
        <x:f>COUNTIF($I$17:$I$369,"&gt;="&amp;H106)</x:f>
        <x:v>166</x:v>
      </x:c>
      <x:c r="O106" s="13" t="str">
        <x:v>I04 Table_1!D787/P787/U787</x:v>
      </x:c>
    </x:row>
    <x:row r="107" ht="24" customHeight="1">
      <x:c r="A107" s="13" t="str">
        <x:v>M85170</x:v>
      </x:c>
      <x:c r="B107" s="13" t="str">
        <x:v>QHL</x:v>
      </x:c>
      <x:c r="C107" s="13" t="n">
        <x:v>89</x:v>
      </x:c>
      <x:c r="D107" s="30" t="n">
        <x:v>77.5</x:v>
      </x:c>
      <x:c r="E107" s="14" t="n">
        <x:f>C107*(1000-ROUND(D107*10,0))/1000</x:f>
        <x:v>20.025</x:v>
      </x:c>
      <x:c r="F107" s="14" t="n">
        <x:f>MAX(0,(ROUND(D107*100,0)-ROUND($B$3*100,0))/100)</x:f>
        <x:v>77.45</x:v>
      </x:c>
      <x:c r="G107" s="14" t="n">
        <x:f>MIN(100,(ROUND(D107*100,0)+ROUND($B$3*100,0))/100)</x:f>
        <x:v>77.55</x:v>
      </x:c>
      <x:c r="H107" s="40" t="n">
        <x:f>C107*(10000-ROUND(G107*100,0))/10000</x:f>
        <x:v>19.9805</x:v>
      </x:c>
      <x:c r="I107" s="40" t="n">
        <x:f>C107*(10000-ROUND(F107*100,0))/10000</x:f>
        <x:v>20.0695</x:v>
      </x:c>
      <x:c r="J107" s="13" t="str">
        <x:f>IF(COUNTIFS($D$17:$D$369,"&lt;"&amp;D107,$E$17:$E$369,"&gt;="&amp;E107)+COUNTIFS($D$17:$D$369,"="&amp;D107,$E$17:$E$369,"&gt;"&amp;E107)=0,"是","否")</x:f>
        <x:v>否</x:v>
      </x:c>
      <x:c r="K107" s="13" t="str">
        <x:f>IF(COUNTIFS($G$17:$G$369,"&lt;"&amp;F107,$H$17:$H$369,"&gt;="&amp;I107)+COUNTIFS($G$17:$G$369,"="&amp;F107,$H$17:$H$369,"&gt;"&amp;I107)=0,"是","否")</x:f>
        <x:v>否</x:v>
      </x:c>
      <x:c r="L107" s="13" t="str">
        <x:f>IF(COUNTIFS($F$17:$F$369,"&lt;"&amp;G107,$I$17:$I$369,"&gt;="&amp;H107)+COUNTIFS($F$17:$F$369,"="&amp;G107,$I$17:$I$369,"&gt;"&amp;H107)-IF(OR(G107&gt;F107,I107&gt;H107),1,0)=0,"是","否")</x:f>
        <x:v>否</x:v>
      </x:c>
      <x:c r="M107" s="13" t="n">
        <x:f>1+COUNTIF($H$17:$H$369,"&gt;"&amp;I107)</x:f>
        <x:v>130</x:v>
      </x:c>
      <x:c r="N107" s="13" t="n">
        <x:f>COUNTIF($I$17:$I$369,"&gt;="&amp;H107)</x:f>
        <x:v>141</x:v>
      </x:c>
      <x:c r="O107" s="13" t="str">
        <x:v>I04 Table_1!D788/P788/U788</x:v>
      </x:c>
    </x:row>
    <x:row r="108" ht="24" customHeight="1">
      <x:c r="A108" s="13" t="str">
        <x:v>M85171</x:v>
      </x:c>
      <x:c r="B108" s="13" t="str">
        <x:v>QHL</x:v>
      </x:c>
      <x:c r="C108" s="13" t="n">
        <x:v>36</x:v>
      </x:c>
      <x:c r="D108" s="30" t="n">
        <x:v>86.1</x:v>
      </x:c>
      <x:c r="E108" s="14" t="n">
        <x:f>C108*(1000-ROUND(D108*10,0))/1000</x:f>
        <x:v>5.004</x:v>
      </x:c>
      <x:c r="F108" s="14" t="n">
        <x:f>MAX(0,(ROUND(D108*100,0)-ROUND($B$3*100,0))/100)</x:f>
        <x:v>86.05</x:v>
      </x:c>
      <x:c r="G108" s="14" t="n">
        <x:f>MIN(100,(ROUND(D108*100,0)+ROUND($B$3*100,0))/100)</x:f>
        <x:v>86.15</x:v>
      </x:c>
      <x:c r="H108" s="40" t="n">
        <x:f>C108*(10000-ROUND(G108*100,0))/10000</x:f>
        <x:v>4.986</x:v>
      </x:c>
      <x:c r="I108" s="40" t="n">
        <x:f>C108*(10000-ROUND(F108*100,0))/10000</x:f>
        <x:v>5.022</x:v>
      </x:c>
      <x:c r="J108" s="13" t="str">
        <x:f>IF(COUNTIFS($D$17:$D$369,"&lt;"&amp;D108,$E$17:$E$369,"&gt;="&amp;E108)+COUNTIFS($D$17:$D$369,"="&amp;D108,$E$17:$E$369,"&gt;"&amp;E108)=0,"是","否")</x:f>
        <x:v>否</x:v>
      </x:c>
      <x:c r="K108" s="13" t="str">
        <x:f>IF(COUNTIFS($G$17:$G$369,"&lt;"&amp;F108,$H$17:$H$369,"&gt;="&amp;I108)+COUNTIFS($G$17:$G$369,"="&amp;F108,$H$17:$H$369,"&gt;"&amp;I108)=0,"是","否")</x:f>
        <x:v>否</x:v>
      </x:c>
      <x:c r="L108" s="13" t="str">
        <x:f>IF(COUNTIFS($F$17:$F$369,"&lt;"&amp;G108,$I$17:$I$369,"&gt;="&amp;H108)+COUNTIFS($F$17:$F$369,"="&amp;G108,$I$17:$I$369,"&gt;"&amp;H108)-IF(OR(G108&gt;F108,I108&gt;H108),1,0)=0,"是","否")</x:f>
        <x:v>否</x:v>
      </x:c>
      <x:c r="M108" s="13" t="n">
        <x:f>1+COUNTIF($H$17:$H$369,"&gt;"&amp;I108)</x:f>
        <x:v>302</x:v>
      </x:c>
      <x:c r="N108" s="13" t="n">
        <x:f>COUNTIF($I$17:$I$369,"&gt;="&amp;H108)</x:f>
        <x:v>319</x:v>
      </x:c>
      <x:c r="O108" s="13" t="str">
        <x:v>I04 Table_1!D789/P789/U789</x:v>
      </x:c>
    </x:row>
    <x:row r="109" ht="24" customHeight="1">
      <x:c r="A109" s="13" t="str">
        <x:v>M85172</x:v>
      </x:c>
      <x:c r="B109" s="13" t="str">
        <x:v>QHL</x:v>
      </x:c>
      <x:c r="C109" s="13" t="n">
        <x:v>161</x:v>
      </x:c>
      <x:c r="D109" s="30" t="n">
        <x:v>82</x:v>
      </x:c>
      <x:c r="E109" s="14" t="n">
        <x:f>C109*(1000-ROUND(D109*10,0))/1000</x:f>
        <x:v>28.98</x:v>
      </x:c>
      <x:c r="F109" s="14" t="n">
        <x:f>MAX(0,(ROUND(D109*100,0)-ROUND($B$3*100,0))/100)</x:f>
        <x:v>81.95</x:v>
      </x:c>
      <x:c r="G109" s="14" t="n">
        <x:f>MIN(100,(ROUND(D109*100,0)+ROUND($B$3*100,0))/100)</x:f>
        <x:v>82.05</x:v>
      </x:c>
      <x:c r="H109" s="40" t="n">
        <x:f>C109*(10000-ROUND(G109*100,0))/10000</x:f>
        <x:v>28.8995</x:v>
      </x:c>
      <x:c r="I109" s="40" t="n">
        <x:f>C109*(10000-ROUND(F109*100,0))/10000</x:f>
        <x:v>29.0605</x:v>
      </x:c>
      <x:c r="J109" s="13" t="str">
        <x:f>IF(COUNTIFS($D$17:$D$369,"&lt;"&amp;D109,$E$17:$E$369,"&gt;="&amp;E109)+COUNTIFS($D$17:$D$369,"="&amp;D109,$E$17:$E$369,"&gt;"&amp;E109)=0,"是","否")</x:f>
        <x:v>否</x:v>
      </x:c>
      <x:c r="K109" s="13" t="str">
        <x:f>IF(COUNTIFS($G$17:$G$369,"&lt;"&amp;F109,$H$17:$H$369,"&gt;="&amp;I109)+COUNTIFS($G$17:$G$369,"="&amp;F109,$H$17:$H$369,"&gt;"&amp;I109)=0,"是","否")</x:f>
        <x:v>否</x:v>
      </x:c>
      <x:c r="L109" s="13" t="str">
        <x:f>IF(COUNTIFS($F$17:$F$369,"&lt;"&amp;G109,$I$17:$I$369,"&gt;="&amp;H109)+COUNTIFS($F$17:$F$369,"="&amp;G109,$I$17:$I$369,"&gt;"&amp;H109)-IF(OR(G109&gt;F109,I109&gt;H109),1,0)=0,"是","否")</x:f>
        <x:v>否</x:v>
      </x:c>
      <x:c r="M109" s="13" t="n">
        <x:f>1+COUNTIF($H$17:$H$369,"&gt;"&amp;I109)</x:f>
        <x:v>83</x:v>
      </x:c>
      <x:c r="N109" s="13" t="n">
        <x:f>COUNTIF($I$17:$I$369,"&gt;="&amp;H109)</x:f>
        <x:v>85</x:v>
      </x:c>
      <x:c r="O109" s="13" t="str">
        <x:v>I04 Table_1!D790/P790/U790</x:v>
      </x:c>
    </x:row>
    <x:row r="110" ht="24" customHeight="1">
      <x:c r="A110" s="13" t="str">
        <x:v>M85174</x:v>
      </x:c>
      <x:c r="B110" s="13" t="str">
        <x:v>QHL</x:v>
      </x:c>
      <x:c r="C110" s="13" t="n">
        <x:v>58</x:v>
      </x:c>
      <x:c r="D110" s="30" t="n">
        <x:v>63.8</x:v>
      </x:c>
      <x:c r="E110" s="14" t="n">
        <x:f>C110*(1000-ROUND(D110*10,0))/1000</x:f>
        <x:v>20.996</x:v>
      </x:c>
      <x:c r="F110" s="14" t="n">
        <x:f>MAX(0,(ROUND(D110*100,0)-ROUND($B$3*100,0))/100)</x:f>
        <x:v>63.75</x:v>
      </x:c>
      <x:c r="G110" s="14" t="n">
        <x:f>MIN(100,(ROUND(D110*100,0)+ROUND($B$3*100,0))/100)</x:f>
        <x:v>63.85</x:v>
      </x:c>
      <x:c r="H110" s="40" t="n">
        <x:f>C110*(10000-ROUND(G110*100,0))/10000</x:f>
        <x:v>20.967</x:v>
      </x:c>
      <x:c r="I110" s="40" t="n">
        <x:f>C110*(10000-ROUND(F110*100,0))/10000</x:f>
        <x:v>21.025</x:v>
      </x:c>
      <x:c r="J110" s="13" t="str">
        <x:f>IF(COUNTIFS($D$17:$D$369,"&lt;"&amp;D110,$E$17:$E$369,"&gt;="&amp;E110)+COUNTIFS($D$17:$D$369,"="&amp;D110,$E$17:$E$369,"&gt;"&amp;E110)=0,"是","否")</x:f>
        <x:v>否</x:v>
      </x:c>
      <x:c r="K110" s="13" t="str">
        <x:f>IF(COUNTIFS($G$17:$G$369,"&lt;"&amp;F110,$H$17:$H$369,"&gt;="&amp;I110)+COUNTIFS($G$17:$G$369,"="&amp;F110,$H$17:$H$369,"&gt;"&amp;I110)=0,"是","否")</x:f>
        <x:v>否</x:v>
      </x:c>
      <x:c r="L110" s="13" t="str">
        <x:f>IF(COUNTIFS($F$17:$F$369,"&lt;"&amp;G110,$I$17:$I$369,"&gt;="&amp;H110)+COUNTIFS($F$17:$F$369,"="&amp;G110,$I$17:$I$369,"&gt;"&amp;H110)-IF(OR(G110&gt;F110,I110&gt;H110),1,0)=0,"是","否")</x:f>
        <x:v>否</x:v>
      </x:c>
      <x:c r="M110" s="13" t="n">
        <x:f>1+COUNTIF($H$17:$H$369,"&gt;"&amp;I110)</x:f>
        <x:v>123</x:v>
      </x:c>
      <x:c r="N110" s="13" t="n">
        <x:f>COUNTIF($I$17:$I$369,"&gt;="&amp;H110)</x:f>
        <x:v>129</x:v>
      </x:c>
      <x:c r="O110" s="13" t="str">
        <x:v>I04 Table_1!D791/P791/U791</x:v>
      </x:c>
    </x:row>
    <x:row r="111" ht="24" customHeight="1">
      <x:c r="A111" s="13" t="str">
        <x:v>M85175</x:v>
      </x:c>
      <x:c r="B111" s="13" t="str">
        <x:v>QHL</x:v>
      </x:c>
      <x:c r="C111" s="13" t="n">
        <x:v>86</x:v>
      </x:c>
      <x:c r="D111" s="30" t="n">
        <x:v>89.5</x:v>
      </x:c>
      <x:c r="E111" s="14" t="n">
        <x:f>C111*(1000-ROUND(D111*10,0))/1000</x:f>
        <x:v>9.03</x:v>
      </x:c>
      <x:c r="F111" s="14" t="n">
        <x:f>MAX(0,(ROUND(D111*100,0)-ROUND($B$3*100,0))/100)</x:f>
        <x:v>89.45</x:v>
      </x:c>
      <x:c r="G111" s="14" t="n">
        <x:f>MIN(100,(ROUND(D111*100,0)+ROUND($B$3*100,0))/100)</x:f>
        <x:v>89.55</x:v>
      </x:c>
      <x:c r="H111" s="40" t="n">
        <x:f>C111*(10000-ROUND(G111*100,0))/10000</x:f>
        <x:v>8.987</x:v>
      </x:c>
      <x:c r="I111" s="40" t="n">
        <x:f>C111*(10000-ROUND(F111*100,0))/10000</x:f>
        <x:v>9.073</x:v>
      </x:c>
      <x:c r="J111" s="13" t="str">
        <x:f>IF(COUNTIFS($D$17:$D$369,"&lt;"&amp;D111,$E$17:$E$369,"&gt;="&amp;E111)+COUNTIFS($D$17:$D$369,"="&amp;D111,$E$17:$E$369,"&gt;"&amp;E111)=0,"是","否")</x:f>
        <x:v>否</x:v>
      </x:c>
      <x:c r="K111" s="13" t="str">
        <x:f>IF(COUNTIFS($G$17:$G$369,"&lt;"&amp;F111,$H$17:$H$369,"&gt;="&amp;I111)+COUNTIFS($G$17:$G$369,"="&amp;F111,$H$17:$H$369,"&gt;"&amp;I111)=0,"是","否")</x:f>
        <x:v>否</x:v>
      </x:c>
      <x:c r="L111" s="13" t="str">
        <x:f>IF(COUNTIFS($F$17:$F$369,"&lt;"&amp;G111,$I$17:$I$369,"&gt;="&amp;H111)+COUNTIFS($F$17:$F$369,"="&amp;G111,$I$17:$I$369,"&gt;"&amp;H111)-IF(OR(G111&gt;F111,I111&gt;H111),1,0)=0,"是","否")</x:f>
        <x:v>否</x:v>
      </x:c>
      <x:c r="M111" s="13" t="n">
        <x:f>1+COUNTIF($H$17:$H$369,"&gt;"&amp;I111)</x:f>
        <x:v>244</x:v>
      </x:c>
      <x:c r="N111" s="13" t="n">
        <x:f>COUNTIF($I$17:$I$369,"&gt;="&amp;H111)</x:f>
        <x:v>256</x:v>
      </x:c>
      <x:c r="O111" s="13" t="str">
        <x:v>I04 Table_1!D792/P792/U792</x:v>
      </x:c>
    </x:row>
    <x:row r="112" ht="24" customHeight="1">
      <x:c r="A112" s="13" t="str">
        <x:v>M85176</x:v>
      </x:c>
      <x:c r="B112" s="13" t="str">
        <x:v>QHL</x:v>
      </x:c>
      <x:c r="C112" s="13" t="n">
        <x:v>71</x:v>
      </x:c>
      <x:c r="D112" s="30" t="n">
        <x:v>80.3</x:v>
      </x:c>
      <x:c r="E112" s="14" t="n">
        <x:f>C112*(1000-ROUND(D112*10,0))/1000</x:f>
        <x:v>13.987</x:v>
      </x:c>
      <x:c r="F112" s="14" t="n">
        <x:f>MAX(0,(ROUND(D112*100,0)-ROUND($B$3*100,0))/100)</x:f>
        <x:v>80.25</x:v>
      </x:c>
      <x:c r="G112" s="14" t="n">
        <x:f>MIN(100,(ROUND(D112*100,0)+ROUND($B$3*100,0))/100)</x:f>
        <x:v>80.35</x:v>
      </x:c>
      <x:c r="H112" s="40" t="n">
        <x:f>C112*(10000-ROUND(G112*100,0))/10000</x:f>
        <x:v>13.9515</x:v>
      </x:c>
      <x:c r="I112" s="40" t="n">
        <x:f>C112*(10000-ROUND(F112*100,0))/10000</x:f>
        <x:v>14.0225</x:v>
      </x:c>
      <x:c r="J112" s="13" t="str">
        <x:f>IF(COUNTIFS($D$17:$D$369,"&lt;"&amp;D112,$E$17:$E$369,"&gt;="&amp;E112)+COUNTIFS($D$17:$D$369,"="&amp;D112,$E$17:$E$369,"&gt;"&amp;E112)=0,"是","否")</x:f>
        <x:v>否</x:v>
      </x:c>
      <x:c r="K112" s="13" t="str">
        <x:f>IF(COUNTIFS($G$17:$G$369,"&lt;"&amp;F112,$H$17:$H$369,"&gt;="&amp;I112)+COUNTIFS($G$17:$G$369,"="&amp;F112,$H$17:$H$369,"&gt;"&amp;I112)=0,"是","否")</x:f>
        <x:v>否</x:v>
      </x:c>
      <x:c r="L112" s="13" t="str">
        <x:f>IF(COUNTIFS($F$17:$F$369,"&lt;"&amp;G112,$I$17:$I$369,"&gt;="&amp;H112)+COUNTIFS($F$17:$F$369,"="&amp;G112,$I$17:$I$369,"&gt;"&amp;H112)-IF(OR(G112&gt;F112,I112&gt;H112),1,0)=0,"是","否")</x:f>
        <x:v>否</x:v>
      </x:c>
      <x:c r="M112" s="13" t="n">
        <x:f>1+COUNTIF($H$17:$H$369,"&gt;"&amp;I112)</x:f>
        <x:v>190</x:v>
      </x:c>
      <x:c r="N112" s="13" t="n">
        <x:f>COUNTIF($I$17:$I$369,"&gt;="&amp;H112)</x:f>
        <x:v>199</x:v>
      </x:c>
      <x:c r="O112" s="13" t="str">
        <x:v>I04 Table_1!D793/P793/U793</x:v>
      </x:c>
    </x:row>
    <x:row r="113" ht="24" customHeight="1">
      <x:c r="A113" s="13" t="str">
        <x:v>M85177</x:v>
      </x:c>
      <x:c r="B113" s="13" t="str">
        <x:v>QHL</x:v>
      </x:c>
      <x:c r="C113" s="13" t="n">
        <x:v>75</x:v>
      </x:c>
      <x:c r="D113" s="30" t="n">
        <x:v>80</x:v>
      </x:c>
      <x:c r="E113" s="14" t="n">
        <x:f>C113*(1000-ROUND(D113*10,0))/1000</x:f>
        <x:v>15</x:v>
      </x:c>
      <x:c r="F113" s="14" t="n">
        <x:f>MAX(0,(ROUND(D113*100,0)-ROUND($B$3*100,0))/100)</x:f>
        <x:v>79.95</x:v>
      </x:c>
      <x:c r="G113" s="14" t="n">
        <x:f>MIN(100,(ROUND(D113*100,0)+ROUND($B$3*100,0))/100)</x:f>
        <x:v>80.05</x:v>
      </x:c>
      <x:c r="H113" s="40" t="n">
        <x:f>C113*(10000-ROUND(G113*100,0))/10000</x:f>
        <x:v>14.9625</x:v>
      </x:c>
      <x:c r="I113" s="40" t="n">
        <x:f>C113*(10000-ROUND(F113*100,0))/10000</x:f>
        <x:v>15.0375</x:v>
      </x:c>
      <x:c r="J113" s="13" t="str">
        <x:f>IF(COUNTIFS($D$17:$D$369,"&lt;"&amp;D113,$E$17:$E$369,"&gt;="&amp;E113)+COUNTIFS($D$17:$D$369,"="&amp;D113,$E$17:$E$369,"&gt;"&amp;E113)=0,"是","否")</x:f>
        <x:v>否</x:v>
      </x:c>
      <x:c r="K113" s="13" t="str">
        <x:f>IF(COUNTIFS($G$17:$G$369,"&lt;"&amp;F113,$H$17:$H$369,"&gt;="&amp;I113)+COUNTIFS($G$17:$G$369,"="&amp;F113,$H$17:$H$369,"&gt;"&amp;I113)=0,"是","否")</x:f>
        <x:v>否</x:v>
      </x:c>
      <x:c r="L113" s="13" t="str">
        <x:f>IF(COUNTIFS($F$17:$F$369,"&lt;"&amp;G113,$I$17:$I$369,"&gt;="&amp;H113)+COUNTIFS($F$17:$F$369,"="&amp;G113,$I$17:$I$369,"&gt;"&amp;H113)-IF(OR(G113&gt;F113,I113&gt;H113),1,0)=0,"是","否")</x:f>
        <x:v>否</x:v>
      </x:c>
      <x:c r="M113" s="13" t="n">
        <x:f>1+COUNTIF($H$17:$H$369,"&gt;"&amp;I113)</x:f>
        <x:v>177</x:v>
      </x:c>
      <x:c r="N113" s="13" t="n">
        <x:f>COUNTIF($I$17:$I$369,"&gt;="&amp;H113)</x:f>
        <x:v>189</x:v>
      </x:c>
      <x:c r="O113" s="13" t="str">
        <x:v>I04 Table_1!D794/P794/U794</x:v>
      </x:c>
    </x:row>
    <x:row r="114" ht="24" customHeight="1">
      <x:c r="A114" s="13" t="str">
        <x:v>M85178</x:v>
      </x:c>
      <x:c r="B114" s="13" t="str">
        <x:v>QHL</x:v>
      </x:c>
      <x:c r="C114" s="13" t="n">
        <x:v>128</x:v>
      </x:c>
      <x:c r="D114" s="30" t="n">
        <x:v>69.5</x:v>
      </x:c>
      <x:c r="E114" s="14" t="n">
        <x:f>C114*(1000-ROUND(D114*10,0))/1000</x:f>
        <x:v>39.04</x:v>
      </x:c>
      <x:c r="F114" s="14" t="n">
        <x:f>MAX(0,(ROUND(D114*100,0)-ROUND($B$3*100,0))/100)</x:f>
        <x:v>69.45</x:v>
      </x:c>
      <x:c r="G114" s="14" t="n">
        <x:f>MIN(100,(ROUND(D114*100,0)+ROUND($B$3*100,0))/100)</x:f>
        <x:v>69.55</x:v>
      </x:c>
      <x:c r="H114" s="40" t="n">
        <x:f>C114*(10000-ROUND(G114*100,0))/10000</x:f>
        <x:v>38.976</x:v>
      </x:c>
      <x:c r="I114" s="40" t="n">
        <x:f>C114*(10000-ROUND(F114*100,0))/10000</x:f>
        <x:v>39.104</x:v>
      </x:c>
      <x:c r="J114" s="13" t="str">
        <x:f>IF(COUNTIFS($D$17:$D$369,"&lt;"&amp;D114,$E$17:$E$369,"&gt;="&amp;E114)+COUNTIFS($D$17:$D$369,"="&amp;D114,$E$17:$E$369,"&gt;"&amp;E114)=0,"是","否")</x:f>
        <x:v>否</x:v>
      </x:c>
      <x:c r="K114" s="13" t="str">
        <x:f>IF(COUNTIFS($G$17:$G$369,"&lt;"&amp;F114,$H$17:$H$369,"&gt;="&amp;I114)+COUNTIFS($G$17:$G$369,"="&amp;F114,$H$17:$H$369,"&gt;"&amp;I114)=0,"是","否")</x:f>
        <x:v>否</x:v>
      </x:c>
      <x:c r="L114" s="13" t="str">
        <x:f>IF(COUNTIFS($F$17:$F$369,"&lt;"&amp;G114,$I$17:$I$369,"&gt;="&amp;H114)+COUNTIFS($F$17:$F$369,"="&amp;G114,$I$17:$I$369,"&gt;"&amp;H114)-IF(OR(G114&gt;F114,I114&gt;H114),1,0)=0,"是","否")</x:f>
        <x:v>否</x:v>
      </x:c>
      <x:c r="M114" s="13" t="n">
        <x:f>1+COUNTIF($H$17:$H$369,"&gt;"&amp;I114)</x:f>
        <x:v>39</x:v>
      </x:c>
      <x:c r="N114" s="13" t="n">
        <x:f>COUNTIF($I$17:$I$369,"&gt;="&amp;H114)</x:f>
        <x:v>41</x:v>
      </x:c>
      <x:c r="O114" s="13" t="str">
        <x:v>I04 Table_1!D795/P795/U795</x:v>
      </x:c>
    </x:row>
    <x:row r="115" ht="24" customHeight="1">
      <x:c r="A115" s="13" t="str">
        <x:v>M85179</x:v>
      </x:c>
      <x:c r="B115" s="13" t="str">
        <x:v>QHL</x:v>
      </x:c>
      <x:c r="C115" s="13" t="n">
        <x:v>65</x:v>
      </x:c>
      <x:c r="D115" s="30" t="n">
        <x:v>87.7</x:v>
      </x:c>
      <x:c r="E115" s="14" t="n">
        <x:f>C115*(1000-ROUND(D115*10,0))/1000</x:f>
        <x:v>7.995</x:v>
      </x:c>
      <x:c r="F115" s="14" t="n">
        <x:f>MAX(0,(ROUND(D115*100,0)-ROUND($B$3*100,0))/100)</x:f>
        <x:v>87.65</x:v>
      </x:c>
      <x:c r="G115" s="14" t="n">
        <x:f>MIN(100,(ROUND(D115*100,0)+ROUND($B$3*100,0))/100)</x:f>
        <x:v>87.75</x:v>
      </x:c>
      <x:c r="H115" s="40" t="n">
        <x:f>C115*(10000-ROUND(G115*100,0))/10000</x:f>
        <x:v>7.9625</x:v>
      </x:c>
      <x:c r="I115" s="40" t="n">
        <x:f>C115*(10000-ROUND(F115*100,0))/10000</x:f>
        <x:v>8.0275</x:v>
      </x:c>
      <x:c r="J115" s="13" t="str">
        <x:f>IF(COUNTIFS($D$17:$D$369,"&lt;"&amp;D115,$E$17:$E$369,"&gt;="&amp;E115)+COUNTIFS($D$17:$D$369,"="&amp;D115,$E$17:$E$369,"&gt;"&amp;E115)=0,"是","否")</x:f>
        <x:v>否</x:v>
      </x:c>
      <x:c r="K115" s="13" t="str">
        <x:f>IF(COUNTIFS($G$17:$G$369,"&lt;"&amp;F115,$H$17:$H$369,"&gt;="&amp;I115)+COUNTIFS($G$17:$G$369,"="&amp;F115,$H$17:$H$369,"&gt;"&amp;I115)=0,"是","否")</x:f>
        <x:v>否</x:v>
      </x:c>
      <x:c r="L115" s="13" t="str">
        <x:f>IF(COUNTIFS($F$17:$F$369,"&lt;"&amp;G115,$I$17:$I$369,"&gt;="&amp;H115)+COUNTIFS($F$17:$F$369,"="&amp;G115,$I$17:$I$369,"&gt;"&amp;H115)-IF(OR(G115&gt;F115,I115&gt;H115),1,0)=0,"是","否")</x:f>
        <x:v>否</x:v>
      </x:c>
      <x:c r="M115" s="13" t="n">
        <x:f>1+COUNTIF($H$17:$H$369,"&gt;"&amp;I115)</x:f>
        <x:v>257</x:v>
      </x:c>
      <x:c r="N115" s="13" t="n">
        <x:f>COUNTIF($I$17:$I$369,"&gt;="&amp;H115)</x:f>
        <x:v>271</x:v>
      </x:c>
      <x:c r="O115" s="13" t="str">
        <x:v>I04 Table_1!D796/P796/U796</x:v>
      </x:c>
    </x:row>
    <x:row r="116" ht="24" customHeight="1">
      <x:c r="A116" s="13" t="str">
        <x:v>M85600</x:v>
      </x:c>
      <x:c r="B116" s="13" t="str">
        <x:v>QHL</x:v>
      </x:c>
      <x:c r="C116" s="13" t="n">
        <x:v>183</x:v>
      </x:c>
      <x:c r="D116" s="30" t="n">
        <x:v>85.8</x:v>
      </x:c>
      <x:c r="E116" s="14" t="n">
        <x:f>C116*(1000-ROUND(D116*10,0))/1000</x:f>
        <x:v>25.986</x:v>
      </x:c>
      <x:c r="F116" s="14" t="n">
        <x:f>MAX(0,(ROUND(D116*100,0)-ROUND($B$3*100,0))/100)</x:f>
        <x:v>85.75</x:v>
      </x:c>
      <x:c r="G116" s="14" t="n">
        <x:f>MIN(100,(ROUND(D116*100,0)+ROUND($B$3*100,0))/100)</x:f>
        <x:v>85.85</x:v>
      </x:c>
      <x:c r="H116" s="40" t="n">
        <x:f>C116*(10000-ROUND(G116*100,0))/10000</x:f>
        <x:v>25.8945</x:v>
      </x:c>
      <x:c r="I116" s="40" t="n">
        <x:f>C116*(10000-ROUND(F116*100,0))/10000</x:f>
        <x:v>26.0775</x:v>
      </x:c>
      <x:c r="J116" s="13" t="str">
        <x:f>IF(COUNTIFS($D$17:$D$369,"&lt;"&amp;D116,$E$17:$E$369,"&gt;="&amp;E116)+COUNTIFS($D$17:$D$369,"="&amp;D116,$E$17:$E$369,"&gt;"&amp;E116)=0,"是","否")</x:f>
        <x:v>否</x:v>
      </x:c>
      <x:c r="K116" s="13" t="str">
        <x:f>IF(COUNTIFS($G$17:$G$369,"&lt;"&amp;F116,$H$17:$H$369,"&gt;="&amp;I116)+COUNTIFS($G$17:$G$369,"="&amp;F116,$H$17:$H$369,"&gt;"&amp;I116)=0,"是","否")</x:f>
        <x:v>否</x:v>
      </x:c>
      <x:c r="L116" s="13" t="str">
        <x:f>IF(COUNTIFS($F$17:$F$369,"&lt;"&amp;G116,$I$17:$I$369,"&gt;="&amp;H116)+COUNTIFS($F$17:$F$369,"="&amp;G116,$I$17:$I$369,"&gt;"&amp;H116)-IF(OR(G116&gt;F116,I116&gt;H116),1,0)=0,"是","否")</x:f>
        <x:v>否</x:v>
      </x:c>
      <x:c r="M116" s="13" t="n">
        <x:f>1+COUNTIF($H$17:$H$369,"&gt;"&amp;I116)</x:f>
        <x:v>93</x:v>
      </x:c>
      <x:c r="N116" s="13" t="n">
        <x:f>COUNTIF($I$17:$I$369,"&gt;="&amp;H116)</x:f>
        <x:v>95</x:v>
      </x:c>
      <x:c r="O116" s="13" t="str">
        <x:v>I04 Table_1!D797/P797/U797</x:v>
      </x:c>
    </x:row>
    <x:row r="117" ht="24" customHeight="1">
      <x:c r="A117" s="13" t="str">
        <x:v>M85624</x:v>
      </x:c>
      <x:c r="B117" s="13" t="str">
        <x:v>QHL</x:v>
      </x:c>
      <x:c r="C117" s="13" t="n">
        <x:v>83</x:v>
      </x:c>
      <x:c r="D117" s="30" t="n">
        <x:v>79.5</x:v>
      </x:c>
      <x:c r="E117" s="14" t="n">
        <x:f>C117*(1000-ROUND(D117*10,0))/1000</x:f>
        <x:v>17.015</x:v>
      </x:c>
      <x:c r="F117" s="14" t="n">
        <x:f>MAX(0,(ROUND(D117*100,0)-ROUND($B$3*100,0))/100)</x:f>
        <x:v>79.45</x:v>
      </x:c>
      <x:c r="G117" s="14" t="n">
        <x:f>MIN(100,(ROUND(D117*100,0)+ROUND($B$3*100,0))/100)</x:f>
        <x:v>79.55</x:v>
      </x:c>
      <x:c r="H117" s="40" t="n">
        <x:f>C117*(10000-ROUND(G117*100,0))/10000</x:f>
        <x:v>16.9735</x:v>
      </x:c>
      <x:c r="I117" s="40" t="n">
        <x:f>C117*(10000-ROUND(F117*100,0))/10000</x:f>
        <x:v>17.0565</x:v>
      </x:c>
      <x:c r="J117" s="13" t="str">
        <x:f>IF(COUNTIFS($D$17:$D$369,"&lt;"&amp;D117,$E$17:$E$369,"&gt;="&amp;E117)+COUNTIFS($D$17:$D$369,"="&amp;D117,$E$17:$E$369,"&gt;"&amp;E117)=0,"是","否")</x:f>
        <x:v>否</x:v>
      </x:c>
      <x:c r="K117" s="13" t="str">
        <x:f>IF(COUNTIFS($G$17:$G$369,"&lt;"&amp;F117,$H$17:$H$369,"&gt;="&amp;I117)+COUNTIFS($G$17:$G$369,"="&amp;F117,$H$17:$H$369,"&gt;"&amp;I117)=0,"是","否")</x:f>
        <x:v>否</x:v>
      </x:c>
      <x:c r="L117" s="13" t="str">
        <x:f>IF(COUNTIFS($F$17:$F$369,"&lt;"&amp;G117,$I$17:$I$369,"&gt;="&amp;H117)+COUNTIFS($F$17:$F$369,"="&amp;G117,$I$17:$I$369,"&gt;"&amp;H117)-IF(OR(G117&gt;F117,I117&gt;H117),1,0)=0,"是","否")</x:f>
        <x:v>否</x:v>
      </x:c>
      <x:c r="M117" s="13" t="n">
        <x:f>1+COUNTIF($H$17:$H$369,"&gt;"&amp;I117)</x:f>
        <x:v>158</x:v>
      </x:c>
      <x:c r="N117" s="13" t="n">
        <x:f>COUNTIF($I$17:$I$369,"&gt;="&amp;H117)</x:f>
        <x:v>166</x:v>
      </x:c>
      <x:c r="O117" s="13" t="str">
        <x:v>I04 Table_1!D798/P798/U798</x:v>
      </x:c>
    </x:row>
    <x:row r="118" ht="24" customHeight="1">
      <x:c r="A118" s="13" t="str">
        <x:v>M85634</x:v>
      </x:c>
      <x:c r="B118" s="13" t="str">
        <x:v>QHL</x:v>
      </x:c>
      <x:c r="C118" s="13" t="n">
        <x:v>126</x:v>
      </x:c>
      <x:c r="D118" s="30" t="n">
        <x:v>81.7</x:v>
      </x:c>
      <x:c r="E118" s="14" t="n">
        <x:f>C118*(1000-ROUND(D118*10,0))/1000</x:f>
        <x:v>23.058</x:v>
      </x:c>
      <x:c r="F118" s="14" t="n">
        <x:f>MAX(0,(ROUND(D118*100,0)-ROUND($B$3*100,0))/100)</x:f>
        <x:v>81.65</x:v>
      </x:c>
      <x:c r="G118" s="14" t="n">
        <x:f>MIN(100,(ROUND(D118*100,0)+ROUND($B$3*100,0))/100)</x:f>
        <x:v>81.75</x:v>
      </x:c>
      <x:c r="H118" s="40" t="n">
        <x:f>C118*(10000-ROUND(G118*100,0))/10000</x:f>
        <x:v>22.995</x:v>
      </x:c>
      <x:c r="I118" s="40" t="n">
        <x:f>C118*(10000-ROUND(F118*100,0))/10000</x:f>
        <x:v>23.121</x:v>
      </x:c>
      <x:c r="J118" s="13" t="str">
        <x:f>IF(COUNTIFS($D$17:$D$369,"&lt;"&amp;D118,$E$17:$E$369,"&gt;="&amp;E118)+COUNTIFS($D$17:$D$369,"="&amp;D118,$E$17:$E$369,"&gt;"&amp;E118)=0,"是","否")</x:f>
        <x:v>否</x:v>
      </x:c>
      <x:c r="K118" s="13" t="str">
        <x:f>IF(COUNTIFS($G$17:$G$369,"&lt;"&amp;F118,$H$17:$H$369,"&gt;="&amp;I118)+COUNTIFS($G$17:$G$369,"="&amp;F118,$H$17:$H$369,"&gt;"&amp;I118)=0,"是","否")</x:f>
        <x:v>否</x:v>
      </x:c>
      <x:c r="L118" s="13" t="str">
        <x:f>IF(COUNTIFS($F$17:$F$369,"&lt;"&amp;G118,$I$17:$I$369,"&gt;="&amp;H118)+COUNTIFS($F$17:$F$369,"="&amp;G118,$I$17:$I$369,"&gt;"&amp;H118)-IF(OR(G118&gt;F118,I118&gt;H118),1,0)=0,"是","否")</x:f>
        <x:v>否</x:v>
      </x:c>
      <x:c r="M118" s="13" t="n">
        <x:f>1+COUNTIF($H$17:$H$369,"&gt;"&amp;I118)</x:f>
        <x:v>112</x:v>
      </x:c>
      <x:c r="N118" s="13" t="n">
        <x:f>COUNTIF($I$17:$I$369,"&gt;="&amp;H118)</x:f>
        <x:v>119</x:v>
      </x:c>
      <x:c r="O118" s="13" t="str">
        <x:v>I04 Table_1!D799/P799/U799</x:v>
      </x:c>
    </x:row>
    <x:row r="119" ht="24" customHeight="1">
      <x:c r="A119" s="13" t="str">
        <x:v>M85642</x:v>
      </x:c>
      <x:c r="B119" s="13" t="str">
        <x:v>QHL</x:v>
      </x:c>
      <x:c r="C119" s="13" t="n">
        <x:v>71</x:v>
      </x:c>
      <x:c r="D119" s="30" t="n">
        <x:v>74.6</x:v>
      </x:c>
      <x:c r="E119" s="14" t="n">
        <x:f>C119*(1000-ROUND(D119*10,0))/1000</x:f>
        <x:v>18.034</x:v>
      </x:c>
      <x:c r="F119" s="14" t="n">
        <x:f>MAX(0,(ROUND(D119*100,0)-ROUND($B$3*100,0))/100)</x:f>
        <x:v>74.55</x:v>
      </x:c>
      <x:c r="G119" s="14" t="n">
        <x:f>MIN(100,(ROUND(D119*100,0)+ROUND($B$3*100,0))/100)</x:f>
        <x:v>74.65</x:v>
      </x:c>
      <x:c r="H119" s="40" t="n">
        <x:f>C119*(10000-ROUND(G119*100,0))/10000</x:f>
        <x:v>17.9985</x:v>
      </x:c>
      <x:c r="I119" s="40" t="n">
        <x:f>C119*(10000-ROUND(F119*100,0))/10000</x:f>
        <x:v>18.0695</x:v>
      </x:c>
      <x:c r="J119" s="13" t="str">
        <x:f>IF(COUNTIFS($D$17:$D$369,"&lt;"&amp;D119,$E$17:$E$369,"&gt;="&amp;E119)+COUNTIFS($D$17:$D$369,"="&amp;D119,$E$17:$E$369,"&gt;"&amp;E119)=0,"是","否")</x:f>
        <x:v>否</x:v>
      </x:c>
      <x:c r="K119" s="13" t="str">
        <x:f>IF(COUNTIFS($G$17:$G$369,"&lt;"&amp;F119,$H$17:$H$369,"&gt;="&amp;I119)+COUNTIFS($G$17:$G$369,"="&amp;F119,$H$17:$H$369,"&gt;"&amp;I119)=0,"是","否")</x:f>
        <x:v>否</x:v>
      </x:c>
      <x:c r="L119" s="13" t="str">
        <x:f>IF(COUNTIFS($F$17:$F$369,"&lt;"&amp;G119,$I$17:$I$369,"&gt;="&amp;H119)+COUNTIFS($F$17:$F$369,"="&amp;G119,$I$17:$I$369,"&gt;"&amp;H119)-IF(OR(G119&gt;F119,I119&gt;H119),1,0)=0,"是","否")</x:f>
        <x:v>否</x:v>
      </x:c>
      <x:c r="M119" s="13" t="n">
        <x:f>1+COUNTIF($H$17:$H$369,"&gt;"&amp;I119)</x:f>
        <x:v>152</x:v>
      </x:c>
      <x:c r="N119" s="13" t="n">
        <x:f>COUNTIF($I$17:$I$369,"&gt;="&amp;H119)</x:f>
        <x:v>157</x:v>
      </x:c>
      <x:c r="O119" s="13" t="str">
        <x:v>I04 Table_1!D800/P800/U800</x:v>
      </x:c>
    </x:row>
    <x:row r="120" ht="24" customHeight="1">
      <x:c r="A120" s="13" t="str">
        <x:v>M85669</x:v>
      </x:c>
      <x:c r="B120" s="13" t="str">
        <x:v>QHL</x:v>
      </x:c>
      <x:c r="C120" s="13" t="n">
        <x:v>93</x:v>
      </x:c>
      <x:c r="D120" s="30" t="n">
        <x:v>77.4</x:v>
      </x:c>
      <x:c r="E120" s="14" t="n">
        <x:f>C120*(1000-ROUND(D120*10,0))/1000</x:f>
        <x:v>21.018</x:v>
      </x:c>
      <x:c r="F120" s="14" t="n">
        <x:f>MAX(0,(ROUND(D120*100,0)-ROUND($B$3*100,0))/100)</x:f>
        <x:v>77.35</x:v>
      </x:c>
      <x:c r="G120" s="14" t="n">
        <x:f>MIN(100,(ROUND(D120*100,0)+ROUND($B$3*100,0))/100)</x:f>
        <x:v>77.45</x:v>
      </x:c>
      <x:c r="H120" s="40" t="n">
        <x:f>C120*(10000-ROUND(G120*100,0))/10000</x:f>
        <x:v>20.9715</x:v>
      </x:c>
      <x:c r="I120" s="40" t="n">
        <x:f>C120*(10000-ROUND(F120*100,0))/10000</x:f>
        <x:v>21.0645</x:v>
      </x:c>
      <x:c r="J120" s="13" t="str">
        <x:f>IF(COUNTIFS($D$17:$D$369,"&lt;"&amp;D120,$E$17:$E$369,"&gt;="&amp;E120)+COUNTIFS($D$17:$D$369,"="&amp;D120,$E$17:$E$369,"&gt;"&amp;E120)=0,"是","否")</x:f>
        <x:v>否</x:v>
      </x:c>
      <x:c r="K120" s="13" t="str">
        <x:f>IF(COUNTIFS($G$17:$G$369,"&lt;"&amp;F120,$H$17:$H$369,"&gt;="&amp;I120)+COUNTIFS($G$17:$G$369,"="&amp;F120,$H$17:$H$369,"&gt;"&amp;I120)=0,"是","否")</x:f>
        <x:v>否</x:v>
      </x:c>
      <x:c r="L120" s="13" t="str">
        <x:f>IF(COUNTIFS($F$17:$F$369,"&lt;"&amp;G120,$I$17:$I$369,"&gt;="&amp;H120)+COUNTIFS($F$17:$F$369,"="&amp;G120,$I$17:$I$369,"&gt;"&amp;H120)-IF(OR(G120&gt;F120,I120&gt;H120),1,0)=0,"是","否")</x:f>
        <x:v>否</x:v>
      </x:c>
      <x:c r="M120" s="13" t="n">
        <x:f>1+COUNTIF($H$17:$H$369,"&gt;"&amp;I120)</x:f>
        <x:v>123</x:v>
      </x:c>
      <x:c r="N120" s="13" t="n">
        <x:f>COUNTIF($I$17:$I$369,"&gt;="&amp;H120)</x:f>
        <x:v>129</x:v>
      </x:c>
      <x:c r="O120" s="13" t="str">
        <x:v>I04 Table_1!D801/P801/U801</x:v>
      </x:c>
    </x:row>
    <x:row r="121" ht="24" customHeight="1">
      <x:c r="A121" s="13" t="str">
        <x:v>M85670</x:v>
      </x:c>
      <x:c r="B121" s="13" t="str">
        <x:v>QHL</x:v>
      </x:c>
      <x:c r="C121" s="13" t="n">
        <x:v>59</x:v>
      </x:c>
      <x:c r="D121" s="30" t="n">
        <x:v>71.2</x:v>
      </x:c>
      <x:c r="E121" s="14" t="n">
        <x:f>C121*(1000-ROUND(D121*10,0))/1000</x:f>
        <x:v>16.992</x:v>
      </x:c>
      <x:c r="F121" s="14" t="n">
        <x:f>MAX(0,(ROUND(D121*100,0)-ROUND($B$3*100,0))/100)</x:f>
        <x:v>71.15</x:v>
      </x:c>
      <x:c r="G121" s="14" t="n">
        <x:f>MIN(100,(ROUND(D121*100,0)+ROUND($B$3*100,0))/100)</x:f>
        <x:v>71.25</x:v>
      </x:c>
      <x:c r="H121" s="40" t="n">
        <x:f>C121*(10000-ROUND(G121*100,0))/10000</x:f>
        <x:v>16.9625</x:v>
      </x:c>
      <x:c r="I121" s="40" t="n">
        <x:f>C121*(10000-ROUND(F121*100,0))/10000</x:f>
        <x:v>17.0215</x:v>
      </x:c>
      <x:c r="J121" s="13" t="str">
        <x:f>IF(COUNTIFS($D$17:$D$369,"&lt;"&amp;D121,$E$17:$E$369,"&gt;="&amp;E121)+COUNTIFS($D$17:$D$369,"="&amp;D121,$E$17:$E$369,"&gt;"&amp;E121)=0,"是","否")</x:f>
        <x:v>否</x:v>
      </x:c>
      <x:c r="K121" s="13" t="str">
        <x:f>IF(COUNTIFS($G$17:$G$369,"&lt;"&amp;F121,$H$17:$H$369,"&gt;="&amp;I121)+COUNTIFS($G$17:$G$369,"="&amp;F121,$H$17:$H$369,"&gt;"&amp;I121)=0,"是","否")</x:f>
        <x:v>否</x:v>
      </x:c>
      <x:c r="L121" s="13" t="str">
        <x:f>IF(COUNTIFS($F$17:$F$369,"&lt;"&amp;G121,$I$17:$I$369,"&gt;="&amp;H121)+COUNTIFS($F$17:$F$369,"="&amp;G121,$I$17:$I$369,"&gt;"&amp;H121)-IF(OR(G121&gt;F121,I121&gt;H121),1,0)=0,"是","否")</x:f>
        <x:v>否</x:v>
      </x:c>
      <x:c r="M121" s="13" t="n">
        <x:f>1+COUNTIF($H$17:$H$369,"&gt;"&amp;I121)</x:f>
        <x:v>158</x:v>
      </x:c>
      <x:c r="N121" s="13" t="n">
        <x:f>COUNTIF($I$17:$I$369,"&gt;="&amp;H121)</x:f>
        <x:v>166</x:v>
      </x:c>
      <x:c r="O121" s="13" t="str">
        <x:v>I04 Table_1!D802/P802/U802</x:v>
      </x:c>
    </x:row>
    <x:row r="122" ht="24" customHeight="1">
      <x:c r="A122" s="13" t="str">
        <x:v>M85676</x:v>
      </x:c>
      <x:c r="B122" s="13" t="str">
        <x:v>QHL</x:v>
      </x:c>
      <x:c r="C122" s="13" t="n">
        <x:v>92</x:v>
      </x:c>
      <x:c r="D122" s="30" t="n">
        <x:v>72.8</x:v>
      </x:c>
      <x:c r="E122" s="14" t="n">
        <x:f>C122*(1000-ROUND(D122*10,0))/1000</x:f>
        <x:v>25.024</x:v>
      </x:c>
      <x:c r="F122" s="14" t="n">
        <x:f>MAX(0,(ROUND(D122*100,0)-ROUND($B$3*100,0))/100)</x:f>
        <x:v>72.75</x:v>
      </x:c>
      <x:c r="G122" s="14" t="n">
        <x:f>MIN(100,(ROUND(D122*100,0)+ROUND($B$3*100,0))/100)</x:f>
        <x:v>72.85</x:v>
      </x:c>
      <x:c r="H122" s="40" t="n">
        <x:f>C122*(10000-ROUND(G122*100,0))/10000</x:f>
        <x:v>24.978</x:v>
      </x:c>
      <x:c r="I122" s="40" t="n">
        <x:f>C122*(10000-ROUND(F122*100,0))/10000</x:f>
        <x:v>25.07</x:v>
      </x:c>
      <x:c r="J122" s="13" t="str">
        <x:f>IF(COUNTIFS($D$17:$D$369,"&lt;"&amp;D122,$E$17:$E$369,"&gt;="&amp;E122)+COUNTIFS($D$17:$D$369,"="&amp;D122,$E$17:$E$369,"&gt;"&amp;E122)=0,"是","否")</x:f>
        <x:v>否</x:v>
      </x:c>
      <x:c r="K122" s="13" t="str">
        <x:f>IF(COUNTIFS($G$17:$G$369,"&lt;"&amp;F122,$H$17:$H$369,"&gt;="&amp;I122)+COUNTIFS($G$17:$G$369,"="&amp;F122,$H$17:$H$369,"&gt;"&amp;I122)=0,"是","否")</x:f>
        <x:v>否</x:v>
      </x:c>
      <x:c r="L122" s="13" t="str">
        <x:f>IF(COUNTIFS($F$17:$F$369,"&lt;"&amp;G122,$I$17:$I$369,"&gt;="&amp;H122)+COUNTIFS($F$17:$F$369,"="&amp;G122,$I$17:$I$369,"&gt;"&amp;H122)-IF(OR(G122&gt;F122,I122&gt;H122),1,0)=0,"是","否")</x:f>
        <x:v>否</x:v>
      </x:c>
      <x:c r="M122" s="13" t="n">
        <x:f>1+COUNTIF($H$17:$H$369,"&gt;"&amp;I122)</x:f>
        <x:v>96</x:v>
      </x:c>
      <x:c r="N122" s="13" t="n">
        <x:f>COUNTIF($I$17:$I$369,"&gt;="&amp;H122)</x:f>
        <x:v>100</x:v>
      </x:c>
      <x:c r="O122" s="13" t="str">
        <x:v>I04 Table_1!D803/P803/U803</x:v>
      </x:c>
    </x:row>
    <x:row r="123" ht="24" customHeight="1">
      <x:c r="A123" s="13" t="str">
        <x:v>M85679</x:v>
      </x:c>
      <x:c r="B123" s="13" t="str">
        <x:v>QHL</x:v>
      </x:c>
      <x:c r="C123" s="13" t="n">
        <x:v>83</x:v>
      </x:c>
      <x:c r="D123" s="30" t="n">
        <x:v>75.9</x:v>
      </x:c>
      <x:c r="E123" s="14" t="n">
        <x:f>C123*(1000-ROUND(D123*10,0))/1000</x:f>
        <x:v>20.003</x:v>
      </x:c>
      <x:c r="F123" s="14" t="n">
        <x:f>MAX(0,(ROUND(D123*100,0)-ROUND($B$3*100,0))/100)</x:f>
        <x:v>75.85</x:v>
      </x:c>
      <x:c r="G123" s="14" t="n">
        <x:f>MIN(100,(ROUND(D123*100,0)+ROUND($B$3*100,0))/100)</x:f>
        <x:v>75.95</x:v>
      </x:c>
      <x:c r="H123" s="40" t="n">
        <x:f>C123*(10000-ROUND(G123*100,0))/10000</x:f>
        <x:v>19.9615</x:v>
      </x:c>
      <x:c r="I123" s="40" t="n">
        <x:f>C123*(10000-ROUND(F123*100,0))/10000</x:f>
        <x:v>20.0445</x:v>
      </x:c>
      <x:c r="J123" s="13" t="str">
        <x:f>IF(COUNTIFS($D$17:$D$369,"&lt;"&amp;D123,$E$17:$E$369,"&gt;="&amp;E123)+COUNTIFS($D$17:$D$369,"="&amp;D123,$E$17:$E$369,"&gt;"&amp;E123)=0,"是","否")</x:f>
        <x:v>否</x:v>
      </x:c>
      <x:c r="K123" s="13" t="str">
        <x:f>IF(COUNTIFS($G$17:$G$369,"&lt;"&amp;F123,$H$17:$H$369,"&gt;="&amp;I123)+COUNTIFS($G$17:$G$369,"="&amp;F123,$H$17:$H$369,"&gt;"&amp;I123)=0,"是","否")</x:f>
        <x:v>否</x:v>
      </x:c>
      <x:c r="L123" s="13" t="str">
        <x:f>IF(COUNTIFS($F$17:$F$369,"&lt;"&amp;G123,$I$17:$I$369,"&gt;="&amp;H123)+COUNTIFS($F$17:$F$369,"="&amp;G123,$I$17:$I$369,"&gt;"&amp;H123)-IF(OR(G123&gt;F123,I123&gt;H123),1,0)=0,"是","否")</x:f>
        <x:v>否</x:v>
      </x:c>
      <x:c r="M123" s="13" t="n">
        <x:f>1+COUNTIF($H$17:$H$369,"&gt;"&amp;I123)</x:f>
        <x:v>130</x:v>
      </x:c>
      <x:c r="N123" s="13" t="n">
        <x:f>COUNTIF($I$17:$I$369,"&gt;="&amp;H123)</x:f>
        <x:v>141</x:v>
      </x:c>
      <x:c r="O123" s="13" t="str">
        <x:v>I04 Table_1!D804/P804/U804</x:v>
      </x:c>
    </x:row>
    <x:row r="124" ht="24" customHeight="1">
      <x:c r="A124" s="13" t="str">
        <x:v>M85680</x:v>
      </x:c>
      <x:c r="B124" s="13" t="str">
        <x:v>QHL</x:v>
      </x:c>
      <x:c r="C124" s="13" t="n">
        <x:v>44</x:v>
      </x:c>
      <x:c r="D124" s="30" t="n">
        <x:v>52.3</x:v>
      </x:c>
      <x:c r="E124" s="14" t="n">
        <x:f>C124*(1000-ROUND(D124*10,0))/1000</x:f>
        <x:v>20.988</x:v>
      </x:c>
      <x:c r="F124" s="14" t="n">
        <x:f>MAX(0,(ROUND(D124*100,0)-ROUND($B$3*100,0))/100)</x:f>
        <x:v>52.25</x:v>
      </x:c>
      <x:c r="G124" s="14" t="n">
        <x:f>MIN(100,(ROUND(D124*100,0)+ROUND($B$3*100,0))/100)</x:f>
        <x:v>52.35</x:v>
      </x:c>
      <x:c r="H124" s="40" t="n">
        <x:f>C124*(10000-ROUND(G124*100,0))/10000</x:f>
        <x:v>20.966</x:v>
      </x:c>
      <x:c r="I124" s="40" t="n">
        <x:f>C124*(10000-ROUND(F124*100,0))/10000</x:f>
        <x:v>21.01</x:v>
      </x:c>
      <x:c r="J124" s="13" t="str">
        <x:f>IF(COUNTIFS($D$17:$D$369,"&lt;"&amp;D124,$E$17:$E$369,"&gt;="&amp;E124)+COUNTIFS($D$17:$D$369,"="&amp;D124,$E$17:$E$369,"&gt;"&amp;E124)=0,"是","否")</x:f>
        <x:v>否</x:v>
      </x:c>
      <x:c r="K124" s="13" t="str">
        <x:f>IF(COUNTIFS($G$17:$G$369,"&lt;"&amp;F124,$H$17:$H$369,"&gt;="&amp;I124)+COUNTIFS($G$17:$G$369,"="&amp;F124,$H$17:$H$369,"&gt;"&amp;I124)=0,"是","否")</x:f>
        <x:v>否</x:v>
      </x:c>
      <x:c r="L124" s="13" t="str">
        <x:f>IF(COUNTIFS($F$17:$F$369,"&lt;"&amp;G124,$I$17:$I$369,"&gt;="&amp;H124)+COUNTIFS($F$17:$F$369,"="&amp;G124,$I$17:$I$369,"&gt;"&amp;H124)-IF(OR(G124&gt;F124,I124&gt;H124),1,0)=0,"是","否")</x:f>
        <x:v>否</x:v>
      </x:c>
      <x:c r="M124" s="13" t="n">
        <x:f>1+COUNTIF($H$17:$H$369,"&gt;"&amp;I124)</x:f>
        <x:v>123</x:v>
      </x:c>
      <x:c r="N124" s="13" t="n">
        <x:f>COUNTIF($I$17:$I$369,"&gt;="&amp;H124)</x:f>
        <x:v>129</x:v>
      </x:c>
      <x:c r="O124" s="13" t="str">
        <x:v>I04 Table_1!D805/P805/U805</x:v>
      </x:c>
    </x:row>
    <x:row r="125" ht="24" customHeight="1">
      <x:c r="A125" s="13" t="str">
        <x:v>M85684</x:v>
      </x:c>
      <x:c r="B125" s="13" t="str">
        <x:v>QHL</x:v>
      </x:c>
      <x:c r="C125" s="13" t="n">
        <x:v>42</x:v>
      </x:c>
      <x:c r="D125" s="30" t="n">
        <x:v>83.3</x:v>
      </x:c>
      <x:c r="E125" s="14" t="n">
        <x:f>C125*(1000-ROUND(D125*10,0))/1000</x:f>
        <x:v>7.014</x:v>
      </x:c>
      <x:c r="F125" s="14" t="n">
        <x:f>MAX(0,(ROUND(D125*100,0)-ROUND($B$3*100,0))/100)</x:f>
        <x:v>83.25</x:v>
      </x:c>
      <x:c r="G125" s="14" t="n">
        <x:f>MIN(100,(ROUND(D125*100,0)+ROUND($B$3*100,0))/100)</x:f>
        <x:v>83.35</x:v>
      </x:c>
      <x:c r="H125" s="40" t="n">
        <x:f>C125*(10000-ROUND(G125*100,0))/10000</x:f>
        <x:v>6.993</x:v>
      </x:c>
      <x:c r="I125" s="40" t="n">
        <x:f>C125*(10000-ROUND(F125*100,0))/10000</x:f>
        <x:v>7.035</x:v>
      </x:c>
      <x:c r="J125" s="13" t="str">
        <x:f>IF(COUNTIFS($D$17:$D$369,"&lt;"&amp;D125,$E$17:$E$369,"&gt;="&amp;E125)+COUNTIFS($D$17:$D$369,"="&amp;D125,$E$17:$E$369,"&gt;"&amp;E125)=0,"是","否")</x:f>
        <x:v>否</x:v>
      </x:c>
      <x:c r="K125" s="13" t="str">
        <x:f>IF(COUNTIFS($G$17:$G$369,"&lt;"&amp;F125,$H$17:$H$369,"&gt;="&amp;I125)+COUNTIFS($G$17:$G$369,"="&amp;F125,$H$17:$H$369,"&gt;"&amp;I125)=0,"是","否")</x:f>
        <x:v>否</x:v>
      </x:c>
      <x:c r="L125" s="13" t="str">
        <x:f>IF(COUNTIFS($F$17:$F$369,"&lt;"&amp;G125,$I$17:$I$369,"&gt;="&amp;H125)+COUNTIFS($F$17:$F$369,"="&amp;G125,$I$17:$I$369,"&gt;"&amp;H125)-IF(OR(G125&gt;F125,I125&gt;H125),1,0)=0,"是","否")</x:f>
        <x:v>否</x:v>
      </x:c>
      <x:c r="M125" s="13" t="n">
        <x:f>1+COUNTIF($H$17:$H$369,"&gt;"&amp;I125)</x:f>
        <x:v>272</x:v>
      </x:c>
      <x:c r="N125" s="13" t="n">
        <x:f>COUNTIF($I$17:$I$369,"&gt;="&amp;H125)</x:f>
        <x:v>285</x:v>
      </x:c>
      <x:c r="O125" s="13" t="str">
        <x:v>I04 Table_1!D806/P806/U806</x:v>
      </x:c>
    </x:row>
    <x:row r="126" ht="24" customHeight="1">
      <x:c r="A126" s="13" t="str">
        <x:v>M85686</x:v>
      </x:c>
      <x:c r="B126" s="13" t="str">
        <x:v>QHL</x:v>
      </x:c>
      <x:c r="C126" s="13" t="n">
        <x:v>11</x:v>
      </x:c>
      <x:c r="D126" s="30" t="n">
        <x:v>45.5</x:v>
      </x:c>
      <x:c r="E126" s="14" t="n">
        <x:f>C126*(1000-ROUND(D126*10,0))/1000</x:f>
        <x:v>5.995</x:v>
      </x:c>
      <x:c r="F126" s="14" t="n">
        <x:f>MAX(0,(ROUND(D126*100,0)-ROUND($B$3*100,0))/100)</x:f>
        <x:v>45.45</x:v>
      </x:c>
      <x:c r="G126" s="14" t="n">
        <x:f>MIN(100,(ROUND(D126*100,0)+ROUND($B$3*100,0))/100)</x:f>
        <x:v>45.55</x:v>
      </x:c>
      <x:c r="H126" s="40" t="n">
        <x:f>C126*(10000-ROUND(G126*100,0))/10000</x:f>
        <x:v>5.9895</x:v>
      </x:c>
      <x:c r="I126" s="40" t="n">
        <x:f>C126*(10000-ROUND(F126*100,0))/10000</x:f>
        <x:v>6.0005</x:v>
      </x:c>
      <x:c r="J126" s="13" t="str">
        <x:f>IF(COUNTIFS($D$17:$D$369,"&lt;"&amp;D126,$E$17:$E$369,"&gt;="&amp;E126)+COUNTIFS($D$17:$D$369,"="&amp;D126,$E$17:$E$369,"&gt;"&amp;E126)=0,"是","否")</x:f>
        <x:v>否</x:v>
      </x:c>
      <x:c r="K126" s="13" t="str">
        <x:f>IF(COUNTIFS($G$17:$G$369,"&lt;"&amp;F126,$H$17:$H$369,"&gt;="&amp;I126)+COUNTIFS($G$17:$G$369,"="&amp;F126,$H$17:$H$369,"&gt;"&amp;I126)=0,"是","否")</x:f>
        <x:v>否</x:v>
      </x:c>
      <x:c r="L126" s="13" t="str">
        <x:f>IF(COUNTIFS($F$17:$F$369,"&lt;"&amp;G126,$I$17:$I$369,"&gt;="&amp;H126)+COUNTIFS($F$17:$F$369,"="&amp;G126,$I$17:$I$369,"&gt;"&amp;H126)-IF(OR(G126&gt;F126,I126&gt;H126),1,0)=0,"是","否")</x:f>
        <x:v>否</x:v>
      </x:c>
      <x:c r="M126" s="13" t="n">
        <x:f>1+COUNTIF($H$17:$H$369,"&gt;"&amp;I126)</x:f>
        <x:v>286</x:v>
      </x:c>
      <x:c r="N126" s="13" t="n">
        <x:f>COUNTIF($I$17:$I$369,"&gt;="&amp;H126)</x:f>
        <x:v>301</x:v>
      </x:c>
      <x:c r="O126" s="13" t="str">
        <x:v>I04 Table_1!D807/P807/U807</x:v>
      </x:c>
    </x:row>
    <x:row r="127" ht="24" customHeight="1">
      <x:c r="A127" s="13" t="str">
        <x:v>M85693</x:v>
      </x:c>
      <x:c r="B127" s="13" t="str">
        <x:v>QHL</x:v>
      </x:c>
      <x:c r="C127" s="13" t="n">
        <x:v>27</x:v>
      </x:c>
      <x:c r="D127" s="30" t="n">
        <x:v>81.5</x:v>
      </x:c>
      <x:c r="E127" s="14" t="n">
        <x:f>C127*(1000-ROUND(D127*10,0))/1000</x:f>
        <x:v>4.995</x:v>
      </x:c>
      <x:c r="F127" s="14" t="n">
        <x:f>MAX(0,(ROUND(D127*100,0)-ROUND($B$3*100,0))/100)</x:f>
        <x:v>81.45</x:v>
      </x:c>
      <x:c r="G127" s="14" t="n">
        <x:f>MIN(100,(ROUND(D127*100,0)+ROUND($B$3*100,0))/100)</x:f>
        <x:v>81.55</x:v>
      </x:c>
      <x:c r="H127" s="40" t="n">
        <x:f>C127*(10000-ROUND(G127*100,0))/10000</x:f>
        <x:v>4.9815</x:v>
      </x:c>
      <x:c r="I127" s="40" t="n">
        <x:f>C127*(10000-ROUND(F127*100,0))/10000</x:f>
        <x:v>5.0085</x:v>
      </x:c>
      <x:c r="J127" s="13" t="str">
        <x:f>IF(COUNTIFS($D$17:$D$369,"&lt;"&amp;D127,$E$17:$E$369,"&gt;="&amp;E127)+COUNTIFS($D$17:$D$369,"="&amp;D127,$E$17:$E$369,"&gt;"&amp;E127)=0,"是","否")</x:f>
        <x:v>否</x:v>
      </x:c>
      <x:c r="K127" s="13" t="str">
        <x:f>IF(COUNTIFS($G$17:$G$369,"&lt;"&amp;F127,$H$17:$H$369,"&gt;="&amp;I127)+COUNTIFS($G$17:$G$369,"="&amp;F127,$H$17:$H$369,"&gt;"&amp;I127)=0,"是","否")</x:f>
        <x:v>否</x:v>
      </x:c>
      <x:c r="L127" s="13" t="str">
        <x:f>IF(COUNTIFS($F$17:$F$369,"&lt;"&amp;G127,$I$17:$I$369,"&gt;="&amp;H127)+COUNTIFS($F$17:$F$369,"="&amp;G127,$I$17:$I$369,"&gt;"&amp;H127)-IF(OR(G127&gt;F127,I127&gt;H127),1,0)=0,"是","否")</x:f>
        <x:v>否</x:v>
      </x:c>
      <x:c r="M127" s="13" t="n">
        <x:f>1+COUNTIF($H$17:$H$369,"&gt;"&amp;I127)</x:f>
        <x:v>302</x:v>
      </x:c>
      <x:c r="N127" s="13" t="n">
        <x:f>COUNTIF($I$17:$I$369,"&gt;="&amp;H127)</x:f>
        <x:v>319</x:v>
      </x:c>
      <x:c r="O127" s="13" t="str">
        <x:v>I04 Table_1!D808/P808/U808</x:v>
      </x:c>
    </x:row>
    <x:row r="128" ht="24" customHeight="1">
      <x:c r="A128" s="13" t="str">
        <x:v>M85694</x:v>
      </x:c>
      <x:c r="B128" s="13" t="str">
        <x:v>QHL</x:v>
      </x:c>
      <x:c r="C128" s="13" t="n">
        <x:v>52</x:v>
      </x:c>
      <x:c r="D128" s="30" t="n">
        <x:v>88.5</x:v>
      </x:c>
      <x:c r="E128" s="14" t="n">
        <x:f>C128*(1000-ROUND(D128*10,0))/1000</x:f>
        <x:v>5.98</x:v>
      </x:c>
      <x:c r="F128" s="14" t="n">
        <x:f>MAX(0,(ROUND(D128*100,0)-ROUND($B$3*100,0))/100)</x:f>
        <x:v>88.45</x:v>
      </x:c>
      <x:c r="G128" s="14" t="n">
        <x:f>MIN(100,(ROUND(D128*100,0)+ROUND($B$3*100,0))/100)</x:f>
        <x:v>88.55</x:v>
      </x:c>
      <x:c r="H128" s="40" t="n">
        <x:f>C128*(10000-ROUND(G128*100,0))/10000</x:f>
        <x:v>5.954</x:v>
      </x:c>
      <x:c r="I128" s="40" t="n">
        <x:f>C128*(10000-ROUND(F128*100,0))/10000</x:f>
        <x:v>6.006</x:v>
      </x:c>
      <x:c r="J128" s="13" t="str">
        <x:f>IF(COUNTIFS($D$17:$D$369,"&lt;"&amp;D128,$E$17:$E$369,"&gt;="&amp;E128)+COUNTIFS($D$17:$D$369,"="&amp;D128,$E$17:$E$369,"&gt;"&amp;E128)=0,"是","否")</x:f>
        <x:v>否</x:v>
      </x:c>
      <x:c r="K128" s="13" t="str">
        <x:f>IF(COUNTIFS($G$17:$G$369,"&lt;"&amp;F128,$H$17:$H$369,"&gt;="&amp;I128)+COUNTIFS($G$17:$G$369,"="&amp;F128,$H$17:$H$369,"&gt;"&amp;I128)=0,"是","否")</x:f>
        <x:v>否</x:v>
      </x:c>
      <x:c r="L128" s="13" t="str">
        <x:f>IF(COUNTIFS($F$17:$F$369,"&lt;"&amp;G128,$I$17:$I$369,"&gt;="&amp;H128)+COUNTIFS($F$17:$F$369,"="&amp;G128,$I$17:$I$369,"&gt;"&amp;H128)-IF(OR(G128&gt;F128,I128&gt;H128),1,0)=0,"是","否")</x:f>
        <x:v>否</x:v>
      </x:c>
      <x:c r="M128" s="13" t="n">
        <x:f>1+COUNTIF($H$17:$H$369,"&gt;"&amp;I128)</x:f>
        <x:v>286</x:v>
      </x:c>
      <x:c r="N128" s="13" t="n">
        <x:f>COUNTIF($I$17:$I$369,"&gt;="&amp;H128)</x:f>
        <x:v>301</x:v>
      </x:c>
      <x:c r="O128" s="13" t="str">
        <x:v>I04 Table_1!D809/P809/U809</x:v>
      </x:c>
    </x:row>
    <x:row r="129" ht="24" customHeight="1">
      <x:c r="A129" s="13" t="str">
        <x:v>M85697</x:v>
      </x:c>
      <x:c r="B129" s="13" t="str">
        <x:v>QHL</x:v>
      </x:c>
      <x:c r="C129" s="13" t="n">
        <x:v>55</x:v>
      </x:c>
      <x:c r="D129" s="30" t="n">
        <x:v>76.4</x:v>
      </x:c>
      <x:c r="E129" s="14" t="n">
        <x:f>C129*(1000-ROUND(D129*10,0))/1000</x:f>
        <x:v>12.98</x:v>
      </x:c>
      <x:c r="F129" s="14" t="n">
        <x:f>MAX(0,(ROUND(D129*100,0)-ROUND($B$3*100,0))/100)</x:f>
        <x:v>76.35</x:v>
      </x:c>
      <x:c r="G129" s="14" t="n">
        <x:f>MIN(100,(ROUND(D129*100,0)+ROUND($B$3*100,0))/100)</x:f>
        <x:v>76.45</x:v>
      </x:c>
      <x:c r="H129" s="40" t="n">
        <x:f>C129*(10000-ROUND(G129*100,0))/10000</x:f>
        <x:v>12.9525</x:v>
      </x:c>
      <x:c r="I129" s="40" t="n">
        <x:f>C129*(10000-ROUND(F129*100,0))/10000</x:f>
        <x:v>13.0075</x:v>
      </x:c>
      <x:c r="J129" s="13" t="str">
        <x:f>IF(COUNTIFS($D$17:$D$369,"&lt;"&amp;D129,$E$17:$E$369,"&gt;="&amp;E129)+COUNTIFS($D$17:$D$369,"="&amp;D129,$E$17:$E$369,"&gt;"&amp;E129)=0,"是","否")</x:f>
        <x:v>否</x:v>
      </x:c>
      <x:c r="K129" s="13" t="str">
        <x:f>IF(COUNTIFS($G$17:$G$369,"&lt;"&amp;F129,$H$17:$H$369,"&gt;="&amp;I129)+COUNTIFS($G$17:$G$369,"="&amp;F129,$H$17:$H$369,"&gt;"&amp;I129)=0,"是","否")</x:f>
        <x:v>否</x:v>
      </x:c>
      <x:c r="L129" s="13" t="str">
        <x:f>IF(COUNTIFS($F$17:$F$369,"&lt;"&amp;G129,$I$17:$I$369,"&gt;="&amp;H129)+COUNTIFS($F$17:$F$369,"="&amp;G129,$I$17:$I$369,"&gt;"&amp;H129)-IF(OR(G129&gt;F129,I129&gt;H129),1,0)=0,"是","否")</x:f>
        <x:v>否</x:v>
      </x:c>
      <x:c r="M129" s="13" t="n">
        <x:f>1+COUNTIF($H$17:$H$369,"&gt;"&amp;I129)</x:f>
        <x:v>200</x:v>
      </x:c>
      <x:c r="N129" s="13" t="n">
        <x:f>COUNTIF($I$17:$I$369,"&gt;="&amp;H129)</x:f>
        <x:v>212</x:v>
      </x:c>
      <x:c r="O129" s="13" t="str">
        <x:v>I04 Table_1!D810/P810/U810</x:v>
      </x:c>
    </x:row>
    <x:row r="130" ht="24" customHeight="1">
      <x:c r="A130" s="13" t="str">
        <x:v>M85699</x:v>
      </x:c>
      <x:c r="B130" s="13" t="str">
        <x:v>QHL</x:v>
      </x:c>
      <x:c r="C130" s="13" t="n">
        <x:v>68</x:v>
      </x:c>
      <x:c r="D130" s="30" t="n">
        <x:v>80.9</x:v>
      </x:c>
      <x:c r="E130" s="14" t="n">
        <x:f>C130*(1000-ROUND(D130*10,0))/1000</x:f>
        <x:v>12.988</x:v>
      </x:c>
      <x:c r="F130" s="14" t="n">
        <x:f>MAX(0,(ROUND(D130*100,0)-ROUND($B$3*100,0))/100)</x:f>
        <x:v>80.85</x:v>
      </x:c>
      <x:c r="G130" s="14" t="n">
        <x:f>MIN(100,(ROUND(D130*100,0)+ROUND($B$3*100,0))/100)</x:f>
        <x:v>80.95</x:v>
      </x:c>
      <x:c r="H130" s="40" t="n">
        <x:f>C130*(10000-ROUND(G130*100,0))/10000</x:f>
        <x:v>12.954</x:v>
      </x:c>
      <x:c r="I130" s="40" t="n">
        <x:f>C130*(10000-ROUND(F130*100,0))/10000</x:f>
        <x:v>13.022</x:v>
      </x:c>
      <x:c r="J130" s="13" t="str">
        <x:f>IF(COUNTIFS($D$17:$D$369,"&lt;"&amp;D130,$E$17:$E$369,"&gt;="&amp;E130)+COUNTIFS($D$17:$D$369,"="&amp;D130,$E$17:$E$369,"&gt;"&amp;E130)=0,"是","否")</x:f>
        <x:v>否</x:v>
      </x:c>
      <x:c r="K130" s="13" t="str">
        <x:f>IF(COUNTIFS($G$17:$G$369,"&lt;"&amp;F130,$H$17:$H$369,"&gt;="&amp;I130)+COUNTIFS($G$17:$G$369,"="&amp;F130,$H$17:$H$369,"&gt;"&amp;I130)=0,"是","否")</x:f>
        <x:v>否</x:v>
      </x:c>
      <x:c r="L130" s="13" t="str">
        <x:f>IF(COUNTIFS($F$17:$F$369,"&lt;"&amp;G130,$I$17:$I$369,"&gt;="&amp;H130)+COUNTIFS($F$17:$F$369,"="&amp;G130,$I$17:$I$369,"&gt;"&amp;H130)-IF(OR(G130&gt;F130,I130&gt;H130),1,0)=0,"是","否")</x:f>
        <x:v>否</x:v>
      </x:c>
      <x:c r="M130" s="13" t="n">
        <x:f>1+COUNTIF($H$17:$H$369,"&gt;"&amp;I130)</x:f>
        <x:v>200</x:v>
      </x:c>
      <x:c r="N130" s="13" t="n">
        <x:f>COUNTIF($I$17:$I$369,"&gt;="&amp;H130)</x:f>
        <x:v>212</x:v>
      </x:c>
      <x:c r="O130" s="13" t="str">
        <x:v>I04 Table_1!D811/P811/U811</x:v>
      </x:c>
    </x:row>
    <x:row r="131" ht="24" customHeight="1">
      <x:c r="A131" s="13" t="str">
        <x:v>M85701</x:v>
      </x:c>
      <x:c r="B131" s="13" t="str">
        <x:v>QHL</x:v>
      </x:c>
      <x:c r="C131" s="13" t="n">
        <x:v>52</x:v>
      </x:c>
      <x:c r="D131" s="30" t="n">
        <x:v>80.8</x:v>
      </x:c>
      <x:c r="E131" s="14" t="n">
        <x:f>C131*(1000-ROUND(D131*10,0))/1000</x:f>
        <x:v>9.984</x:v>
      </x:c>
      <x:c r="F131" s="14" t="n">
        <x:f>MAX(0,(ROUND(D131*100,0)-ROUND($B$3*100,0))/100)</x:f>
        <x:v>80.75</x:v>
      </x:c>
      <x:c r="G131" s="14" t="n">
        <x:f>MIN(100,(ROUND(D131*100,0)+ROUND($B$3*100,0))/100)</x:f>
        <x:v>80.85</x:v>
      </x:c>
      <x:c r="H131" s="40" t="n">
        <x:f>C131*(10000-ROUND(G131*100,0))/10000</x:f>
        <x:v>9.958</x:v>
      </x:c>
      <x:c r="I131" s="40" t="n">
        <x:f>C131*(10000-ROUND(F131*100,0))/10000</x:f>
        <x:v>10.01</x:v>
      </x:c>
      <x:c r="J131" s="13" t="str">
        <x:f>IF(COUNTIFS($D$17:$D$369,"&lt;"&amp;D131,$E$17:$E$369,"&gt;="&amp;E131)+COUNTIFS($D$17:$D$369,"="&amp;D131,$E$17:$E$369,"&gt;"&amp;E131)=0,"是","否")</x:f>
        <x:v>否</x:v>
      </x:c>
      <x:c r="K131" s="13" t="str">
        <x:f>IF(COUNTIFS($G$17:$G$369,"&lt;"&amp;F131,$H$17:$H$369,"&gt;="&amp;I131)+COUNTIFS($G$17:$G$369,"="&amp;F131,$H$17:$H$369,"&gt;"&amp;I131)=0,"是","否")</x:f>
        <x:v>否</x:v>
      </x:c>
      <x:c r="L131" s="13" t="str">
        <x:f>IF(COUNTIFS($F$17:$F$369,"&lt;"&amp;G131,$I$17:$I$369,"&gt;="&amp;H131)+COUNTIFS($F$17:$F$369,"="&amp;G131,$I$17:$I$369,"&gt;"&amp;H131)-IF(OR(G131&gt;F131,I131&gt;H131),1,0)=0,"是","否")</x:f>
        <x:v>否</x:v>
      </x:c>
      <x:c r="M131" s="13" t="n">
        <x:f>1+COUNTIF($H$17:$H$369,"&gt;"&amp;I131)</x:f>
        <x:v>231</x:v>
      </x:c>
      <x:c r="N131" s="13" t="n">
        <x:f>COUNTIF($I$17:$I$369,"&gt;="&amp;H131)</x:f>
        <x:v>243</x:v>
      </x:c>
      <x:c r="O131" s="13" t="str">
        <x:v>I04 Table_1!D812/P812/U812</x:v>
      </x:c>
    </x:row>
    <x:row r="132" ht="24" customHeight="1">
      <x:c r="A132" s="13" t="str">
        <x:v>M85706</x:v>
      </x:c>
      <x:c r="B132" s="13" t="str">
        <x:v>QHL</x:v>
      </x:c>
      <x:c r="C132" s="13" t="n">
        <x:v>186</x:v>
      </x:c>
      <x:c r="D132" s="30" t="n">
        <x:v>82.3</x:v>
      </x:c>
      <x:c r="E132" s="14" t="n">
        <x:f>C132*(1000-ROUND(D132*10,0))/1000</x:f>
        <x:v>32.922</x:v>
      </x:c>
      <x:c r="F132" s="14" t="n">
        <x:f>MAX(0,(ROUND(D132*100,0)-ROUND($B$3*100,0))/100)</x:f>
        <x:v>82.25</x:v>
      </x:c>
      <x:c r="G132" s="14" t="n">
        <x:f>MIN(100,(ROUND(D132*100,0)+ROUND($B$3*100,0))/100)</x:f>
        <x:v>82.35</x:v>
      </x:c>
      <x:c r="H132" s="40" t="n">
        <x:f>C132*(10000-ROUND(G132*100,0))/10000</x:f>
        <x:v>32.829</x:v>
      </x:c>
      <x:c r="I132" s="40" t="n">
        <x:f>C132*(10000-ROUND(F132*100,0))/10000</x:f>
        <x:v>33.015</x:v>
      </x:c>
      <x:c r="J132" s="13" t="str">
        <x:f>IF(COUNTIFS($D$17:$D$369,"&lt;"&amp;D132,$E$17:$E$369,"&gt;="&amp;E132)+COUNTIFS($D$17:$D$369,"="&amp;D132,$E$17:$E$369,"&gt;"&amp;E132)=0,"是","否")</x:f>
        <x:v>否</x:v>
      </x:c>
      <x:c r="K132" s="13" t="str">
        <x:f>IF(COUNTIFS($G$17:$G$369,"&lt;"&amp;F132,$H$17:$H$369,"&gt;="&amp;I132)+COUNTIFS($G$17:$G$369,"="&amp;F132,$H$17:$H$369,"&gt;"&amp;I132)=0,"是","否")</x:f>
        <x:v>否</x:v>
      </x:c>
      <x:c r="L132" s="13" t="str">
        <x:f>IF(COUNTIFS($F$17:$F$369,"&lt;"&amp;G132,$I$17:$I$369,"&gt;="&amp;H132)+COUNTIFS($F$17:$F$369,"="&amp;G132,$I$17:$I$369,"&gt;"&amp;H132)-IF(OR(G132&gt;F132,I132&gt;H132),1,0)=0,"是","否")</x:f>
        <x:v>否</x:v>
      </x:c>
      <x:c r="M132" s="13" t="n">
        <x:f>1+COUNTIF($H$17:$H$369,"&gt;"&amp;I132)</x:f>
        <x:v>60</x:v>
      </x:c>
      <x:c r="N132" s="13" t="n">
        <x:f>COUNTIF($I$17:$I$369,"&gt;="&amp;H132)</x:f>
        <x:v>63</x:v>
      </x:c>
      <x:c r="O132" s="13" t="str">
        <x:v>I04 Table_1!D813/P813/U813</x:v>
      </x:c>
    </x:row>
    <x:row r="133" ht="24" customHeight="1">
      <x:c r="A133" s="13" t="str">
        <x:v>M85711</x:v>
      </x:c>
      <x:c r="B133" s="13" t="str">
        <x:v>QHL</x:v>
      </x:c>
      <x:c r="C133" s="13" t="n">
        <x:v>43</x:v>
      </x:c>
      <x:c r="D133" s="30" t="n">
        <x:v>67.4</x:v>
      </x:c>
      <x:c r="E133" s="14" t="n">
        <x:f>C133*(1000-ROUND(D133*10,0))/1000</x:f>
        <x:v>14.018</x:v>
      </x:c>
      <x:c r="F133" s="14" t="n">
        <x:f>MAX(0,(ROUND(D133*100,0)-ROUND($B$3*100,0))/100)</x:f>
        <x:v>67.35</x:v>
      </x:c>
      <x:c r="G133" s="14" t="n">
        <x:f>MIN(100,(ROUND(D133*100,0)+ROUND($B$3*100,0))/100)</x:f>
        <x:v>67.45</x:v>
      </x:c>
      <x:c r="H133" s="40" t="n">
        <x:f>C133*(10000-ROUND(G133*100,0))/10000</x:f>
        <x:v>13.9965</x:v>
      </x:c>
      <x:c r="I133" s="40" t="n">
        <x:f>C133*(10000-ROUND(F133*100,0))/10000</x:f>
        <x:v>14.0395</x:v>
      </x:c>
      <x:c r="J133" s="13" t="str">
        <x:f>IF(COUNTIFS($D$17:$D$369,"&lt;"&amp;D133,$E$17:$E$369,"&gt;="&amp;E133)+COUNTIFS($D$17:$D$369,"="&amp;D133,$E$17:$E$369,"&gt;"&amp;E133)=0,"是","否")</x:f>
        <x:v>否</x:v>
      </x:c>
      <x:c r="K133" s="13" t="str">
        <x:f>IF(COUNTIFS($G$17:$G$369,"&lt;"&amp;F133,$H$17:$H$369,"&gt;="&amp;I133)+COUNTIFS($G$17:$G$369,"="&amp;F133,$H$17:$H$369,"&gt;"&amp;I133)=0,"是","否")</x:f>
        <x:v>否</x:v>
      </x:c>
      <x:c r="L133" s="13" t="str">
        <x:f>IF(COUNTIFS($F$17:$F$369,"&lt;"&amp;G133,$I$17:$I$369,"&gt;="&amp;H133)+COUNTIFS($F$17:$F$369,"="&amp;G133,$I$17:$I$369,"&gt;"&amp;H133)-IF(OR(G133&gt;F133,I133&gt;H133),1,0)=0,"是","否")</x:f>
        <x:v>否</x:v>
      </x:c>
      <x:c r="M133" s="13" t="n">
        <x:f>1+COUNTIF($H$17:$H$369,"&gt;"&amp;I133)</x:f>
        <x:v>190</x:v>
      </x:c>
      <x:c r="N133" s="13" t="n">
        <x:f>COUNTIF($I$17:$I$369,"&gt;="&amp;H133)</x:f>
        <x:v>199</x:v>
      </x:c>
      <x:c r="O133" s="13" t="str">
        <x:v>I04 Table_1!D814/P814/U814</x:v>
      </x:c>
    </x:row>
    <x:row r="134" ht="24" customHeight="1">
      <x:c r="A134" s="13" t="str">
        <x:v>M85713</x:v>
      </x:c>
      <x:c r="B134" s="13" t="str">
        <x:v>QHL</x:v>
      </x:c>
      <x:c r="C134" s="13" t="n">
        <x:v>71</x:v>
      </x:c>
      <x:c r="D134" s="30" t="n">
        <x:v>81.7</x:v>
      </x:c>
      <x:c r="E134" s="14" t="n">
        <x:f>C134*(1000-ROUND(D134*10,0))/1000</x:f>
        <x:v>12.993</x:v>
      </x:c>
      <x:c r="F134" s="14" t="n">
        <x:f>MAX(0,(ROUND(D134*100,0)-ROUND($B$3*100,0))/100)</x:f>
        <x:v>81.65</x:v>
      </x:c>
      <x:c r="G134" s="14" t="n">
        <x:f>MIN(100,(ROUND(D134*100,0)+ROUND($B$3*100,0))/100)</x:f>
        <x:v>81.75</x:v>
      </x:c>
      <x:c r="H134" s="40" t="n">
        <x:f>C134*(10000-ROUND(G134*100,0))/10000</x:f>
        <x:v>12.9575</x:v>
      </x:c>
      <x:c r="I134" s="40" t="n">
        <x:f>C134*(10000-ROUND(F134*100,0))/10000</x:f>
        <x:v>13.0285</x:v>
      </x:c>
      <x:c r="J134" s="13" t="str">
        <x:f>IF(COUNTIFS($D$17:$D$369,"&lt;"&amp;D134,$E$17:$E$369,"&gt;="&amp;E134)+COUNTIFS($D$17:$D$369,"="&amp;D134,$E$17:$E$369,"&gt;"&amp;E134)=0,"是","否")</x:f>
        <x:v>否</x:v>
      </x:c>
      <x:c r="K134" s="13" t="str">
        <x:f>IF(COUNTIFS($G$17:$G$369,"&lt;"&amp;F134,$H$17:$H$369,"&gt;="&amp;I134)+COUNTIFS($G$17:$G$369,"="&amp;F134,$H$17:$H$369,"&gt;"&amp;I134)=0,"是","否")</x:f>
        <x:v>否</x:v>
      </x:c>
      <x:c r="L134" s="13" t="str">
        <x:f>IF(COUNTIFS($F$17:$F$369,"&lt;"&amp;G134,$I$17:$I$369,"&gt;="&amp;H134)+COUNTIFS($F$17:$F$369,"="&amp;G134,$I$17:$I$369,"&gt;"&amp;H134)-IF(OR(G134&gt;F134,I134&gt;H134),1,0)=0,"是","否")</x:f>
        <x:v>否</x:v>
      </x:c>
      <x:c r="M134" s="13" t="n">
        <x:f>1+COUNTIF($H$17:$H$369,"&gt;"&amp;I134)</x:f>
        <x:v>200</x:v>
      </x:c>
      <x:c r="N134" s="13" t="n">
        <x:f>COUNTIF($I$17:$I$369,"&gt;="&amp;H134)</x:f>
        <x:v>212</x:v>
      </x:c>
      <x:c r="O134" s="13" t="str">
        <x:v>I04 Table_1!D815/P815/U815</x:v>
      </x:c>
    </x:row>
    <x:row r="135" ht="24" customHeight="1">
      <x:c r="A135" s="13" t="str">
        <x:v>M85715</x:v>
      </x:c>
      <x:c r="B135" s="13" t="str">
        <x:v>QHL</x:v>
      </x:c>
      <x:c r="C135" s="13" t="n">
        <x:v>158</x:v>
      </x:c>
      <x:c r="D135" s="30" t="n">
        <x:v>74.7</x:v>
      </x:c>
      <x:c r="E135" s="14" t="n">
        <x:f>C135*(1000-ROUND(D135*10,0))/1000</x:f>
        <x:v>39.974</x:v>
      </x:c>
      <x:c r="F135" s="14" t="n">
        <x:f>MAX(0,(ROUND(D135*100,0)-ROUND($B$3*100,0))/100)</x:f>
        <x:v>74.65</x:v>
      </x:c>
      <x:c r="G135" s="14" t="n">
        <x:f>MIN(100,(ROUND(D135*100,0)+ROUND($B$3*100,0))/100)</x:f>
        <x:v>74.75</x:v>
      </x:c>
      <x:c r="H135" s="40" t="n">
        <x:f>C135*(10000-ROUND(G135*100,0))/10000</x:f>
        <x:v>39.895</x:v>
      </x:c>
      <x:c r="I135" s="40" t="n">
        <x:f>C135*(10000-ROUND(F135*100,0))/10000</x:f>
        <x:v>40.053</x:v>
      </x:c>
      <x:c r="J135" s="13" t="str">
        <x:f>IF(COUNTIFS($D$17:$D$369,"&lt;"&amp;D135,$E$17:$E$369,"&gt;="&amp;E135)+COUNTIFS($D$17:$D$369,"="&amp;D135,$E$17:$E$369,"&gt;"&amp;E135)=0,"是","否")</x:f>
        <x:v>否</x:v>
      </x:c>
      <x:c r="K135" s="13" t="str">
        <x:f>IF(COUNTIFS($G$17:$G$369,"&lt;"&amp;F135,$H$17:$H$369,"&gt;="&amp;I135)+COUNTIFS($G$17:$G$369,"="&amp;F135,$H$17:$H$369,"&gt;"&amp;I135)=0,"是","否")</x:f>
        <x:v>否</x:v>
      </x:c>
      <x:c r="L135" s="13" t="str">
        <x:f>IF(COUNTIFS($F$17:$F$369,"&lt;"&amp;G135,$I$17:$I$369,"&gt;="&amp;H135)+COUNTIFS($F$17:$F$369,"="&amp;G135,$I$17:$I$369,"&gt;"&amp;H135)-IF(OR(G135&gt;F135,I135&gt;H135),1,0)=0,"是","否")</x:f>
        <x:v>否</x:v>
      </x:c>
      <x:c r="M135" s="13" t="n">
        <x:f>1+COUNTIF($H$17:$H$369,"&gt;"&amp;I135)</x:f>
        <x:v>35</x:v>
      </x:c>
      <x:c r="N135" s="13" t="n">
        <x:f>COUNTIF($I$17:$I$369,"&gt;="&amp;H135)</x:f>
        <x:v>38</x:v>
      </x:c>
      <x:c r="O135" s="13" t="str">
        <x:v>I04 Table_1!D816/P816/U816</x:v>
      </x:c>
    </x:row>
    <x:row r="136" ht="24" customHeight="1">
      <x:c r="A136" s="13" t="str">
        <x:v>M85716</x:v>
      </x:c>
      <x:c r="B136" s="13" t="str">
        <x:v>QHL</x:v>
      </x:c>
      <x:c r="C136" s="13" t="n">
        <x:v>63</x:v>
      </x:c>
      <x:c r="D136" s="30" t="n">
        <x:v>68.3</x:v>
      </x:c>
      <x:c r="E136" s="14" t="n">
        <x:f>C136*(1000-ROUND(D136*10,0))/1000</x:f>
        <x:v>19.971</x:v>
      </x:c>
      <x:c r="F136" s="14" t="n">
        <x:f>MAX(0,(ROUND(D136*100,0)-ROUND($B$3*100,0))/100)</x:f>
        <x:v>68.25</x:v>
      </x:c>
      <x:c r="G136" s="14" t="n">
        <x:f>MIN(100,(ROUND(D136*100,0)+ROUND($B$3*100,0))/100)</x:f>
        <x:v>68.35</x:v>
      </x:c>
      <x:c r="H136" s="40" t="n">
        <x:f>C136*(10000-ROUND(G136*100,0))/10000</x:f>
        <x:v>19.9395</x:v>
      </x:c>
      <x:c r="I136" s="40" t="n">
        <x:f>C136*(10000-ROUND(F136*100,0))/10000</x:f>
        <x:v>20.0025</x:v>
      </x:c>
      <x:c r="J136" s="13" t="str">
        <x:f>IF(COUNTIFS($D$17:$D$369,"&lt;"&amp;D136,$E$17:$E$369,"&gt;="&amp;E136)+COUNTIFS($D$17:$D$369,"="&amp;D136,$E$17:$E$369,"&gt;"&amp;E136)=0,"是","否")</x:f>
        <x:v>否</x:v>
      </x:c>
      <x:c r="K136" s="13" t="str">
        <x:f>IF(COUNTIFS($G$17:$G$369,"&lt;"&amp;F136,$H$17:$H$369,"&gt;="&amp;I136)+COUNTIFS($G$17:$G$369,"="&amp;F136,$H$17:$H$369,"&gt;"&amp;I136)=0,"是","否")</x:f>
        <x:v>否</x:v>
      </x:c>
      <x:c r="L136" s="13" t="str">
        <x:f>IF(COUNTIFS($F$17:$F$369,"&lt;"&amp;G136,$I$17:$I$369,"&gt;="&amp;H136)+COUNTIFS($F$17:$F$369,"="&amp;G136,$I$17:$I$369,"&gt;"&amp;H136)-IF(OR(G136&gt;F136,I136&gt;H136),1,0)=0,"是","否")</x:f>
        <x:v>否</x:v>
      </x:c>
      <x:c r="M136" s="13" t="n">
        <x:f>1+COUNTIF($H$17:$H$369,"&gt;"&amp;I136)</x:f>
        <x:v>130</x:v>
      </x:c>
      <x:c r="N136" s="13" t="n">
        <x:f>COUNTIF($I$17:$I$369,"&gt;="&amp;H136)</x:f>
        <x:v>141</x:v>
      </x:c>
      <x:c r="O136" s="13" t="str">
        <x:v>I04 Table_1!D817/P817/U817</x:v>
      </x:c>
    </x:row>
    <x:row r="137" ht="24" customHeight="1">
      <x:c r="A137" s="13" t="str">
        <x:v>M85717</x:v>
      </x:c>
      <x:c r="B137" s="13" t="str">
        <x:v>QHL</x:v>
      </x:c>
      <x:c r="C137" s="13" t="n">
        <x:v>62</x:v>
      </x:c>
      <x:c r="D137" s="30" t="n">
        <x:v>75.8</x:v>
      </x:c>
      <x:c r="E137" s="14" t="n">
        <x:f>C137*(1000-ROUND(D137*10,0))/1000</x:f>
        <x:v>15.004</x:v>
      </x:c>
      <x:c r="F137" s="14" t="n">
        <x:f>MAX(0,(ROUND(D137*100,0)-ROUND($B$3*100,0))/100)</x:f>
        <x:v>75.75</x:v>
      </x:c>
      <x:c r="G137" s="14" t="n">
        <x:f>MIN(100,(ROUND(D137*100,0)+ROUND($B$3*100,0))/100)</x:f>
        <x:v>75.85</x:v>
      </x:c>
      <x:c r="H137" s="40" t="n">
        <x:f>C137*(10000-ROUND(G137*100,0))/10000</x:f>
        <x:v>14.973</x:v>
      </x:c>
      <x:c r="I137" s="40" t="n">
        <x:f>C137*(10000-ROUND(F137*100,0))/10000</x:f>
        <x:v>15.035</x:v>
      </x:c>
      <x:c r="J137" s="13" t="str">
        <x:f>IF(COUNTIFS($D$17:$D$369,"&lt;"&amp;D137,$E$17:$E$369,"&gt;="&amp;E137)+COUNTIFS($D$17:$D$369,"="&amp;D137,$E$17:$E$369,"&gt;"&amp;E137)=0,"是","否")</x:f>
        <x:v>否</x:v>
      </x:c>
      <x:c r="K137" s="13" t="str">
        <x:f>IF(COUNTIFS($G$17:$G$369,"&lt;"&amp;F137,$H$17:$H$369,"&gt;="&amp;I137)+COUNTIFS($G$17:$G$369,"="&amp;F137,$H$17:$H$369,"&gt;"&amp;I137)=0,"是","否")</x:f>
        <x:v>否</x:v>
      </x:c>
      <x:c r="L137" s="13" t="str">
        <x:f>IF(COUNTIFS($F$17:$F$369,"&lt;"&amp;G137,$I$17:$I$369,"&gt;="&amp;H137)+COUNTIFS($F$17:$F$369,"="&amp;G137,$I$17:$I$369,"&gt;"&amp;H137)-IF(OR(G137&gt;F137,I137&gt;H137),1,0)=0,"是","否")</x:f>
        <x:v>否</x:v>
      </x:c>
      <x:c r="M137" s="13" t="n">
        <x:f>1+COUNTIF($H$17:$H$369,"&gt;"&amp;I137)</x:f>
        <x:v>177</x:v>
      </x:c>
      <x:c r="N137" s="13" t="n">
        <x:f>COUNTIF($I$17:$I$369,"&gt;="&amp;H137)</x:f>
        <x:v>189</x:v>
      </x:c>
      <x:c r="O137" s="13" t="str">
        <x:v>I04 Table_1!D818/P818/U818</x:v>
      </x:c>
    </x:row>
    <x:row r="138" ht="24" customHeight="1">
      <x:c r="A138" s="13" t="str">
        <x:v>M85721</x:v>
      </x:c>
      <x:c r="B138" s="13" t="str">
        <x:v>QHL</x:v>
      </x:c>
      <x:c r="C138" s="13" t="n">
        <x:v>88</x:v>
      </x:c>
      <x:c r="D138" s="30" t="n">
        <x:v>79.5</x:v>
      </x:c>
      <x:c r="E138" s="14" t="n">
        <x:f>C138*(1000-ROUND(D138*10,0))/1000</x:f>
        <x:v>18.04</x:v>
      </x:c>
      <x:c r="F138" s="14" t="n">
        <x:f>MAX(0,(ROUND(D138*100,0)-ROUND($B$3*100,0))/100)</x:f>
        <x:v>79.45</x:v>
      </x:c>
      <x:c r="G138" s="14" t="n">
        <x:f>MIN(100,(ROUND(D138*100,0)+ROUND($B$3*100,0))/100)</x:f>
        <x:v>79.55</x:v>
      </x:c>
      <x:c r="H138" s="40" t="n">
        <x:f>C138*(10000-ROUND(G138*100,0))/10000</x:f>
        <x:v>17.996</x:v>
      </x:c>
      <x:c r="I138" s="40" t="n">
        <x:f>C138*(10000-ROUND(F138*100,0))/10000</x:f>
        <x:v>18.084</x:v>
      </x:c>
      <x:c r="J138" s="13" t="str">
        <x:f>IF(COUNTIFS($D$17:$D$369,"&lt;"&amp;D138,$E$17:$E$369,"&gt;="&amp;E138)+COUNTIFS($D$17:$D$369,"="&amp;D138,$E$17:$E$369,"&gt;"&amp;E138)=0,"是","否")</x:f>
        <x:v>否</x:v>
      </x:c>
      <x:c r="K138" s="13" t="str">
        <x:f>IF(COUNTIFS($G$17:$G$369,"&lt;"&amp;F138,$H$17:$H$369,"&gt;="&amp;I138)+COUNTIFS($G$17:$G$369,"="&amp;F138,$H$17:$H$369,"&gt;"&amp;I138)=0,"是","否")</x:f>
        <x:v>否</x:v>
      </x:c>
      <x:c r="L138" s="13" t="str">
        <x:f>IF(COUNTIFS($F$17:$F$369,"&lt;"&amp;G138,$I$17:$I$369,"&gt;="&amp;H138)+COUNTIFS($F$17:$F$369,"="&amp;G138,$I$17:$I$369,"&gt;"&amp;H138)-IF(OR(G138&gt;F138,I138&gt;H138),1,0)=0,"是","否")</x:f>
        <x:v>否</x:v>
      </x:c>
      <x:c r="M138" s="13" t="n">
        <x:f>1+COUNTIF($H$17:$H$369,"&gt;"&amp;I138)</x:f>
        <x:v>152</x:v>
      </x:c>
      <x:c r="N138" s="13" t="n">
        <x:f>COUNTIF($I$17:$I$369,"&gt;="&amp;H138)</x:f>
        <x:v>157</x:v>
      </x:c>
      <x:c r="O138" s="13" t="str">
        <x:v>I04 Table_1!D819/P819/U819</x:v>
      </x:c>
    </x:row>
    <x:row r="139" ht="24" customHeight="1">
      <x:c r="A139" s="13" t="str">
        <x:v>M85722</x:v>
      </x:c>
      <x:c r="B139" s="13" t="str">
        <x:v>QHL</x:v>
      </x:c>
      <x:c r="C139" s="13" t="n">
        <x:v>80</x:v>
      </x:c>
      <x:c r="D139" s="30" t="n">
        <x:v>28.7</x:v>
      </x:c>
      <x:c r="E139" s="14" t="n">
        <x:f>C139*(1000-ROUND(D139*10,0))/1000</x:f>
        <x:v>57.04</x:v>
      </x:c>
      <x:c r="F139" s="14" t="n">
        <x:f>MAX(0,(ROUND(D139*100,0)-ROUND($B$3*100,0))/100)</x:f>
        <x:v>28.65</x:v>
      </x:c>
      <x:c r="G139" s="14" t="n">
        <x:f>MIN(100,(ROUND(D139*100,0)+ROUND($B$3*100,0))/100)</x:f>
        <x:v>28.75</x:v>
      </x:c>
      <x:c r="H139" s="40" t="n">
        <x:f>C139*(10000-ROUND(G139*100,0))/10000</x:f>
        <x:v>57</x:v>
      </x:c>
      <x:c r="I139" s="40" t="n">
        <x:f>C139*(10000-ROUND(F139*100,0))/10000</x:f>
        <x:v>57.08</x:v>
      </x:c>
      <x:c r="J139" s="13" t="str">
        <x:f>IF(COUNTIFS($D$17:$D$369,"&lt;"&amp;D139,$E$17:$E$369,"&gt;="&amp;E139)+COUNTIFS($D$17:$D$369,"="&amp;D139,$E$17:$E$369,"&gt;"&amp;E139)=0,"是","否")</x:f>
        <x:v>是</x:v>
      </x:c>
      <x:c r="K139" s="13" t="str">
        <x:f>IF(COUNTIFS($G$17:$G$369,"&lt;"&amp;F139,$H$17:$H$369,"&gt;="&amp;I139)+COUNTIFS($G$17:$G$369,"="&amp;F139,$H$17:$H$369,"&gt;"&amp;I139)=0,"是","否")</x:f>
        <x:v>是</x:v>
      </x:c>
      <x:c r="L139" s="13" t="str">
        <x:f>IF(COUNTIFS($F$17:$F$369,"&lt;"&amp;G139,$I$17:$I$369,"&gt;="&amp;H139)+COUNTIFS($F$17:$F$369,"="&amp;G139,$I$17:$I$369,"&gt;"&amp;H139)-IF(OR(G139&gt;F139,I139&gt;H139),1,0)=0,"是","否")</x:f>
        <x:v>是</x:v>
      </x:c>
      <x:c r="M139" s="13" t="n">
        <x:f>1+COUNTIF($H$17:$H$369,"&gt;"&amp;I139)</x:f>
        <x:v>17</x:v>
      </x:c>
      <x:c r="N139" s="13" t="n">
        <x:f>COUNTIF($I$17:$I$369,"&gt;="&amp;H139)</x:f>
        <x:v>18</x:v>
      </x:c>
      <x:c r="O139" s="13" t="str">
        <x:v>I04 Table_1!D820/P820/U820</x:v>
      </x:c>
    </x:row>
    <x:row r="140" ht="24" customHeight="1">
      <x:c r="A140" s="13" t="str">
        <x:v>M85730</x:v>
      </x:c>
      <x:c r="B140" s="13" t="str">
        <x:v>QHL</x:v>
      </x:c>
      <x:c r="C140" s="13" t="n">
        <x:v>74</x:v>
      </x:c>
      <x:c r="D140" s="30" t="n">
        <x:v>83.8</x:v>
      </x:c>
      <x:c r="E140" s="14" t="n">
        <x:f>C140*(1000-ROUND(D140*10,0))/1000</x:f>
        <x:v>11.988</x:v>
      </x:c>
      <x:c r="F140" s="14" t="n">
        <x:f>MAX(0,(ROUND(D140*100,0)-ROUND($B$3*100,0))/100)</x:f>
        <x:v>83.75</x:v>
      </x:c>
      <x:c r="G140" s="14" t="n">
        <x:f>MIN(100,(ROUND(D140*100,0)+ROUND($B$3*100,0))/100)</x:f>
        <x:v>83.85</x:v>
      </x:c>
      <x:c r="H140" s="40" t="n">
        <x:f>C140*(10000-ROUND(G140*100,0))/10000</x:f>
        <x:v>11.951</x:v>
      </x:c>
      <x:c r="I140" s="40" t="n">
        <x:f>C140*(10000-ROUND(F140*100,0))/10000</x:f>
        <x:v>12.025</x:v>
      </x:c>
      <x:c r="J140" s="13" t="str">
        <x:f>IF(COUNTIFS($D$17:$D$369,"&lt;"&amp;D140,$E$17:$E$369,"&gt;="&amp;E140)+COUNTIFS($D$17:$D$369,"="&amp;D140,$E$17:$E$369,"&gt;"&amp;E140)=0,"是","否")</x:f>
        <x:v>否</x:v>
      </x:c>
      <x:c r="K140" s="13" t="str">
        <x:f>IF(COUNTIFS($G$17:$G$369,"&lt;"&amp;F140,$H$17:$H$369,"&gt;="&amp;I140)+COUNTIFS($G$17:$G$369,"="&amp;F140,$H$17:$H$369,"&gt;"&amp;I140)=0,"是","否")</x:f>
        <x:v>否</x:v>
      </x:c>
      <x:c r="L140" s="13" t="str">
        <x:f>IF(COUNTIFS($F$17:$F$369,"&lt;"&amp;G140,$I$17:$I$369,"&gt;="&amp;H140)+COUNTIFS($F$17:$F$369,"="&amp;G140,$I$17:$I$369,"&gt;"&amp;H140)-IF(OR(G140&gt;F140,I140&gt;H140),1,0)=0,"是","否")</x:f>
        <x:v>否</x:v>
      </x:c>
      <x:c r="M140" s="13" t="n">
        <x:f>1+COUNTIF($H$17:$H$369,"&gt;"&amp;I140)</x:f>
        <x:v>213</x:v>
      </x:c>
      <x:c r="N140" s="13" t="n">
        <x:f>COUNTIF($I$17:$I$369,"&gt;="&amp;H140)</x:f>
        <x:v>221</x:v>
      </x:c>
      <x:c r="O140" s="13" t="str">
        <x:v>I04 Table_1!D821/P821/U821</x:v>
      </x:c>
    </x:row>
    <x:row r="141" ht="24" customHeight="1">
      <x:c r="A141" s="13" t="str">
        <x:v>M85732</x:v>
      </x:c>
      <x:c r="B141" s="13" t="str">
        <x:v>QHL</x:v>
      </x:c>
      <x:c r="C141" s="13" t="n">
        <x:v>14</x:v>
      </x:c>
      <x:c r="D141" s="30" t="n">
        <x:v>42.9</x:v>
      </x:c>
      <x:c r="E141" s="14" t="n">
        <x:f>C141*(1000-ROUND(D141*10,0))/1000</x:f>
        <x:v>7.994</x:v>
      </x:c>
      <x:c r="F141" s="14" t="n">
        <x:f>MAX(0,(ROUND(D141*100,0)-ROUND($B$3*100,0))/100)</x:f>
        <x:v>42.85</x:v>
      </x:c>
      <x:c r="G141" s="14" t="n">
        <x:f>MIN(100,(ROUND(D141*100,0)+ROUND($B$3*100,0))/100)</x:f>
        <x:v>42.95</x:v>
      </x:c>
      <x:c r="H141" s="40" t="n">
        <x:f>C141*(10000-ROUND(G141*100,0))/10000</x:f>
        <x:v>7.987</x:v>
      </x:c>
      <x:c r="I141" s="40" t="n">
        <x:f>C141*(10000-ROUND(F141*100,0))/10000</x:f>
        <x:v>8.001</x:v>
      </x:c>
      <x:c r="J141" s="13" t="str">
        <x:f>IF(COUNTIFS($D$17:$D$369,"&lt;"&amp;D141,$E$17:$E$369,"&gt;="&amp;E141)+COUNTIFS($D$17:$D$369,"="&amp;D141,$E$17:$E$369,"&gt;"&amp;E141)=0,"是","否")</x:f>
        <x:v>否</x:v>
      </x:c>
      <x:c r="K141" s="13" t="str">
        <x:f>IF(COUNTIFS($G$17:$G$369,"&lt;"&amp;F141,$H$17:$H$369,"&gt;="&amp;I141)+COUNTIFS($G$17:$G$369,"="&amp;F141,$H$17:$H$369,"&gt;"&amp;I141)=0,"是","否")</x:f>
        <x:v>否</x:v>
      </x:c>
      <x:c r="L141" s="13" t="str">
        <x:f>IF(COUNTIFS($F$17:$F$369,"&lt;"&amp;G141,$I$17:$I$369,"&gt;="&amp;H141)+COUNTIFS($F$17:$F$369,"="&amp;G141,$I$17:$I$369,"&gt;"&amp;H141)-IF(OR(G141&gt;F141,I141&gt;H141),1,0)=0,"是","否")</x:f>
        <x:v>否</x:v>
      </x:c>
      <x:c r="M141" s="13" t="n">
        <x:f>1+COUNTIF($H$17:$H$369,"&gt;"&amp;I141)</x:f>
        <x:v>257</x:v>
      </x:c>
      <x:c r="N141" s="13" t="n">
        <x:f>COUNTIF($I$17:$I$369,"&gt;="&amp;H141)</x:f>
        <x:v>271</x:v>
      </x:c>
      <x:c r="O141" s="13" t="str">
        <x:v>I04 Table_1!D822/P822/U822</x:v>
      </x:c>
    </x:row>
    <x:row r="142" ht="24" customHeight="1">
      <x:c r="A142" s="13" t="str">
        <x:v>M85733</x:v>
      </x:c>
      <x:c r="B142" s="13" t="str">
        <x:v>QHL</x:v>
      </x:c>
      <x:c r="C142" s="13" t="n">
        <x:v>91</x:v>
      </x:c>
      <x:c r="D142" s="30" t="n">
        <x:v>79.1</x:v>
      </x:c>
      <x:c r="E142" s="14" t="n">
        <x:f>C142*(1000-ROUND(D142*10,0))/1000</x:f>
        <x:v>19.019</x:v>
      </x:c>
      <x:c r="F142" s="14" t="n">
        <x:f>MAX(0,(ROUND(D142*100,0)-ROUND($B$3*100,0))/100)</x:f>
        <x:v>79.05</x:v>
      </x:c>
      <x:c r="G142" s="14" t="n">
        <x:f>MIN(100,(ROUND(D142*100,0)+ROUND($B$3*100,0))/100)</x:f>
        <x:v>79.15</x:v>
      </x:c>
      <x:c r="H142" s="40" t="n">
        <x:f>C142*(10000-ROUND(G142*100,0))/10000</x:f>
        <x:v>18.9735</x:v>
      </x:c>
      <x:c r="I142" s="40" t="n">
        <x:f>C142*(10000-ROUND(F142*100,0))/10000</x:f>
        <x:v>19.0645</x:v>
      </x:c>
      <x:c r="J142" s="13" t="str">
        <x:f>IF(COUNTIFS($D$17:$D$369,"&lt;"&amp;D142,$E$17:$E$369,"&gt;="&amp;E142)+COUNTIFS($D$17:$D$369,"="&amp;D142,$E$17:$E$369,"&gt;"&amp;E142)=0,"是","否")</x:f>
        <x:v>否</x:v>
      </x:c>
      <x:c r="K142" s="13" t="str">
        <x:f>IF(COUNTIFS($G$17:$G$369,"&lt;"&amp;F142,$H$17:$H$369,"&gt;="&amp;I142)+COUNTIFS($G$17:$G$369,"="&amp;F142,$H$17:$H$369,"&gt;"&amp;I142)=0,"是","否")</x:f>
        <x:v>否</x:v>
      </x:c>
      <x:c r="L142" s="13" t="str">
        <x:f>IF(COUNTIFS($F$17:$F$369,"&lt;"&amp;G142,$I$17:$I$369,"&gt;="&amp;H142)+COUNTIFS($F$17:$F$369,"="&amp;G142,$I$17:$I$369,"&gt;"&amp;H142)-IF(OR(G142&gt;F142,I142&gt;H142),1,0)=0,"是","否")</x:f>
        <x:v>否</x:v>
      </x:c>
      <x:c r="M142" s="13" t="n">
        <x:f>1+COUNTIF($H$17:$H$369,"&gt;"&amp;I142)</x:f>
        <x:v>142</x:v>
      </x:c>
      <x:c r="N142" s="13" t="n">
        <x:f>COUNTIF($I$17:$I$369,"&gt;="&amp;H142)</x:f>
        <x:v>151</x:v>
      </x:c>
      <x:c r="O142" s="13" t="str">
        <x:v>I04 Table_1!D823/P823/U823</x:v>
      </x:c>
    </x:row>
    <x:row r="143" ht="24" customHeight="1">
      <x:c r="A143" s="13" t="str">
        <x:v>M85735</x:v>
      </x:c>
      <x:c r="B143" s="13" t="str">
        <x:v>QHL</x:v>
      </x:c>
      <x:c r="C143" s="13" t="n">
        <x:v>101</x:v>
      </x:c>
      <x:c r="D143" s="30" t="n">
        <x:v>77.2</x:v>
      </x:c>
      <x:c r="E143" s="14" t="n">
        <x:f>C143*(1000-ROUND(D143*10,0))/1000</x:f>
        <x:v>23.028</x:v>
      </x:c>
      <x:c r="F143" s="14" t="n">
        <x:f>MAX(0,(ROUND(D143*100,0)-ROUND($B$3*100,0))/100)</x:f>
        <x:v>77.15</x:v>
      </x:c>
      <x:c r="G143" s="14" t="n">
        <x:f>MIN(100,(ROUND(D143*100,0)+ROUND($B$3*100,0))/100)</x:f>
        <x:v>77.25</x:v>
      </x:c>
      <x:c r="H143" s="40" t="n">
        <x:f>C143*(10000-ROUND(G143*100,0))/10000</x:f>
        <x:v>22.9775</x:v>
      </x:c>
      <x:c r="I143" s="40" t="n">
        <x:f>C143*(10000-ROUND(F143*100,0))/10000</x:f>
        <x:v>23.0785</x:v>
      </x:c>
      <x:c r="J143" s="13" t="str">
        <x:f>IF(COUNTIFS($D$17:$D$369,"&lt;"&amp;D143,$E$17:$E$369,"&gt;="&amp;E143)+COUNTIFS($D$17:$D$369,"="&amp;D143,$E$17:$E$369,"&gt;"&amp;E143)=0,"是","否")</x:f>
        <x:v>否</x:v>
      </x:c>
      <x:c r="K143" s="13" t="str">
        <x:f>IF(COUNTIFS($G$17:$G$369,"&lt;"&amp;F143,$H$17:$H$369,"&gt;="&amp;I143)+COUNTIFS($G$17:$G$369,"="&amp;F143,$H$17:$H$369,"&gt;"&amp;I143)=0,"是","否")</x:f>
        <x:v>否</x:v>
      </x:c>
      <x:c r="L143" s="13" t="str">
        <x:f>IF(COUNTIFS($F$17:$F$369,"&lt;"&amp;G143,$I$17:$I$369,"&gt;="&amp;H143)+COUNTIFS($F$17:$F$369,"="&amp;G143,$I$17:$I$369,"&gt;"&amp;H143)-IF(OR(G143&gt;F143,I143&gt;H143),1,0)=0,"是","否")</x:f>
        <x:v>否</x:v>
      </x:c>
      <x:c r="M143" s="13" t="n">
        <x:f>1+COUNTIF($H$17:$H$369,"&gt;"&amp;I143)</x:f>
        <x:v>112</x:v>
      </x:c>
      <x:c r="N143" s="13" t="n">
        <x:f>COUNTIF($I$17:$I$369,"&gt;="&amp;H143)</x:f>
        <x:v>119</x:v>
      </x:c>
      <x:c r="O143" s="13" t="str">
        <x:v>I04 Table_1!D824/P824/U824</x:v>
      </x:c>
    </x:row>
    <x:row r="144" ht="24" customHeight="1">
      <x:c r="A144" s="13" t="str">
        <x:v>M85736</x:v>
      </x:c>
      <x:c r="B144" s="13" t="str">
        <x:v>QHL</x:v>
      </x:c>
      <x:c r="C144" s="13" t="n">
        <x:v>80</x:v>
      </x:c>
      <x:c r="D144" s="30" t="n">
        <x:v>70</x:v>
      </x:c>
      <x:c r="E144" s="14" t="n">
        <x:f>C144*(1000-ROUND(D144*10,0))/1000</x:f>
        <x:v>24</x:v>
      </x:c>
      <x:c r="F144" s="14" t="n">
        <x:f>MAX(0,(ROUND(D144*100,0)-ROUND($B$3*100,0))/100)</x:f>
        <x:v>69.95</x:v>
      </x:c>
      <x:c r="G144" s="14" t="n">
        <x:f>MIN(100,(ROUND(D144*100,0)+ROUND($B$3*100,0))/100)</x:f>
        <x:v>70.05</x:v>
      </x:c>
      <x:c r="H144" s="40" t="n">
        <x:f>C144*(10000-ROUND(G144*100,0))/10000</x:f>
        <x:v>23.96</x:v>
      </x:c>
      <x:c r="I144" s="40" t="n">
        <x:f>C144*(10000-ROUND(F144*100,0))/10000</x:f>
        <x:v>24.04</x:v>
      </x:c>
      <x:c r="J144" s="13" t="str">
        <x:f>IF(COUNTIFS($D$17:$D$369,"&lt;"&amp;D144,$E$17:$E$369,"&gt;="&amp;E144)+COUNTIFS($D$17:$D$369,"="&amp;D144,$E$17:$E$369,"&gt;"&amp;E144)=0,"是","否")</x:f>
        <x:v>否</x:v>
      </x:c>
      <x:c r="K144" s="13" t="str">
        <x:f>IF(COUNTIFS($G$17:$G$369,"&lt;"&amp;F144,$H$17:$H$369,"&gt;="&amp;I144)+COUNTIFS($G$17:$G$369,"="&amp;F144,$H$17:$H$369,"&gt;"&amp;I144)=0,"是","否")</x:f>
        <x:v>否</x:v>
      </x:c>
      <x:c r="L144" s="13" t="str">
        <x:f>IF(COUNTIFS($F$17:$F$369,"&lt;"&amp;G144,$I$17:$I$369,"&gt;="&amp;H144)+COUNTIFS($F$17:$F$369,"="&amp;G144,$I$17:$I$369,"&gt;"&amp;H144)-IF(OR(G144&gt;F144,I144&gt;H144),1,0)=0,"是","否")</x:f>
        <x:v>否</x:v>
      </x:c>
      <x:c r="M144" s="13" t="n">
        <x:f>1+COUNTIF($H$17:$H$369,"&gt;"&amp;I144)</x:f>
        <x:v>101</x:v>
      </x:c>
      <x:c r="N144" s="13" t="n">
        <x:f>COUNTIF($I$17:$I$369,"&gt;="&amp;H144)</x:f>
        <x:v>111</x:v>
      </x:c>
      <x:c r="O144" s="13" t="str">
        <x:v>I04 Table_1!D825/P825/U825</x:v>
      </x:c>
    </x:row>
    <x:row r="145" ht="24" customHeight="1">
      <x:c r="A145" s="13" t="str">
        <x:v>M85739</x:v>
      </x:c>
      <x:c r="B145" s="13" t="str">
        <x:v>QHL</x:v>
      </x:c>
      <x:c r="C145" s="13" t="n">
        <x:v>71</x:v>
      </x:c>
      <x:c r="D145" s="30" t="n">
        <x:v>62</x:v>
      </x:c>
      <x:c r="E145" s="14" t="n">
        <x:f>C145*(1000-ROUND(D145*10,0))/1000</x:f>
        <x:v>26.98</x:v>
      </x:c>
      <x:c r="F145" s="14" t="n">
        <x:f>MAX(0,(ROUND(D145*100,0)-ROUND($B$3*100,0))/100)</x:f>
        <x:v>61.95</x:v>
      </x:c>
      <x:c r="G145" s="14" t="n">
        <x:f>MIN(100,(ROUND(D145*100,0)+ROUND($B$3*100,0))/100)</x:f>
        <x:v>62.05</x:v>
      </x:c>
      <x:c r="H145" s="40" t="n">
        <x:f>C145*(10000-ROUND(G145*100,0))/10000</x:f>
        <x:v>26.9445</x:v>
      </x:c>
      <x:c r="I145" s="40" t="n">
        <x:f>C145*(10000-ROUND(F145*100,0))/10000</x:f>
        <x:v>27.0155</x:v>
      </x:c>
      <x:c r="J145" s="13" t="str">
        <x:f>IF(COUNTIFS($D$17:$D$369,"&lt;"&amp;D145,$E$17:$E$369,"&gt;="&amp;E145)+COUNTIFS($D$17:$D$369,"="&amp;D145,$E$17:$E$369,"&gt;"&amp;E145)=0,"是","否")</x:f>
        <x:v>否</x:v>
      </x:c>
      <x:c r="K145" s="13" t="str">
        <x:f>IF(COUNTIFS($G$17:$G$369,"&lt;"&amp;F145,$H$17:$H$369,"&gt;="&amp;I145)+COUNTIFS($G$17:$G$369,"="&amp;F145,$H$17:$H$369,"&gt;"&amp;I145)=0,"是","否")</x:f>
        <x:v>否</x:v>
      </x:c>
      <x:c r="L145" s="13" t="str">
        <x:f>IF(COUNTIFS($F$17:$F$369,"&lt;"&amp;G145,$I$17:$I$369,"&gt;="&amp;H145)+COUNTIFS($F$17:$F$369,"="&amp;G145,$I$17:$I$369,"&gt;"&amp;H145)-IF(OR(G145&gt;F145,I145&gt;H145),1,0)=0,"是","否")</x:f>
        <x:v>否</x:v>
      </x:c>
      <x:c r="M145" s="13" t="n">
        <x:f>1+COUNTIF($H$17:$H$369,"&gt;"&amp;I145)</x:f>
        <x:v>89</x:v>
      </x:c>
      <x:c r="N145" s="13" t="n">
        <x:f>COUNTIF($I$17:$I$369,"&gt;="&amp;H145)</x:f>
        <x:v>92</x:v>
      </x:c>
      <x:c r="O145" s="13" t="str">
        <x:v>I04 Table_1!D826/P826/U826</x:v>
      </x:c>
    </x:row>
    <x:row r="146" ht="24" customHeight="1">
      <x:c r="A146" s="13" t="str">
        <x:v>M85746</x:v>
      </x:c>
      <x:c r="B146" s="13" t="str">
        <x:v>QHL</x:v>
      </x:c>
      <x:c r="C146" s="13" t="n">
        <x:v>77</x:v>
      </x:c>
      <x:c r="D146" s="30" t="n">
        <x:v>77.9</x:v>
      </x:c>
      <x:c r="E146" s="14" t="n">
        <x:f>C146*(1000-ROUND(D146*10,0))/1000</x:f>
        <x:v>17.017</x:v>
      </x:c>
      <x:c r="F146" s="14" t="n">
        <x:f>MAX(0,(ROUND(D146*100,0)-ROUND($B$3*100,0))/100)</x:f>
        <x:v>77.85</x:v>
      </x:c>
      <x:c r="G146" s="14" t="n">
        <x:f>MIN(100,(ROUND(D146*100,0)+ROUND($B$3*100,0))/100)</x:f>
        <x:v>77.95</x:v>
      </x:c>
      <x:c r="H146" s="40" t="n">
        <x:f>C146*(10000-ROUND(G146*100,0))/10000</x:f>
        <x:v>16.9785</x:v>
      </x:c>
      <x:c r="I146" s="40" t="n">
        <x:f>C146*(10000-ROUND(F146*100,0))/10000</x:f>
        <x:v>17.0555</x:v>
      </x:c>
      <x:c r="J146" s="13" t="str">
        <x:f>IF(COUNTIFS($D$17:$D$369,"&lt;"&amp;D146,$E$17:$E$369,"&gt;="&amp;E146)+COUNTIFS($D$17:$D$369,"="&amp;D146,$E$17:$E$369,"&gt;"&amp;E146)=0,"是","否")</x:f>
        <x:v>否</x:v>
      </x:c>
      <x:c r="K146" s="13" t="str">
        <x:f>IF(COUNTIFS($G$17:$G$369,"&lt;"&amp;F146,$H$17:$H$369,"&gt;="&amp;I146)+COUNTIFS($G$17:$G$369,"="&amp;F146,$H$17:$H$369,"&gt;"&amp;I146)=0,"是","否")</x:f>
        <x:v>否</x:v>
      </x:c>
      <x:c r="L146" s="13" t="str">
        <x:f>IF(COUNTIFS($F$17:$F$369,"&lt;"&amp;G146,$I$17:$I$369,"&gt;="&amp;H146)+COUNTIFS($F$17:$F$369,"="&amp;G146,$I$17:$I$369,"&gt;"&amp;H146)-IF(OR(G146&gt;F146,I146&gt;H146),1,0)=0,"是","否")</x:f>
        <x:v>否</x:v>
      </x:c>
      <x:c r="M146" s="13" t="n">
        <x:f>1+COUNTIF($H$17:$H$369,"&gt;"&amp;I146)</x:f>
        <x:v>158</x:v>
      </x:c>
      <x:c r="N146" s="13" t="n">
        <x:f>COUNTIF($I$17:$I$369,"&gt;="&amp;H146)</x:f>
        <x:v>166</x:v>
      </x:c>
      <x:c r="O146" s="13" t="str">
        <x:v>I04 Table_1!D827/P827/U827</x:v>
      </x:c>
    </x:row>
    <x:row r="147" ht="24" customHeight="1">
      <x:c r="A147" s="13" t="str">
        <x:v>M85749</x:v>
      </x:c>
      <x:c r="B147" s="13" t="str">
        <x:v>QHL</x:v>
      </x:c>
      <x:c r="C147" s="13" t="n">
        <x:v>43</x:v>
      </x:c>
      <x:c r="D147" s="30" t="n">
        <x:v>83.7</x:v>
      </x:c>
      <x:c r="E147" s="14" t="n">
        <x:f>C147*(1000-ROUND(D147*10,0))/1000</x:f>
        <x:v>7.009</x:v>
      </x:c>
      <x:c r="F147" s="14" t="n">
        <x:f>MAX(0,(ROUND(D147*100,0)-ROUND($B$3*100,0))/100)</x:f>
        <x:v>83.65</x:v>
      </x:c>
      <x:c r="G147" s="14" t="n">
        <x:f>MIN(100,(ROUND(D147*100,0)+ROUND($B$3*100,0))/100)</x:f>
        <x:v>83.75</x:v>
      </x:c>
      <x:c r="H147" s="40" t="n">
        <x:f>C147*(10000-ROUND(G147*100,0))/10000</x:f>
        <x:v>6.9875</x:v>
      </x:c>
      <x:c r="I147" s="40" t="n">
        <x:f>C147*(10000-ROUND(F147*100,0))/10000</x:f>
        <x:v>7.0305</x:v>
      </x:c>
      <x:c r="J147" s="13" t="str">
        <x:f>IF(COUNTIFS($D$17:$D$369,"&lt;"&amp;D147,$E$17:$E$369,"&gt;="&amp;E147)+COUNTIFS($D$17:$D$369,"="&amp;D147,$E$17:$E$369,"&gt;"&amp;E147)=0,"是","否")</x:f>
        <x:v>否</x:v>
      </x:c>
      <x:c r="K147" s="13" t="str">
        <x:f>IF(COUNTIFS($G$17:$G$369,"&lt;"&amp;F147,$H$17:$H$369,"&gt;="&amp;I147)+COUNTIFS($G$17:$G$369,"="&amp;F147,$H$17:$H$369,"&gt;"&amp;I147)=0,"是","否")</x:f>
        <x:v>否</x:v>
      </x:c>
      <x:c r="L147" s="13" t="str">
        <x:f>IF(COUNTIFS($F$17:$F$369,"&lt;"&amp;G147,$I$17:$I$369,"&gt;="&amp;H147)+COUNTIFS($F$17:$F$369,"="&amp;G147,$I$17:$I$369,"&gt;"&amp;H147)-IF(OR(G147&gt;F147,I147&gt;H147),1,0)=0,"是","否")</x:f>
        <x:v>否</x:v>
      </x:c>
      <x:c r="M147" s="13" t="n">
        <x:f>1+COUNTIF($H$17:$H$369,"&gt;"&amp;I147)</x:f>
        <x:v>272</x:v>
      </x:c>
      <x:c r="N147" s="13" t="n">
        <x:f>COUNTIF($I$17:$I$369,"&gt;="&amp;H147)</x:f>
        <x:v>285</x:v>
      </x:c>
      <x:c r="O147" s="13" t="str">
        <x:v>I04 Table_1!D828/P828/U828</x:v>
      </x:c>
    </x:row>
    <x:row r="148" ht="24" customHeight="1">
      <x:c r="A148" s="13" t="str">
        <x:v>M85756</x:v>
      </x:c>
      <x:c r="B148" s="13" t="str">
        <x:v>QHL</x:v>
      </x:c>
      <x:c r="C148" s="13" t="n">
        <x:v>25</x:v>
      </x:c>
      <x:c r="D148" s="30" t="n">
        <x:v>80</x:v>
      </x:c>
      <x:c r="E148" s="14" t="n">
        <x:f>C148*(1000-ROUND(D148*10,0))/1000</x:f>
        <x:v>5</x:v>
      </x:c>
      <x:c r="F148" s="14" t="n">
        <x:f>MAX(0,(ROUND(D148*100,0)-ROUND($B$3*100,0))/100)</x:f>
        <x:v>79.95</x:v>
      </x:c>
      <x:c r="G148" s="14" t="n">
        <x:f>MIN(100,(ROUND(D148*100,0)+ROUND($B$3*100,0))/100)</x:f>
        <x:v>80.05</x:v>
      </x:c>
      <x:c r="H148" s="40" t="n">
        <x:f>C148*(10000-ROUND(G148*100,0))/10000</x:f>
        <x:v>4.9875</x:v>
      </x:c>
      <x:c r="I148" s="40" t="n">
        <x:f>C148*(10000-ROUND(F148*100,0))/10000</x:f>
        <x:v>5.0125</x:v>
      </x:c>
      <x:c r="J148" s="13" t="str">
        <x:f>IF(COUNTIFS($D$17:$D$369,"&lt;"&amp;D148,$E$17:$E$369,"&gt;="&amp;E148)+COUNTIFS($D$17:$D$369,"="&amp;D148,$E$17:$E$369,"&gt;"&amp;E148)=0,"是","否")</x:f>
        <x:v>否</x:v>
      </x:c>
      <x:c r="K148" s="13" t="str">
        <x:f>IF(COUNTIFS($G$17:$G$369,"&lt;"&amp;F148,$H$17:$H$369,"&gt;="&amp;I148)+COUNTIFS($G$17:$G$369,"="&amp;F148,$H$17:$H$369,"&gt;"&amp;I148)=0,"是","否")</x:f>
        <x:v>否</x:v>
      </x:c>
      <x:c r="L148" s="13" t="str">
        <x:f>IF(COUNTIFS($F$17:$F$369,"&lt;"&amp;G148,$I$17:$I$369,"&gt;="&amp;H148)+COUNTIFS($F$17:$F$369,"="&amp;G148,$I$17:$I$369,"&gt;"&amp;H148)-IF(OR(G148&gt;F148,I148&gt;H148),1,0)=0,"是","否")</x:f>
        <x:v>否</x:v>
      </x:c>
      <x:c r="M148" s="13" t="n">
        <x:f>1+COUNTIF($H$17:$H$369,"&gt;"&amp;I148)</x:f>
        <x:v>302</x:v>
      </x:c>
      <x:c r="N148" s="13" t="n">
        <x:f>COUNTIF($I$17:$I$369,"&gt;="&amp;H148)</x:f>
        <x:v>319</x:v>
      </x:c>
      <x:c r="O148" s="13" t="str">
        <x:v>I04 Table_1!D829/P829/U829</x:v>
      </x:c>
    </x:row>
    <x:row r="149" ht="24" customHeight="1">
      <x:c r="A149" s="13" t="str">
        <x:v>M85757</x:v>
      </x:c>
      <x:c r="B149" s="13" t="str">
        <x:v>QHL</x:v>
      </x:c>
      <x:c r="C149" s="13" t="n">
        <x:v>62</x:v>
      </x:c>
      <x:c r="D149" s="30" t="n">
        <x:v>72.6</x:v>
      </x:c>
      <x:c r="E149" s="14" t="n">
        <x:f>C149*(1000-ROUND(D149*10,0))/1000</x:f>
        <x:v>16.988</x:v>
      </x:c>
      <x:c r="F149" s="14" t="n">
        <x:f>MAX(0,(ROUND(D149*100,0)-ROUND($B$3*100,0))/100)</x:f>
        <x:v>72.55</x:v>
      </x:c>
      <x:c r="G149" s="14" t="n">
        <x:f>MIN(100,(ROUND(D149*100,0)+ROUND($B$3*100,0))/100)</x:f>
        <x:v>72.65</x:v>
      </x:c>
      <x:c r="H149" s="40" t="n">
        <x:f>C149*(10000-ROUND(G149*100,0))/10000</x:f>
        <x:v>16.957</x:v>
      </x:c>
      <x:c r="I149" s="40" t="n">
        <x:f>C149*(10000-ROUND(F149*100,0))/10000</x:f>
        <x:v>17.019</x:v>
      </x:c>
      <x:c r="J149" s="13" t="str">
        <x:f>IF(COUNTIFS($D$17:$D$369,"&lt;"&amp;D149,$E$17:$E$369,"&gt;="&amp;E149)+COUNTIFS($D$17:$D$369,"="&amp;D149,$E$17:$E$369,"&gt;"&amp;E149)=0,"是","否")</x:f>
        <x:v>否</x:v>
      </x:c>
      <x:c r="K149" s="13" t="str">
        <x:f>IF(COUNTIFS($G$17:$G$369,"&lt;"&amp;F149,$H$17:$H$369,"&gt;="&amp;I149)+COUNTIFS($G$17:$G$369,"="&amp;F149,$H$17:$H$369,"&gt;"&amp;I149)=0,"是","否")</x:f>
        <x:v>否</x:v>
      </x:c>
      <x:c r="L149" s="13" t="str">
        <x:f>IF(COUNTIFS($F$17:$F$369,"&lt;"&amp;G149,$I$17:$I$369,"&gt;="&amp;H149)+COUNTIFS($F$17:$F$369,"="&amp;G149,$I$17:$I$369,"&gt;"&amp;H149)-IF(OR(G149&gt;F149,I149&gt;H149),1,0)=0,"是","否")</x:f>
        <x:v>否</x:v>
      </x:c>
      <x:c r="M149" s="13" t="n">
        <x:f>1+COUNTIF($H$17:$H$369,"&gt;"&amp;I149)</x:f>
        <x:v>158</x:v>
      </x:c>
      <x:c r="N149" s="13" t="n">
        <x:f>COUNTIF($I$17:$I$369,"&gt;="&amp;H149)</x:f>
        <x:v>166</x:v>
      </x:c>
      <x:c r="O149" s="13" t="str">
        <x:v>I04 Table_1!D830/P830/U830</x:v>
      </x:c>
    </x:row>
    <x:row r="150" ht="24" customHeight="1">
      <x:c r="A150" s="13" t="str">
        <x:v>M85759</x:v>
      </x:c>
      <x:c r="B150" s="13" t="str">
        <x:v>QHL</x:v>
      </x:c>
      <x:c r="C150" s="13" t="n">
        <x:v>106</x:v>
      </x:c>
      <x:c r="D150" s="30" t="n">
        <x:v>50.9</x:v>
      </x:c>
      <x:c r="E150" s="14" t="n">
        <x:f>C150*(1000-ROUND(D150*10,0))/1000</x:f>
        <x:v>52.046</x:v>
      </x:c>
      <x:c r="F150" s="14" t="n">
        <x:f>MAX(0,(ROUND(D150*100,0)-ROUND($B$3*100,0))/100)</x:f>
        <x:v>50.85</x:v>
      </x:c>
      <x:c r="G150" s="14" t="n">
        <x:f>MIN(100,(ROUND(D150*100,0)+ROUND($B$3*100,0))/100)</x:f>
        <x:v>50.95</x:v>
      </x:c>
      <x:c r="H150" s="40" t="n">
        <x:f>C150*(10000-ROUND(G150*100,0))/10000</x:f>
        <x:v>51.993</x:v>
      </x:c>
      <x:c r="I150" s="40" t="n">
        <x:f>C150*(10000-ROUND(F150*100,0))/10000</x:f>
        <x:v>52.099</x:v>
      </x:c>
      <x:c r="J150" s="13" t="str">
        <x:f>IF(COUNTIFS($D$17:$D$369,"&lt;"&amp;D150,$E$17:$E$369,"&gt;="&amp;E150)+COUNTIFS($D$17:$D$369,"="&amp;D150,$E$17:$E$369,"&gt;"&amp;E150)=0,"是","否")</x:f>
        <x:v>否</x:v>
      </x:c>
      <x:c r="K150" s="13" t="str">
        <x:f>IF(COUNTIFS($G$17:$G$369,"&lt;"&amp;F150,$H$17:$H$369,"&gt;="&amp;I150)+COUNTIFS($G$17:$G$369,"="&amp;F150,$H$17:$H$369,"&gt;"&amp;I150)=0,"是","否")</x:f>
        <x:v>否</x:v>
      </x:c>
      <x:c r="L150" s="13" t="str">
        <x:f>IF(COUNTIFS($F$17:$F$369,"&lt;"&amp;G150,$I$17:$I$369,"&gt;="&amp;H150)+COUNTIFS($F$17:$F$369,"="&amp;G150,$I$17:$I$369,"&gt;"&amp;H150)-IF(OR(G150&gt;F150,I150&gt;H150),1,0)=0,"是","否")</x:f>
        <x:v>否</x:v>
      </x:c>
      <x:c r="M150" s="13" t="n">
        <x:f>1+COUNTIF($H$17:$H$369,"&gt;"&amp;I150)</x:f>
        <x:v>21</x:v>
      </x:c>
      <x:c r="N150" s="13" t="n">
        <x:f>COUNTIF($I$17:$I$369,"&gt;="&amp;H150)</x:f>
        <x:v>21</x:v>
      </x:c>
      <x:c r="O150" s="13" t="str">
        <x:v>I04 Table_1!D831/P831/U831</x:v>
      </x:c>
    </x:row>
    <x:row r="151" ht="24" customHeight="1">
      <x:c r="A151" s="13" t="str">
        <x:v>M85766</x:v>
      </x:c>
      <x:c r="B151" s="13" t="str">
        <x:v>QHL</x:v>
      </x:c>
      <x:c r="C151" s="13" t="n">
        <x:v>54</x:v>
      </x:c>
      <x:c r="D151" s="30" t="n">
        <x:v>85.2</x:v>
      </x:c>
      <x:c r="E151" s="14" t="n">
        <x:f>C151*(1000-ROUND(D151*10,0))/1000</x:f>
        <x:v>7.992</x:v>
      </x:c>
      <x:c r="F151" s="14" t="n">
        <x:f>MAX(0,(ROUND(D151*100,0)-ROUND($B$3*100,0))/100)</x:f>
        <x:v>85.15</x:v>
      </x:c>
      <x:c r="G151" s="14" t="n">
        <x:f>MIN(100,(ROUND(D151*100,0)+ROUND($B$3*100,0))/100)</x:f>
        <x:v>85.25</x:v>
      </x:c>
      <x:c r="H151" s="40" t="n">
        <x:f>C151*(10000-ROUND(G151*100,0))/10000</x:f>
        <x:v>7.965</x:v>
      </x:c>
      <x:c r="I151" s="40" t="n">
        <x:f>C151*(10000-ROUND(F151*100,0))/10000</x:f>
        <x:v>8.019</x:v>
      </x:c>
      <x:c r="J151" s="13" t="str">
        <x:f>IF(COUNTIFS($D$17:$D$369,"&lt;"&amp;D151,$E$17:$E$369,"&gt;="&amp;E151)+COUNTIFS($D$17:$D$369,"="&amp;D151,$E$17:$E$369,"&gt;"&amp;E151)=0,"是","否")</x:f>
        <x:v>否</x:v>
      </x:c>
      <x:c r="K151" s="13" t="str">
        <x:f>IF(COUNTIFS($G$17:$G$369,"&lt;"&amp;F151,$H$17:$H$369,"&gt;="&amp;I151)+COUNTIFS($G$17:$G$369,"="&amp;F151,$H$17:$H$369,"&gt;"&amp;I151)=0,"是","否")</x:f>
        <x:v>否</x:v>
      </x:c>
      <x:c r="L151" s="13" t="str">
        <x:f>IF(COUNTIFS($F$17:$F$369,"&lt;"&amp;G151,$I$17:$I$369,"&gt;="&amp;H151)+COUNTIFS($F$17:$F$369,"="&amp;G151,$I$17:$I$369,"&gt;"&amp;H151)-IF(OR(G151&gt;F151,I151&gt;H151),1,0)=0,"是","否")</x:f>
        <x:v>否</x:v>
      </x:c>
      <x:c r="M151" s="13" t="n">
        <x:f>1+COUNTIF($H$17:$H$369,"&gt;"&amp;I151)</x:f>
        <x:v>257</x:v>
      </x:c>
      <x:c r="N151" s="13" t="n">
        <x:f>COUNTIF($I$17:$I$369,"&gt;="&amp;H151)</x:f>
        <x:v>271</x:v>
      </x:c>
      <x:c r="O151" s="13" t="str">
        <x:v>I04 Table_1!D832/P832/U832</x:v>
      </x:c>
    </x:row>
    <x:row r="152" ht="24" customHeight="1">
      <x:c r="A152" s="13" t="str">
        <x:v>M85770</x:v>
      </x:c>
      <x:c r="B152" s="13" t="str">
        <x:v>QHL</x:v>
      </x:c>
      <x:c r="C152" s="13" t="n">
        <x:v>29</x:v>
      </x:c>
      <x:c r="D152" s="30" t="n">
        <x:v>93.1</x:v>
      </x:c>
      <x:c r="E152" s="14" t="n">
        <x:f>C152*(1000-ROUND(D152*10,0))/1000</x:f>
        <x:v>2.001</x:v>
      </x:c>
      <x:c r="F152" s="14" t="n">
        <x:f>MAX(0,(ROUND(D152*100,0)-ROUND($B$3*100,0))/100)</x:f>
        <x:v>93.05</x:v>
      </x:c>
      <x:c r="G152" s="14" t="n">
        <x:f>MIN(100,(ROUND(D152*100,0)+ROUND($B$3*100,0))/100)</x:f>
        <x:v>93.15</x:v>
      </x:c>
      <x:c r="H152" s="40" t="n">
        <x:f>C152*(10000-ROUND(G152*100,0))/10000</x:f>
        <x:v>1.9865</x:v>
      </x:c>
      <x:c r="I152" s="40" t="n">
        <x:f>C152*(10000-ROUND(F152*100,0))/10000</x:f>
        <x:v>2.0155</x:v>
      </x:c>
      <x:c r="J152" s="13" t="str">
        <x:f>IF(COUNTIFS($D$17:$D$369,"&lt;"&amp;D152,$E$17:$E$369,"&gt;="&amp;E152)+COUNTIFS($D$17:$D$369,"="&amp;D152,$E$17:$E$369,"&gt;"&amp;E152)=0,"是","否")</x:f>
        <x:v>否</x:v>
      </x:c>
      <x:c r="K152" s="13" t="str">
        <x:f>IF(COUNTIFS($G$17:$G$369,"&lt;"&amp;F152,$H$17:$H$369,"&gt;="&amp;I152)+COUNTIFS($G$17:$G$369,"="&amp;F152,$H$17:$H$369,"&gt;"&amp;I152)=0,"是","否")</x:f>
        <x:v>否</x:v>
      </x:c>
      <x:c r="L152" s="13" t="str">
        <x:f>IF(COUNTIFS($F$17:$F$369,"&lt;"&amp;G152,$I$17:$I$369,"&gt;="&amp;H152)+COUNTIFS($F$17:$F$369,"="&amp;G152,$I$17:$I$369,"&gt;"&amp;H152)-IF(OR(G152&gt;F152,I152&gt;H152),1,0)=0,"是","否")</x:f>
        <x:v>否</x:v>
      </x:c>
      <x:c r="M152" s="13" t="n">
        <x:f>1+COUNTIF($H$17:$H$369,"&gt;"&amp;I152)</x:f>
        <x:v>342</x:v>
      </x:c>
      <x:c r="N152" s="13" t="n">
        <x:f>COUNTIF($I$17:$I$369,"&gt;="&amp;H152)</x:f>
        <x:v>350</x:v>
      </x:c>
      <x:c r="O152" s="13" t="str">
        <x:v>I04 Table_1!D833/P833/U833</x:v>
      </x:c>
    </x:row>
    <x:row r="153" ht="24" customHeight="1">
      <x:c r="A153" s="13" t="str">
        <x:v>M85774</x:v>
      </x:c>
      <x:c r="B153" s="13" t="str">
        <x:v>QHL</x:v>
      </x:c>
      <x:c r="C153" s="13" t="n">
        <x:v>113</x:v>
      </x:c>
      <x:c r="D153" s="30" t="n">
        <x:v>69.9</x:v>
      </x:c>
      <x:c r="E153" s="14" t="n">
        <x:f>C153*(1000-ROUND(D153*10,0))/1000</x:f>
        <x:v>34.013</x:v>
      </x:c>
      <x:c r="F153" s="14" t="n">
        <x:f>MAX(0,(ROUND(D153*100,0)-ROUND($B$3*100,0))/100)</x:f>
        <x:v>69.85</x:v>
      </x:c>
      <x:c r="G153" s="14" t="n">
        <x:f>MIN(100,(ROUND(D153*100,0)+ROUND($B$3*100,0))/100)</x:f>
        <x:v>69.95</x:v>
      </x:c>
      <x:c r="H153" s="40" t="n">
        <x:f>C153*(10000-ROUND(G153*100,0))/10000</x:f>
        <x:v>33.9565</x:v>
      </x:c>
      <x:c r="I153" s="40" t="n">
        <x:f>C153*(10000-ROUND(F153*100,0))/10000</x:f>
        <x:v>34.0695</x:v>
      </x:c>
      <x:c r="J153" s="13" t="str">
        <x:f>IF(COUNTIFS($D$17:$D$369,"&lt;"&amp;D153,$E$17:$E$369,"&gt;="&amp;E153)+COUNTIFS($D$17:$D$369,"="&amp;D153,$E$17:$E$369,"&gt;"&amp;E153)=0,"是","否")</x:f>
        <x:v>否</x:v>
      </x:c>
      <x:c r="K153" s="13" t="str">
        <x:f>IF(COUNTIFS($G$17:$G$369,"&lt;"&amp;F153,$H$17:$H$369,"&gt;="&amp;I153)+COUNTIFS($G$17:$G$369,"="&amp;F153,$H$17:$H$369,"&gt;"&amp;I153)=0,"是","否")</x:f>
        <x:v>否</x:v>
      </x:c>
      <x:c r="L153" s="13" t="str">
        <x:f>IF(COUNTIFS($F$17:$F$369,"&lt;"&amp;G153,$I$17:$I$369,"&gt;="&amp;H153)+COUNTIFS($F$17:$F$369,"="&amp;G153,$I$17:$I$369,"&gt;"&amp;H153)-IF(OR(G153&gt;F153,I153&gt;H153),1,0)=0,"是","否")</x:f>
        <x:v>否</x:v>
      </x:c>
      <x:c r="M153" s="13" t="n">
        <x:f>1+COUNTIF($H$17:$H$369,"&gt;"&amp;I153)</x:f>
        <x:v>57</x:v>
      </x:c>
      <x:c r="N153" s="13" t="n">
        <x:f>COUNTIF($I$17:$I$369,"&gt;="&amp;H153)</x:f>
        <x:v>59</x:v>
      </x:c>
      <x:c r="O153" s="13" t="str">
        <x:v>I04 Table_1!D834/P834/U834</x:v>
      </x:c>
    </x:row>
    <x:row r="154" ht="24" customHeight="1">
      <x:c r="A154" s="13" t="str">
        <x:v>M85778</x:v>
      </x:c>
      <x:c r="B154" s="13" t="str">
        <x:v>QHL</x:v>
      </x:c>
      <x:c r="C154" s="13" t="n">
        <x:v>64</x:v>
      </x:c>
      <x:c r="D154" s="30" t="n">
        <x:v>67.2</x:v>
      </x:c>
      <x:c r="E154" s="14" t="n">
        <x:f>C154*(1000-ROUND(D154*10,0))/1000</x:f>
        <x:v>20.992</x:v>
      </x:c>
      <x:c r="F154" s="14" t="n">
        <x:f>MAX(0,(ROUND(D154*100,0)-ROUND($B$3*100,0))/100)</x:f>
        <x:v>67.15</x:v>
      </x:c>
      <x:c r="G154" s="14" t="n">
        <x:f>MIN(100,(ROUND(D154*100,0)+ROUND($B$3*100,0))/100)</x:f>
        <x:v>67.25</x:v>
      </x:c>
      <x:c r="H154" s="40" t="n">
        <x:f>C154*(10000-ROUND(G154*100,0))/10000</x:f>
        <x:v>20.96</x:v>
      </x:c>
      <x:c r="I154" s="40" t="n">
        <x:f>C154*(10000-ROUND(F154*100,0))/10000</x:f>
        <x:v>21.024</x:v>
      </x:c>
      <x:c r="J154" s="13" t="str">
        <x:f>IF(COUNTIFS($D$17:$D$369,"&lt;"&amp;D154,$E$17:$E$369,"&gt;="&amp;E154)+COUNTIFS($D$17:$D$369,"="&amp;D154,$E$17:$E$369,"&gt;"&amp;E154)=0,"是","否")</x:f>
        <x:v>否</x:v>
      </x:c>
      <x:c r="K154" s="13" t="str">
        <x:f>IF(COUNTIFS($G$17:$G$369,"&lt;"&amp;F154,$H$17:$H$369,"&gt;="&amp;I154)+COUNTIFS($G$17:$G$369,"="&amp;F154,$H$17:$H$369,"&gt;"&amp;I154)=0,"是","否")</x:f>
        <x:v>否</x:v>
      </x:c>
      <x:c r="L154" s="13" t="str">
        <x:f>IF(COUNTIFS($F$17:$F$369,"&lt;"&amp;G154,$I$17:$I$369,"&gt;="&amp;H154)+COUNTIFS($F$17:$F$369,"="&amp;G154,$I$17:$I$369,"&gt;"&amp;H154)-IF(OR(G154&gt;F154,I154&gt;H154),1,0)=0,"是","否")</x:f>
        <x:v>否</x:v>
      </x:c>
      <x:c r="M154" s="13" t="n">
        <x:f>1+COUNTIF($H$17:$H$369,"&gt;"&amp;I154)</x:f>
        <x:v>123</x:v>
      </x:c>
      <x:c r="N154" s="13" t="n">
        <x:f>COUNTIF($I$17:$I$369,"&gt;="&amp;H154)</x:f>
        <x:v>129</x:v>
      </x:c>
      <x:c r="O154" s="13" t="str">
        <x:v>I04 Table_1!D835/P835/U835</x:v>
      </x:c>
    </x:row>
    <x:row r="155" ht="24" customHeight="1">
      <x:c r="A155" s="13" t="str">
        <x:v>M85779</x:v>
      </x:c>
      <x:c r="B155" s="13" t="str">
        <x:v>QHL</x:v>
      </x:c>
      <x:c r="C155" s="13" t="n">
        <x:v>40</x:v>
      </x:c>
      <x:c r="D155" s="30" t="n">
        <x:v>80</x:v>
      </x:c>
      <x:c r="E155" s="14" t="n">
        <x:f>C155*(1000-ROUND(D155*10,0))/1000</x:f>
        <x:v>8</x:v>
      </x:c>
      <x:c r="F155" s="14" t="n">
        <x:f>MAX(0,(ROUND(D155*100,0)-ROUND($B$3*100,0))/100)</x:f>
        <x:v>79.95</x:v>
      </x:c>
      <x:c r="G155" s="14" t="n">
        <x:f>MIN(100,(ROUND(D155*100,0)+ROUND($B$3*100,0))/100)</x:f>
        <x:v>80.05</x:v>
      </x:c>
      <x:c r="H155" s="40" t="n">
        <x:f>C155*(10000-ROUND(G155*100,0))/10000</x:f>
        <x:v>7.98</x:v>
      </x:c>
      <x:c r="I155" s="40" t="n">
        <x:f>C155*(10000-ROUND(F155*100,0))/10000</x:f>
        <x:v>8.02</x:v>
      </x:c>
      <x:c r="J155" s="13" t="str">
        <x:f>IF(COUNTIFS($D$17:$D$369,"&lt;"&amp;D155,$E$17:$E$369,"&gt;="&amp;E155)+COUNTIFS($D$17:$D$369,"="&amp;D155,$E$17:$E$369,"&gt;"&amp;E155)=0,"是","否")</x:f>
        <x:v>否</x:v>
      </x:c>
      <x:c r="K155" s="13" t="str">
        <x:f>IF(COUNTIFS($G$17:$G$369,"&lt;"&amp;F155,$H$17:$H$369,"&gt;="&amp;I155)+COUNTIFS($G$17:$G$369,"="&amp;F155,$H$17:$H$369,"&gt;"&amp;I155)=0,"是","否")</x:f>
        <x:v>否</x:v>
      </x:c>
      <x:c r="L155" s="13" t="str">
        <x:f>IF(COUNTIFS($F$17:$F$369,"&lt;"&amp;G155,$I$17:$I$369,"&gt;="&amp;H155)+COUNTIFS($F$17:$F$369,"="&amp;G155,$I$17:$I$369,"&gt;"&amp;H155)-IF(OR(G155&gt;F155,I155&gt;H155),1,0)=0,"是","否")</x:f>
        <x:v>否</x:v>
      </x:c>
      <x:c r="M155" s="13" t="n">
        <x:f>1+COUNTIF($H$17:$H$369,"&gt;"&amp;I155)</x:f>
        <x:v>257</x:v>
      </x:c>
      <x:c r="N155" s="13" t="n">
        <x:f>COUNTIF($I$17:$I$369,"&gt;="&amp;H155)</x:f>
        <x:v>271</x:v>
      </x:c>
      <x:c r="O155" s="13" t="str">
        <x:v>I04 Table_1!D836/P836/U836</x:v>
      </x:c>
    </x:row>
    <x:row r="156" ht="24" customHeight="1">
      <x:c r="A156" s="13" t="str">
        <x:v>M85781</x:v>
      </x:c>
      <x:c r="B156" s="13" t="str">
        <x:v>QHL</x:v>
      </x:c>
      <x:c r="C156" s="13" t="n">
        <x:v>53</x:v>
      </x:c>
      <x:c r="D156" s="30" t="n">
        <x:v>83</x:v>
      </x:c>
      <x:c r="E156" s="14" t="n">
        <x:f>C156*(1000-ROUND(D156*10,0))/1000</x:f>
        <x:v>9.01</x:v>
      </x:c>
      <x:c r="F156" s="14" t="n">
        <x:f>MAX(0,(ROUND(D156*100,0)-ROUND($B$3*100,0))/100)</x:f>
        <x:v>82.95</x:v>
      </x:c>
      <x:c r="G156" s="14" t="n">
        <x:f>MIN(100,(ROUND(D156*100,0)+ROUND($B$3*100,0))/100)</x:f>
        <x:v>83.05</x:v>
      </x:c>
      <x:c r="H156" s="40" t="n">
        <x:f>C156*(10000-ROUND(G156*100,0))/10000</x:f>
        <x:v>8.9835</x:v>
      </x:c>
      <x:c r="I156" s="40" t="n">
        <x:f>C156*(10000-ROUND(F156*100,0))/10000</x:f>
        <x:v>9.0365</x:v>
      </x:c>
      <x:c r="J156" s="13" t="str">
        <x:f>IF(COUNTIFS($D$17:$D$369,"&lt;"&amp;D156,$E$17:$E$369,"&gt;="&amp;E156)+COUNTIFS($D$17:$D$369,"="&amp;D156,$E$17:$E$369,"&gt;"&amp;E156)=0,"是","否")</x:f>
        <x:v>否</x:v>
      </x:c>
      <x:c r="K156" s="13" t="str">
        <x:f>IF(COUNTIFS($G$17:$G$369,"&lt;"&amp;F156,$H$17:$H$369,"&gt;="&amp;I156)+COUNTIFS($G$17:$G$369,"="&amp;F156,$H$17:$H$369,"&gt;"&amp;I156)=0,"是","否")</x:f>
        <x:v>否</x:v>
      </x:c>
      <x:c r="L156" s="13" t="str">
        <x:f>IF(COUNTIFS($F$17:$F$369,"&lt;"&amp;G156,$I$17:$I$369,"&gt;="&amp;H156)+COUNTIFS($F$17:$F$369,"="&amp;G156,$I$17:$I$369,"&gt;"&amp;H156)-IF(OR(G156&gt;F156,I156&gt;H156),1,0)=0,"是","否")</x:f>
        <x:v>否</x:v>
      </x:c>
      <x:c r="M156" s="13" t="n">
        <x:f>1+COUNTIF($H$17:$H$369,"&gt;"&amp;I156)</x:f>
        <x:v>244</x:v>
      </x:c>
      <x:c r="N156" s="13" t="n">
        <x:f>COUNTIF($I$17:$I$369,"&gt;="&amp;H156)</x:f>
        <x:v>256</x:v>
      </x:c>
      <x:c r="O156" s="13" t="str">
        <x:v>I04 Table_1!D837/P837/U837</x:v>
      </x:c>
    </x:row>
    <x:row r="157" ht="24" customHeight="1">
      <x:c r="A157" s="13" t="str">
        <x:v>M85783</x:v>
      </x:c>
      <x:c r="B157" s="13" t="str">
        <x:v>QHL</x:v>
      </x:c>
      <x:c r="C157" s="13" t="n">
        <x:v>76</x:v>
      </x:c>
      <x:c r="D157" s="30" t="n">
        <x:v>89.5</x:v>
      </x:c>
      <x:c r="E157" s="14" t="n">
        <x:f>C157*(1000-ROUND(D157*10,0))/1000</x:f>
        <x:v>7.98</x:v>
      </x:c>
      <x:c r="F157" s="14" t="n">
        <x:f>MAX(0,(ROUND(D157*100,0)-ROUND($B$3*100,0))/100)</x:f>
        <x:v>89.45</x:v>
      </x:c>
      <x:c r="G157" s="14" t="n">
        <x:f>MIN(100,(ROUND(D157*100,0)+ROUND($B$3*100,0))/100)</x:f>
        <x:v>89.55</x:v>
      </x:c>
      <x:c r="H157" s="40" t="n">
        <x:f>C157*(10000-ROUND(G157*100,0))/10000</x:f>
        <x:v>7.942</x:v>
      </x:c>
      <x:c r="I157" s="40" t="n">
        <x:f>C157*(10000-ROUND(F157*100,0))/10000</x:f>
        <x:v>8.018</x:v>
      </x:c>
      <x:c r="J157" s="13" t="str">
        <x:f>IF(COUNTIFS($D$17:$D$369,"&lt;"&amp;D157,$E$17:$E$369,"&gt;="&amp;E157)+COUNTIFS($D$17:$D$369,"="&amp;D157,$E$17:$E$369,"&gt;"&amp;E157)=0,"是","否")</x:f>
        <x:v>否</x:v>
      </x:c>
      <x:c r="K157" s="13" t="str">
        <x:f>IF(COUNTIFS($G$17:$G$369,"&lt;"&amp;F157,$H$17:$H$369,"&gt;="&amp;I157)+COUNTIFS($G$17:$G$369,"="&amp;F157,$H$17:$H$369,"&gt;"&amp;I157)=0,"是","否")</x:f>
        <x:v>否</x:v>
      </x:c>
      <x:c r="L157" s="13" t="str">
        <x:f>IF(COUNTIFS($F$17:$F$369,"&lt;"&amp;G157,$I$17:$I$369,"&gt;="&amp;H157)+COUNTIFS($F$17:$F$369,"="&amp;G157,$I$17:$I$369,"&gt;"&amp;H157)-IF(OR(G157&gt;F157,I157&gt;H157),1,0)=0,"是","否")</x:f>
        <x:v>否</x:v>
      </x:c>
      <x:c r="M157" s="13" t="n">
        <x:f>1+COUNTIF($H$17:$H$369,"&gt;"&amp;I157)</x:f>
        <x:v>257</x:v>
      </x:c>
      <x:c r="N157" s="13" t="n">
        <x:f>COUNTIF($I$17:$I$369,"&gt;="&amp;H157)</x:f>
        <x:v>271</x:v>
      </x:c>
      <x:c r="O157" s="13" t="str">
        <x:v>I04 Table_1!D838/P838/U838</x:v>
      </x:c>
    </x:row>
    <x:row r="158" ht="24" customHeight="1">
      <x:c r="A158" s="13" t="str">
        <x:v>M85792</x:v>
      </x:c>
      <x:c r="B158" s="13" t="str">
        <x:v>QHL</x:v>
      </x:c>
      <x:c r="C158" s="13" t="n">
        <x:v>42</x:v>
      </x:c>
      <x:c r="D158" s="30" t="n">
        <x:v>85.7</x:v>
      </x:c>
      <x:c r="E158" s="14" t="n">
        <x:f>C158*(1000-ROUND(D158*10,0))/1000</x:f>
        <x:v>6.006</x:v>
      </x:c>
      <x:c r="F158" s="14" t="n">
        <x:f>MAX(0,(ROUND(D158*100,0)-ROUND($B$3*100,0))/100)</x:f>
        <x:v>85.65</x:v>
      </x:c>
      <x:c r="G158" s="14" t="n">
        <x:f>MIN(100,(ROUND(D158*100,0)+ROUND($B$3*100,0))/100)</x:f>
        <x:v>85.75</x:v>
      </x:c>
      <x:c r="H158" s="40" t="n">
        <x:f>C158*(10000-ROUND(G158*100,0))/10000</x:f>
        <x:v>5.985</x:v>
      </x:c>
      <x:c r="I158" s="40" t="n">
        <x:f>C158*(10000-ROUND(F158*100,0))/10000</x:f>
        <x:v>6.027</x:v>
      </x:c>
      <x:c r="J158" s="13" t="str">
        <x:f>IF(COUNTIFS($D$17:$D$369,"&lt;"&amp;D158,$E$17:$E$369,"&gt;="&amp;E158)+COUNTIFS($D$17:$D$369,"="&amp;D158,$E$17:$E$369,"&gt;"&amp;E158)=0,"是","否")</x:f>
        <x:v>否</x:v>
      </x:c>
      <x:c r="K158" s="13" t="str">
        <x:f>IF(COUNTIFS($G$17:$G$369,"&lt;"&amp;F158,$H$17:$H$369,"&gt;="&amp;I158)+COUNTIFS($G$17:$G$369,"="&amp;F158,$H$17:$H$369,"&gt;"&amp;I158)=0,"是","否")</x:f>
        <x:v>否</x:v>
      </x:c>
      <x:c r="L158" s="13" t="str">
        <x:f>IF(COUNTIFS($F$17:$F$369,"&lt;"&amp;G158,$I$17:$I$369,"&gt;="&amp;H158)+COUNTIFS($F$17:$F$369,"="&amp;G158,$I$17:$I$369,"&gt;"&amp;H158)-IF(OR(G158&gt;F158,I158&gt;H158),1,0)=0,"是","否")</x:f>
        <x:v>否</x:v>
      </x:c>
      <x:c r="M158" s="13" t="n">
        <x:f>1+COUNTIF($H$17:$H$369,"&gt;"&amp;I158)</x:f>
        <x:v>286</x:v>
      </x:c>
      <x:c r="N158" s="13" t="n">
        <x:f>COUNTIF($I$17:$I$369,"&gt;="&amp;H158)</x:f>
        <x:v>301</x:v>
      </x:c>
      <x:c r="O158" s="13" t="str">
        <x:v>I04 Table_1!D839/P839/U839</x:v>
      </x:c>
    </x:row>
    <x:row r="159" ht="24" customHeight="1">
      <x:c r="A159" s="13" t="str">
        <x:v>M85794</x:v>
      </x:c>
      <x:c r="B159" s="13" t="str">
        <x:v>QHL</x:v>
      </x:c>
      <x:c r="C159" s="13" t="n">
        <x:v>49</x:v>
      </x:c>
      <x:c r="D159" s="30" t="n">
        <x:v>67.3</x:v>
      </x:c>
      <x:c r="E159" s="14" t="n">
        <x:f>C159*(1000-ROUND(D159*10,0))/1000</x:f>
        <x:v>16.023</x:v>
      </x:c>
      <x:c r="F159" s="14" t="n">
        <x:f>MAX(0,(ROUND(D159*100,0)-ROUND($B$3*100,0))/100)</x:f>
        <x:v>67.25</x:v>
      </x:c>
      <x:c r="G159" s="14" t="n">
        <x:f>MIN(100,(ROUND(D159*100,0)+ROUND($B$3*100,0))/100)</x:f>
        <x:v>67.35</x:v>
      </x:c>
      <x:c r="H159" s="40" t="n">
        <x:f>C159*(10000-ROUND(G159*100,0))/10000</x:f>
        <x:v>15.9985</x:v>
      </x:c>
      <x:c r="I159" s="40" t="n">
        <x:f>C159*(10000-ROUND(F159*100,0))/10000</x:f>
        <x:v>16.0475</x:v>
      </x:c>
      <x:c r="J159" s="13" t="str">
        <x:f>IF(COUNTIFS($D$17:$D$369,"&lt;"&amp;D159,$E$17:$E$369,"&gt;="&amp;E159)+COUNTIFS($D$17:$D$369,"="&amp;D159,$E$17:$E$369,"&gt;"&amp;E159)=0,"是","否")</x:f>
        <x:v>否</x:v>
      </x:c>
      <x:c r="K159" s="13" t="str">
        <x:f>IF(COUNTIFS($G$17:$G$369,"&lt;"&amp;F159,$H$17:$H$369,"&gt;="&amp;I159)+COUNTIFS($G$17:$G$369,"="&amp;F159,$H$17:$H$369,"&gt;"&amp;I159)=0,"是","否")</x:f>
        <x:v>否</x:v>
      </x:c>
      <x:c r="L159" s="13" t="str">
        <x:f>IF(COUNTIFS($F$17:$F$369,"&lt;"&amp;G159,$I$17:$I$369,"&gt;="&amp;H159)+COUNTIFS($F$17:$F$369,"="&amp;G159,$I$17:$I$369,"&gt;"&amp;H159)-IF(OR(G159&gt;F159,I159&gt;H159),1,0)=0,"是","否")</x:f>
        <x:v>否</x:v>
      </x:c>
      <x:c r="M159" s="13" t="n">
        <x:f>1+COUNTIF($H$17:$H$369,"&gt;"&amp;I159)</x:f>
        <x:v>167</x:v>
      </x:c>
      <x:c r="N159" s="13" t="n">
        <x:f>COUNTIF($I$17:$I$369,"&gt;="&amp;H159)</x:f>
        <x:v>176</x:v>
      </x:c>
      <x:c r="O159" s="13" t="str">
        <x:v>I04 Table_1!D840/P840/U840</x:v>
      </x:c>
    </x:row>
    <x:row r="160" ht="24" customHeight="1">
      <x:c r="A160" s="13" t="str">
        <x:v>M85797</x:v>
      </x:c>
      <x:c r="B160" s="13" t="str">
        <x:v>QHL</x:v>
      </x:c>
      <x:c r="C160" s="13" t="n">
        <x:v>105</x:v>
      </x:c>
      <x:c r="D160" s="30" t="n">
        <x:v>52.4</x:v>
      </x:c>
      <x:c r="E160" s="14" t="n">
        <x:f>C160*(1000-ROUND(D160*10,0))/1000</x:f>
        <x:v>49.98</x:v>
      </x:c>
      <x:c r="F160" s="14" t="n">
        <x:f>MAX(0,(ROUND(D160*100,0)-ROUND($B$3*100,0))/100)</x:f>
        <x:v>52.35</x:v>
      </x:c>
      <x:c r="G160" s="14" t="n">
        <x:f>MIN(100,(ROUND(D160*100,0)+ROUND($B$3*100,0))/100)</x:f>
        <x:v>52.45</x:v>
      </x:c>
      <x:c r="H160" s="40" t="n">
        <x:f>C160*(10000-ROUND(G160*100,0))/10000</x:f>
        <x:v>49.9275</x:v>
      </x:c>
      <x:c r="I160" s="40" t="n">
        <x:f>C160*(10000-ROUND(F160*100,0))/10000</x:f>
        <x:v>50.0325</x:v>
      </x:c>
      <x:c r="J160" s="13" t="str">
        <x:f>IF(COUNTIFS($D$17:$D$369,"&lt;"&amp;D160,$E$17:$E$369,"&gt;="&amp;E160)+COUNTIFS($D$17:$D$369,"="&amp;D160,$E$17:$E$369,"&gt;"&amp;E160)=0,"是","否")</x:f>
        <x:v>否</x:v>
      </x:c>
      <x:c r="K160" s="13" t="str">
        <x:f>IF(COUNTIFS($G$17:$G$369,"&lt;"&amp;F160,$H$17:$H$369,"&gt;="&amp;I160)+COUNTIFS($G$17:$G$369,"="&amp;F160,$H$17:$H$369,"&gt;"&amp;I160)=0,"是","否")</x:f>
        <x:v>否</x:v>
      </x:c>
      <x:c r="L160" s="13" t="str">
        <x:f>IF(COUNTIFS($F$17:$F$369,"&lt;"&amp;G160,$I$17:$I$369,"&gt;="&amp;H160)+COUNTIFS($F$17:$F$369,"="&amp;G160,$I$17:$I$369,"&gt;"&amp;H160)-IF(OR(G160&gt;F160,I160&gt;H160),1,0)=0,"是","否")</x:f>
        <x:v>否</x:v>
      </x:c>
      <x:c r="M160" s="13" t="n">
        <x:f>1+COUNTIF($H$17:$H$369,"&gt;"&amp;I160)</x:f>
        <x:v>23</x:v>
      </x:c>
      <x:c r="N160" s="13" t="n">
        <x:f>COUNTIF($I$17:$I$369,"&gt;="&amp;H160)</x:f>
        <x:v>24</x:v>
      </x:c>
      <x:c r="O160" s="13" t="str">
        <x:v>I04 Table_1!D841/P841/U841</x:v>
      </x:c>
    </x:row>
    <x:row r="161" ht="24" customHeight="1">
      <x:c r="A161" s="13" t="str">
        <x:v>M85803</x:v>
      </x:c>
      <x:c r="B161" s="13" t="str">
        <x:v>QHL</x:v>
      </x:c>
      <x:c r="C161" s="13" t="n">
        <x:v>157</x:v>
      </x:c>
      <x:c r="D161" s="30" t="n">
        <x:v>80.3</x:v>
      </x:c>
      <x:c r="E161" s="14" t="n">
        <x:f>C161*(1000-ROUND(D161*10,0))/1000</x:f>
        <x:v>30.929</x:v>
      </x:c>
      <x:c r="F161" s="14" t="n">
        <x:f>MAX(0,(ROUND(D161*100,0)-ROUND($B$3*100,0))/100)</x:f>
        <x:v>80.25</x:v>
      </x:c>
      <x:c r="G161" s="14" t="n">
        <x:f>MIN(100,(ROUND(D161*100,0)+ROUND($B$3*100,0))/100)</x:f>
        <x:v>80.35</x:v>
      </x:c>
      <x:c r="H161" s="40" t="n">
        <x:f>C161*(10000-ROUND(G161*100,0))/10000</x:f>
        <x:v>30.8505</x:v>
      </x:c>
      <x:c r="I161" s="40" t="n">
        <x:f>C161*(10000-ROUND(F161*100,0))/10000</x:f>
        <x:v>31.0075</x:v>
      </x:c>
      <x:c r="J161" s="13" t="str">
        <x:f>IF(COUNTIFS($D$17:$D$369,"&lt;"&amp;D161,$E$17:$E$369,"&gt;="&amp;E161)+COUNTIFS($D$17:$D$369,"="&amp;D161,$E$17:$E$369,"&gt;"&amp;E161)=0,"是","否")</x:f>
        <x:v>否</x:v>
      </x:c>
      <x:c r="K161" s="13" t="str">
        <x:f>IF(COUNTIFS($G$17:$G$369,"&lt;"&amp;F161,$H$17:$H$369,"&gt;="&amp;I161)+COUNTIFS($G$17:$G$369,"="&amp;F161,$H$17:$H$369,"&gt;"&amp;I161)=0,"是","否")</x:f>
        <x:v>否</x:v>
      </x:c>
      <x:c r="L161" s="13" t="str">
        <x:f>IF(COUNTIFS($F$17:$F$369,"&lt;"&amp;G161,$I$17:$I$369,"&gt;="&amp;H161)+COUNTIFS($F$17:$F$369,"="&amp;G161,$I$17:$I$369,"&gt;"&amp;H161)-IF(OR(G161&gt;F161,I161&gt;H161),1,0)=0,"是","否")</x:f>
        <x:v>否</x:v>
      </x:c>
      <x:c r="M161" s="13" t="n">
        <x:f>1+COUNTIF($H$17:$H$369,"&gt;"&amp;I161)</x:f>
        <x:v>74</x:v>
      </x:c>
      <x:c r="N161" s="13" t="n">
        <x:f>COUNTIF($I$17:$I$369,"&gt;="&amp;H161)</x:f>
        <x:v>79</x:v>
      </x:c>
      <x:c r="O161" s="13" t="str">
        <x:v>I04 Table_1!D842/P842/U842</x:v>
      </x:c>
    </x:row>
    <x:row r="162" ht="24" customHeight="1">
      <x:c r="A162" s="13" t="str">
        <x:v>M88020</x:v>
      </x:c>
      <x:c r="B162" s="13" t="str">
        <x:v>QHL</x:v>
      </x:c>
      <x:c r="C162" s="13" t="n">
        <x:v>120</x:v>
      </x:c>
      <x:c r="D162" s="30" t="n">
        <x:v>84.2</x:v>
      </x:c>
      <x:c r="E162" s="14" t="n">
        <x:f>C162*(1000-ROUND(D162*10,0))/1000</x:f>
        <x:v>18.96</x:v>
      </x:c>
      <x:c r="F162" s="14" t="n">
        <x:f>MAX(0,(ROUND(D162*100,0)-ROUND($B$3*100,0))/100)</x:f>
        <x:v>84.15</x:v>
      </x:c>
      <x:c r="G162" s="14" t="n">
        <x:f>MIN(100,(ROUND(D162*100,0)+ROUND($B$3*100,0))/100)</x:f>
        <x:v>84.25</x:v>
      </x:c>
      <x:c r="H162" s="40" t="n">
        <x:f>C162*(10000-ROUND(G162*100,0))/10000</x:f>
        <x:v>18.9</x:v>
      </x:c>
      <x:c r="I162" s="40" t="n">
        <x:f>C162*(10000-ROUND(F162*100,0))/10000</x:f>
        <x:v>19.02</x:v>
      </x:c>
      <x:c r="J162" s="13" t="str">
        <x:f>IF(COUNTIFS($D$17:$D$369,"&lt;"&amp;D162,$E$17:$E$369,"&gt;="&amp;E162)+COUNTIFS($D$17:$D$369,"="&amp;D162,$E$17:$E$369,"&gt;"&amp;E162)=0,"是","否")</x:f>
        <x:v>否</x:v>
      </x:c>
      <x:c r="K162" s="13" t="str">
        <x:f>IF(COUNTIFS($G$17:$G$369,"&lt;"&amp;F162,$H$17:$H$369,"&gt;="&amp;I162)+COUNTIFS($G$17:$G$369,"="&amp;F162,$H$17:$H$369,"&gt;"&amp;I162)=0,"是","否")</x:f>
        <x:v>否</x:v>
      </x:c>
      <x:c r="L162" s="13" t="str">
        <x:f>IF(COUNTIFS($F$17:$F$369,"&lt;"&amp;G162,$I$17:$I$369,"&gt;="&amp;H162)+COUNTIFS($F$17:$F$369,"="&amp;G162,$I$17:$I$369,"&gt;"&amp;H162)-IF(OR(G162&gt;F162,I162&gt;H162),1,0)=0,"是","否")</x:f>
        <x:v>否</x:v>
      </x:c>
      <x:c r="M162" s="13" t="n">
        <x:f>1+COUNTIF($H$17:$H$369,"&gt;"&amp;I162)</x:f>
        <x:v>142</x:v>
      </x:c>
      <x:c r="N162" s="13" t="n">
        <x:f>COUNTIF($I$17:$I$369,"&gt;="&amp;H162)</x:f>
        <x:v>151</x:v>
      </x:c>
      <x:c r="O162" s="13" t="str">
        <x:v>I04 Table_1!D843/P843/U843</x:v>
      </x:c>
    </x:row>
    <x:row r="163" ht="24" customHeight="1">
      <x:c r="A163" s="13" t="str">
        <x:v>M89001</x:v>
      </x:c>
      <x:c r="B163" s="13" t="str">
        <x:v>QHL</x:v>
      </x:c>
      <x:c r="C163" s="13" t="n">
        <x:v>39</x:v>
      </x:c>
      <x:c r="D163" s="30" t="n">
        <x:v>94.9</x:v>
      </x:c>
      <x:c r="E163" s="14" t="n">
        <x:f>C163*(1000-ROUND(D163*10,0))/1000</x:f>
        <x:v>1.989</x:v>
      </x:c>
      <x:c r="F163" s="14" t="n">
        <x:f>MAX(0,(ROUND(D163*100,0)-ROUND($B$3*100,0))/100)</x:f>
        <x:v>94.85</x:v>
      </x:c>
      <x:c r="G163" s="14" t="n">
        <x:f>MIN(100,(ROUND(D163*100,0)+ROUND($B$3*100,0))/100)</x:f>
        <x:v>94.95</x:v>
      </x:c>
      <x:c r="H163" s="40" t="n">
        <x:f>C163*(10000-ROUND(G163*100,0))/10000</x:f>
        <x:v>1.9695</x:v>
      </x:c>
      <x:c r="I163" s="40" t="n">
        <x:f>C163*(10000-ROUND(F163*100,0))/10000</x:f>
        <x:v>2.0085</x:v>
      </x:c>
      <x:c r="J163" s="13" t="str">
        <x:f>IF(COUNTIFS($D$17:$D$369,"&lt;"&amp;D163,$E$17:$E$369,"&gt;="&amp;E163)+COUNTIFS($D$17:$D$369,"="&amp;D163,$E$17:$E$369,"&gt;"&amp;E163)=0,"是","否")</x:f>
        <x:v>否</x:v>
      </x:c>
      <x:c r="K163" s="13" t="str">
        <x:f>IF(COUNTIFS($G$17:$G$369,"&lt;"&amp;F163,$H$17:$H$369,"&gt;="&amp;I163)+COUNTIFS($G$17:$G$369,"="&amp;F163,$H$17:$H$369,"&gt;"&amp;I163)=0,"是","否")</x:f>
        <x:v>否</x:v>
      </x:c>
      <x:c r="L163" s="13" t="str">
        <x:f>IF(COUNTIFS($F$17:$F$369,"&lt;"&amp;G163,$I$17:$I$369,"&gt;="&amp;H163)+COUNTIFS($F$17:$F$369,"="&amp;G163,$I$17:$I$369,"&gt;"&amp;H163)-IF(OR(G163&gt;F163,I163&gt;H163),1,0)=0,"是","否")</x:f>
        <x:v>否</x:v>
      </x:c>
      <x:c r="M163" s="13" t="n">
        <x:f>1+COUNTIF($H$17:$H$369,"&gt;"&amp;I163)</x:f>
        <x:v>342</x:v>
      </x:c>
      <x:c r="N163" s="13" t="n">
        <x:f>COUNTIF($I$17:$I$369,"&gt;="&amp;H163)</x:f>
        <x:v>350</x:v>
      </x:c>
      <x:c r="O163" s="13" t="str">
        <x:v>I04 Table_1!D844/P844/U844</x:v>
      </x:c>
    </x:row>
    <x:row r="164" ht="24" customHeight="1">
      <x:c r="A164" s="13" t="str">
        <x:v>M89002</x:v>
      </x:c>
      <x:c r="B164" s="13" t="str">
        <x:v>QHL</x:v>
      </x:c>
      <x:c r="C164" s="13" t="n">
        <x:v>82</x:v>
      </x:c>
      <x:c r="D164" s="30" t="n">
        <x:v>93.9</x:v>
      </x:c>
      <x:c r="E164" s="14" t="n">
        <x:f>C164*(1000-ROUND(D164*10,0))/1000</x:f>
        <x:v>5.002</x:v>
      </x:c>
      <x:c r="F164" s="14" t="n">
        <x:f>MAX(0,(ROUND(D164*100,0)-ROUND($B$3*100,0))/100)</x:f>
        <x:v>93.85</x:v>
      </x:c>
      <x:c r="G164" s="14" t="n">
        <x:f>MIN(100,(ROUND(D164*100,0)+ROUND($B$3*100,0))/100)</x:f>
        <x:v>93.95</x:v>
      </x:c>
      <x:c r="H164" s="40" t="n">
        <x:f>C164*(10000-ROUND(G164*100,0))/10000</x:f>
        <x:v>4.961</x:v>
      </x:c>
      <x:c r="I164" s="40" t="n">
        <x:f>C164*(10000-ROUND(F164*100,0))/10000</x:f>
        <x:v>5.043</x:v>
      </x:c>
      <x:c r="J164" s="13" t="str">
        <x:f>IF(COUNTIFS($D$17:$D$369,"&lt;"&amp;D164,$E$17:$E$369,"&gt;="&amp;E164)+COUNTIFS($D$17:$D$369,"="&amp;D164,$E$17:$E$369,"&gt;"&amp;E164)=0,"是","否")</x:f>
        <x:v>否</x:v>
      </x:c>
      <x:c r="K164" s="13" t="str">
        <x:f>IF(COUNTIFS($G$17:$G$369,"&lt;"&amp;F164,$H$17:$H$369,"&gt;="&amp;I164)+COUNTIFS($G$17:$G$369,"="&amp;F164,$H$17:$H$369,"&gt;"&amp;I164)=0,"是","否")</x:f>
        <x:v>否</x:v>
      </x:c>
      <x:c r="L164" s="13" t="str">
        <x:f>IF(COUNTIFS($F$17:$F$369,"&lt;"&amp;G164,$I$17:$I$369,"&gt;="&amp;H164)+COUNTIFS($F$17:$F$369,"="&amp;G164,$I$17:$I$369,"&gt;"&amp;H164)-IF(OR(G164&gt;F164,I164&gt;H164),1,0)=0,"是","否")</x:f>
        <x:v>否</x:v>
      </x:c>
      <x:c r="M164" s="13" t="n">
        <x:f>1+COUNTIF($H$17:$H$369,"&gt;"&amp;I164)</x:f>
        <x:v>302</x:v>
      </x:c>
      <x:c r="N164" s="13" t="n">
        <x:f>COUNTIF($I$17:$I$369,"&gt;="&amp;H164)</x:f>
        <x:v>319</x:v>
      </x:c>
      <x:c r="O164" s="13" t="str">
        <x:v>I04 Table_1!D845/P845/U845</x:v>
      </x:c>
    </x:row>
    <x:row r="165" ht="24" customHeight="1">
      <x:c r="A165" s="13" t="str">
        <x:v>M89003</x:v>
      </x:c>
      <x:c r="B165" s="13" t="str">
        <x:v>QHL</x:v>
      </x:c>
      <x:c r="C165" s="13" t="n">
        <x:v>397</x:v>
      </x:c>
      <x:c r="D165" s="30" t="n">
        <x:v>90.9</x:v>
      </x:c>
      <x:c r="E165" s="14" t="n">
        <x:f>C165*(1000-ROUND(D165*10,0))/1000</x:f>
        <x:v>36.127</x:v>
      </x:c>
      <x:c r="F165" s="14" t="n">
        <x:f>MAX(0,(ROUND(D165*100,0)-ROUND($B$3*100,0))/100)</x:f>
        <x:v>90.85</x:v>
      </x:c>
      <x:c r="G165" s="14" t="n">
        <x:f>MIN(100,(ROUND(D165*100,0)+ROUND($B$3*100,0))/100)</x:f>
        <x:v>90.95</x:v>
      </x:c>
      <x:c r="H165" s="40" t="n">
        <x:f>C165*(10000-ROUND(G165*100,0))/10000</x:f>
        <x:v>35.9285</x:v>
      </x:c>
      <x:c r="I165" s="40" t="n">
        <x:f>C165*(10000-ROUND(F165*100,0))/10000</x:f>
        <x:v>36.3255</x:v>
      </x:c>
      <x:c r="J165" s="13" t="str">
        <x:f>IF(COUNTIFS($D$17:$D$369,"&lt;"&amp;D165,$E$17:$E$369,"&gt;="&amp;E165)+COUNTIFS($D$17:$D$369,"="&amp;D165,$E$17:$E$369,"&gt;"&amp;E165)=0,"是","否")</x:f>
        <x:v>否</x:v>
      </x:c>
      <x:c r="K165" s="13" t="str">
        <x:f>IF(COUNTIFS($G$17:$G$369,"&lt;"&amp;F165,$H$17:$H$369,"&gt;="&amp;I165)+COUNTIFS($G$17:$G$369,"="&amp;F165,$H$17:$H$369,"&gt;"&amp;I165)=0,"是","否")</x:f>
        <x:v>否</x:v>
      </x:c>
      <x:c r="L165" s="13" t="str">
        <x:f>IF(COUNTIFS($F$17:$F$369,"&lt;"&amp;G165,$I$17:$I$369,"&gt;="&amp;H165)+COUNTIFS($F$17:$F$369,"="&amp;G165,$I$17:$I$369,"&gt;"&amp;H165)-IF(OR(G165&gt;F165,I165&gt;H165),1,0)=0,"是","否")</x:f>
        <x:v>否</x:v>
      </x:c>
      <x:c r="M165" s="13" t="n">
        <x:f>1+COUNTIF($H$17:$H$369,"&gt;"&amp;I165)</x:f>
        <x:v>52</x:v>
      </x:c>
      <x:c r="N165" s="13" t="n">
        <x:f>COUNTIF($I$17:$I$369,"&gt;="&amp;H165)</x:f>
        <x:v>54</x:v>
      </x:c>
      <x:c r="O165" s="13" t="str">
        <x:v>I04 Table_1!D846/P846/U846</x:v>
      </x:c>
    </x:row>
    <x:row r="166" ht="24" customHeight="1">
      <x:c r="A166" s="13" t="str">
        <x:v>M89005</x:v>
      </x:c>
      <x:c r="B166" s="13" t="str">
        <x:v>QHL</x:v>
      </x:c>
      <x:c r="C166" s="13" t="n">
        <x:v>91</x:v>
      </x:c>
      <x:c r="D166" s="30" t="n">
        <x:v>85.7</x:v>
      </x:c>
      <x:c r="E166" s="14" t="n">
        <x:f>C166*(1000-ROUND(D166*10,0))/1000</x:f>
        <x:v>13.013</x:v>
      </x:c>
      <x:c r="F166" s="14" t="n">
        <x:f>MAX(0,(ROUND(D166*100,0)-ROUND($B$3*100,0))/100)</x:f>
        <x:v>85.65</x:v>
      </x:c>
      <x:c r="G166" s="14" t="n">
        <x:f>MIN(100,(ROUND(D166*100,0)+ROUND($B$3*100,0))/100)</x:f>
        <x:v>85.75</x:v>
      </x:c>
      <x:c r="H166" s="40" t="n">
        <x:f>C166*(10000-ROUND(G166*100,0))/10000</x:f>
        <x:v>12.9675</x:v>
      </x:c>
      <x:c r="I166" s="40" t="n">
        <x:f>C166*(10000-ROUND(F166*100,0))/10000</x:f>
        <x:v>13.0585</x:v>
      </x:c>
      <x:c r="J166" s="13" t="str">
        <x:f>IF(COUNTIFS($D$17:$D$369,"&lt;"&amp;D166,$E$17:$E$369,"&gt;="&amp;E166)+COUNTIFS($D$17:$D$369,"="&amp;D166,$E$17:$E$369,"&gt;"&amp;E166)=0,"是","否")</x:f>
        <x:v>否</x:v>
      </x:c>
      <x:c r="K166" s="13" t="str">
        <x:f>IF(COUNTIFS($G$17:$G$369,"&lt;"&amp;F166,$H$17:$H$369,"&gt;="&amp;I166)+COUNTIFS($G$17:$G$369,"="&amp;F166,$H$17:$H$369,"&gt;"&amp;I166)=0,"是","否")</x:f>
        <x:v>否</x:v>
      </x:c>
      <x:c r="L166" s="13" t="str">
        <x:f>IF(COUNTIFS($F$17:$F$369,"&lt;"&amp;G166,$I$17:$I$369,"&gt;="&amp;H166)+COUNTIFS($F$17:$F$369,"="&amp;G166,$I$17:$I$369,"&gt;"&amp;H166)-IF(OR(G166&gt;F166,I166&gt;H166),1,0)=0,"是","否")</x:f>
        <x:v>否</x:v>
      </x:c>
      <x:c r="M166" s="13" t="n">
        <x:f>1+COUNTIF($H$17:$H$369,"&gt;"&amp;I166)</x:f>
        <x:v>200</x:v>
      </x:c>
      <x:c r="N166" s="13" t="n">
        <x:f>COUNTIF($I$17:$I$369,"&gt;="&amp;H166)</x:f>
        <x:v>212</x:v>
      </x:c>
      <x:c r="O166" s="13" t="str">
        <x:v>I04 Table_1!D847/P847/U847</x:v>
      </x:c>
    </x:row>
    <x:row r="167" ht="24" customHeight="1">
      <x:c r="A167" s="13" t="str">
        <x:v>M89007</x:v>
      </x:c>
      <x:c r="B167" s="13" t="str">
        <x:v>QHL</x:v>
      </x:c>
      <x:c r="C167" s="13" t="n">
        <x:v>90</x:v>
      </x:c>
      <x:c r="D167" s="30" t="n">
        <x:v>84.4</x:v>
      </x:c>
      <x:c r="E167" s="14" t="n">
        <x:f>C167*(1000-ROUND(D167*10,0))/1000</x:f>
        <x:v>14.04</x:v>
      </x:c>
      <x:c r="F167" s="14" t="n">
        <x:f>MAX(0,(ROUND(D167*100,0)-ROUND($B$3*100,0))/100)</x:f>
        <x:v>84.35</x:v>
      </x:c>
      <x:c r="G167" s="14" t="n">
        <x:f>MIN(100,(ROUND(D167*100,0)+ROUND($B$3*100,0))/100)</x:f>
        <x:v>84.45</x:v>
      </x:c>
      <x:c r="H167" s="40" t="n">
        <x:f>C167*(10000-ROUND(G167*100,0))/10000</x:f>
        <x:v>13.995</x:v>
      </x:c>
      <x:c r="I167" s="40" t="n">
        <x:f>C167*(10000-ROUND(F167*100,0))/10000</x:f>
        <x:v>14.085</x:v>
      </x:c>
      <x:c r="J167" s="13" t="str">
        <x:f>IF(COUNTIFS($D$17:$D$369,"&lt;"&amp;D167,$E$17:$E$369,"&gt;="&amp;E167)+COUNTIFS($D$17:$D$369,"="&amp;D167,$E$17:$E$369,"&gt;"&amp;E167)=0,"是","否")</x:f>
        <x:v>否</x:v>
      </x:c>
      <x:c r="K167" s="13" t="str">
        <x:f>IF(COUNTIFS($G$17:$G$369,"&lt;"&amp;F167,$H$17:$H$369,"&gt;="&amp;I167)+COUNTIFS($G$17:$G$369,"="&amp;F167,$H$17:$H$369,"&gt;"&amp;I167)=0,"是","否")</x:f>
        <x:v>否</x:v>
      </x:c>
      <x:c r="L167" s="13" t="str">
        <x:f>IF(COUNTIFS($F$17:$F$369,"&lt;"&amp;G167,$I$17:$I$369,"&gt;="&amp;H167)+COUNTIFS($F$17:$F$369,"="&amp;G167,$I$17:$I$369,"&gt;"&amp;H167)-IF(OR(G167&gt;F167,I167&gt;H167),1,0)=0,"是","否")</x:f>
        <x:v>否</x:v>
      </x:c>
      <x:c r="M167" s="13" t="n">
        <x:f>1+COUNTIF($H$17:$H$369,"&gt;"&amp;I167)</x:f>
        <x:v>190</x:v>
      </x:c>
      <x:c r="N167" s="13" t="n">
        <x:f>COUNTIF($I$17:$I$369,"&gt;="&amp;H167)</x:f>
        <x:v>199</x:v>
      </x:c>
      <x:c r="O167" s="13" t="str">
        <x:v>I04 Table_1!D848/P848/U848</x:v>
      </x:c>
    </x:row>
    <x:row r="168" ht="24" customHeight="1">
      <x:c r="A168" s="13" t="str">
        <x:v>M89008</x:v>
      </x:c>
      <x:c r="B168" s="13" t="str">
        <x:v>QHL</x:v>
      </x:c>
      <x:c r="C168" s="13" t="n">
        <x:v>165</x:v>
      </x:c>
      <x:c r="D168" s="30" t="n">
        <x:v>77.6</x:v>
      </x:c>
      <x:c r="E168" s="14" t="n">
        <x:f>C168*(1000-ROUND(D168*10,0))/1000</x:f>
        <x:v>36.96</x:v>
      </x:c>
      <x:c r="F168" s="14" t="n">
        <x:f>MAX(0,(ROUND(D168*100,0)-ROUND($B$3*100,0))/100)</x:f>
        <x:v>77.55</x:v>
      </x:c>
      <x:c r="G168" s="14" t="n">
        <x:f>MIN(100,(ROUND(D168*100,0)+ROUND($B$3*100,0))/100)</x:f>
        <x:v>77.65</x:v>
      </x:c>
      <x:c r="H168" s="40" t="n">
        <x:f>C168*(10000-ROUND(G168*100,0))/10000</x:f>
        <x:v>36.8775</x:v>
      </x:c>
      <x:c r="I168" s="40" t="n">
        <x:f>C168*(10000-ROUND(F168*100,0))/10000</x:f>
        <x:v>37.0425</x:v>
      </x:c>
      <x:c r="J168" s="13" t="str">
        <x:f>IF(COUNTIFS($D$17:$D$369,"&lt;"&amp;D168,$E$17:$E$369,"&gt;="&amp;E168)+COUNTIFS($D$17:$D$369,"="&amp;D168,$E$17:$E$369,"&gt;"&amp;E168)=0,"是","否")</x:f>
        <x:v>否</x:v>
      </x:c>
      <x:c r="K168" s="13" t="str">
        <x:f>IF(COUNTIFS($G$17:$G$369,"&lt;"&amp;F168,$H$17:$H$369,"&gt;="&amp;I168)+COUNTIFS($G$17:$G$369,"="&amp;F168,$H$17:$H$369,"&gt;"&amp;I168)=0,"是","否")</x:f>
        <x:v>否</x:v>
      </x:c>
      <x:c r="L168" s="13" t="str">
        <x:f>IF(COUNTIFS($F$17:$F$369,"&lt;"&amp;G168,$I$17:$I$369,"&gt;="&amp;H168)+COUNTIFS($F$17:$F$369,"="&amp;G168,$I$17:$I$369,"&gt;"&amp;H168)-IF(OR(G168&gt;F168,I168&gt;H168),1,0)=0,"是","否")</x:f>
        <x:v>否</x:v>
      </x:c>
      <x:c r="M168" s="13" t="n">
        <x:f>1+COUNTIF($H$17:$H$369,"&gt;"&amp;I168)</x:f>
        <x:v>47</x:v>
      </x:c>
      <x:c r="N168" s="13" t="n">
        <x:f>COUNTIF($I$17:$I$369,"&gt;="&amp;H168)</x:f>
        <x:v>51</x:v>
      </x:c>
      <x:c r="O168" s="13" t="str">
        <x:v>I04 Table_1!D849/P849/U849</x:v>
      </x:c>
    </x:row>
    <x:row r="169" ht="24" customHeight="1">
      <x:c r="A169" s="13" t="str">
        <x:v>M89009</x:v>
      </x:c>
      <x:c r="B169" s="13" t="str">
        <x:v>QHL</x:v>
      </x:c>
      <x:c r="C169" s="13" t="n">
        <x:v>139</x:v>
      </x:c>
      <x:c r="D169" s="30" t="n">
        <x:v>82.7</x:v>
      </x:c>
      <x:c r="E169" s="14" t="n">
        <x:f>C169*(1000-ROUND(D169*10,0))/1000</x:f>
        <x:v>24.047</x:v>
      </x:c>
      <x:c r="F169" s="14" t="n">
        <x:f>MAX(0,(ROUND(D169*100,0)-ROUND($B$3*100,0))/100)</x:f>
        <x:v>82.65</x:v>
      </x:c>
      <x:c r="G169" s="14" t="n">
        <x:f>MIN(100,(ROUND(D169*100,0)+ROUND($B$3*100,0))/100)</x:f>
        <x:v>82.75</x:v>
      </x:c>
      <x:c r="H169" s="40" t="n">
        <x:f>C169*(10000-ROUND(G169*100,0))/10000</x:f>
        <x:v>23.9775</x:v>
      </x:c>
      <x:c r="I169" s="40" t="n">
        <x:f>C169*(10000-ROUND(F169*100,0))/10000</x:f>
        <x:v>24.1165</x:v>
      </x:c>
      <x:c r="J169" s="13" t="str">
        <x:f>IF(COUNTIFS($D$17:$D$369,"&lt;"&amp;D169,$E$17:$E$369,"&gt;="&amp;E169)+COUNTIFS($D$17:$D$369,"="&amp;D169,$E$17:$E$369,"&gt;"&amp;E169)=0,"是","否")</x:f>
        <x:v>否</x:v>
      </x:c>
      <x:c r="K169" s="13" t="str">
        <x:f>IF(COUNTIFS($G$17:$G$369,"&lt;"&amp;F169,$H$17:$H$369,"&gt;="&amp;I169)+COUNTIFS($G$17:$G$369,"="&amp;F169,$H$17:$H$369,"&gt;"&amp;I169)=0,"是","否")</x:f>
        <x:v>否</x:v>
      </x:c>
      <x:c r="L169" s="13" t="str">
        <x:f>IF(COUNTIFS($F$17:$F$369,"&lt;"&amp;G169,$I$17:$I$369,"&gt;="&amp;H169)+COUNTIFS($F$17:$F$369,"="&amp;G169,$I$17:$I$369,"&gt;"&amp;H169)-IF(OR(G169&gt;F169,I169&gt;H169),1,0)=0,"是","否")</x:f>
        <x:v>否</x:v>
      </x:c>
      <x:c r="M169" s="13" t="n">
        <x:f>1+COUNTIF($H$17:$H$369,"&gt;"&amp;I169)</x:f>
        <x:v>101</x:v>
      </x:c>
      <x:c r="N169" s="13" t="n">
        <x:f>COUNTIF($I$17:$I$369,"&gt;="&amp;H169)</x:f>
        <x:v>111</x:v>
      </x:c>
      <x:c r="O169" s="13" t="str">
        <x:v>I04 Table_1!D850/P850/U850</x:v>
      </x:c>
    </x:row>
    <x:row r="170" ht="24" customHeight="1">
      <x:c r="A170" s="13" t="str">
        <x:v>M89010</x:v>
      </x:c>
      <x:c r="B170" s="13" t="str">
        <x:v>QHL</x:v>
      </x:c>
      <x:c r="C170" s="13" t="n">
        <x:v>108</x:v>
      </x:c>
      <x:c r="D170" s="30" t="n">
        <x:v>93.5</x:v>
      </x:c>
      <x:c r="E170" s="14" t="n">
        <x:f>C170*(1000-ROUND(D170*10,0))/1000</x:f>
        <x:v>7.02</x:v>
      </x:c>
      <x:c r="F170" s="14" t="n">
        <x:f>MAX(0,(ROUND(D170*100,0)-ROUND($B$3*100,0))/100)</x:f>
        <x:v>93.45</x:v>
      </x:c>
      <x:c r="G170" s="14" t="n">
        <x:f>MIN(100,(ROUND(D170*100,0)+ROUND($B$3*100,0))/100)</x:f>
        <x:v>93.55</x:v>
      </x:c>
      <x:c r="H170" s="40" t="n">
        <x:f>C170*(10000-ROUND(G170*100,0))/10000</x:f>
        <x:v>6.966</x:v>
      </x:c>
      <x:c r="I170" s="40" t="n">
        <x:f>C170*(10000-ROUND(F170*100,0))/10000</x:f>
        <x:v>7.074</x:v>
      </x:c>
      <x:c r="J170" s="13" t="str">
        <x:f>IF(COUNTIFS($D$17:$D$369,"&lt;"&amp;D170,$E$17:$E$369,"&gt;="&amp;E170)+COUNTIFS($D$17:$D$369,"="&amp;D170,$E$17:$E$369,"&gt;"&amp;E170)=0,"是","否")</x:f>
        <x:v>否</x:v>
      </x:c>
      <x:c r="K170" s="13" t="str">
        <x:f>IF(COUNTIFS($G$17:$G$369,"&lt;"&amp;F170,$H$17:$H$369,"&gt;="&amp;I170)+COUNTIFS($G$17:$G$369,"="&amp;F170,$H$17:$H$369,"&gt;"&amp;I170)=0,"是","否")</x:f>
        <x:v>否</x:v>
      </x:c>
      <x:c r="L170" s="13" t="str">
        <x:f>IF(COUNTIFS($F$17:$F$369,"&lt;"&amp;G170,$I$17:$I$369,"&gt;="&amp;H170)+COUNTIFS($F$17:$F$369,"="&amp;G170,$I$17:$I$369,"&gt;"&amp;H170)-IF(OR(G170&gt;F170,I170&gt;H170),1,0)=0,"是","否")</x:f>
        <x:v>否</x:v>
      </x:c>
      <x:c r="M170" s="13" t="n">
        <x:f>1+COUNTIF($H$17:$H$369,"&gt;"&amp;I170)</x:f>
        <x:v>272</x:v>
      </x:c>
      <x:c r="N170" s="13" t="n">
        <x:f>COUNTIF($I$17:$I$369,"&gt;="&amp;H170)</x:f>
        <x:v>285</x:v>
      </x:c>
      <x:c r="O170" s="13" t="str">
        <x:v>I04 Table_1!D851/P851/U851</x:v>
      </x:c>
    </x:row>
    <x:row r="171" ht="24" customHeight="1">
      <x:c r="A171" s="13" t="str">
        <x:v>M89012</x:v>
      </x:c>
      <x:c r="B171" s="13" t="str">
        <x:v>QHL</x:v>
      </x:c>
      <x:c r="C171" s="13" t="n">
        <x:v>150</x:v>
      </x:c>
      <x:c r="D171" s="30" t="n">
        <x:v>82.7</x:v>
      </x:c>
      <x:c r="E171" s="14" t="n">
        <x:f>C171*(1000-ROUND(D171*10,0))/1000</x:f>
        <x:v>25.95</x:v>
      </x:c>
      <x:c r="F171" s="14" t="n">
        <x:f>MAX(0,(ROUND(D171*100,0)-ROUND($B$3*100,0))/100)</x:f>
        <x:v>82.65</x:v>
      </x:c>
      <x:c r="G171" s="14" t="n">
        <x:f>MIN(100,(ROUND(D171*100,0)+ROUND($B$3*100,0))/100)</x:f>
        <x:v>82.75</x:v>
      </x:c>
      <x:c r="H171" s="40" t="n">
        <x:f>C171*(10000-ROUND(G171*100,0))/10000</x:f>
        <x:v>25.875</x:v>
      </x:c>
      <x:c r="I171" s="40" t="n">
        <x:f>C171*(10000-ROUND(F171*100,0))/10000</x:f>
        <x:v>26.025</x:v>
      </x:c>
      <x:c r="J171" s="13" t="str">
        <x:f>IF(COUNTIFS($D$17:$D$369,"&lt;"&amp;D171,$E$17:$E$369,"&gt;="&amp;E171)+COUNTIFS($D$17:$D$369,"="&amp;D171,$E$17:$E$369,"&gt;"&amp;E171)=0,"是","否")</x:f>
        <x:v>否</x:v>
      </x:c>
      <x:c r="K171" s="13" t="str">
        <x:f>IF(COUNTIFS($G$17:$G$369,"&lt;"&amp;F171,$H$17:$H$369,"&gt;="&amp;I171)+COUNTIFS($G$17:$G$369,"="&amp;F171,$H$17:$H$369,"&gt;"&amp;I171)=0,"是","否")</x:f>
        <x:v>否</x:v>
      </x:c>
      <x:c r="L171" s="13" t="str">
        <x:f>IF(COUNTIFS($F$17:$F$369,"&lt;"&amp;G171,$I$17:$I$369,"&gt;="&amp;H171)+COUNTIFS($F$17:$F$369,"="&amp;G171,$I$17:$I$369,"&gt;"&amp;H171)-IF(OR(G171&gt;F171,I171&gt;H171),1,0)=0,"是","否")</x:f>
        <x:v>否</x:v>
      </x:c>
      <x:c r="M171" s="13" t="n">
        <x:f>1+COUNTIF($H$17:$H$369,"&gt;"&amp;I171)</x:f>
        <x:v>93</x:v>
      </x:c>
      <x:c r="N171" s="13" t="n">
        <x:f>COUNTIF($I$17:$I$369,"&gt;="&amp;H171)</x:f>
        <x:v>95</x:v>
      </x:c>
      <x:c r="O171" s="13" t="str">
        <x:v>I04 Table_1!D852/P852/U852</x:v>
      </x:c>
    </x:row>
    <x:row r="172" ht="24" customHeight="1">
      <x:c r="A172" s="13" t="str">
        <x:v>M89013</x:v>
      </x:c>
      <x:c r="B172" s="13" t="str">
        <x:v>QHL</x:v>
      </x:c>
      <x:c r="C172" s="13" t="n">
        <x:v>88</x:v>
      </x:c>
      <x:c r="D172" s="30" t="n">
        <x:v>72.7</x:v>
      </x:c>
      <x:c r="E172" s="14" t="n">
        <x:f>C172*(1000-ROUND(D172*10,0))/1000</x:f>
        <x:v>24.024</x:v>
      </x:c>
      <x:c r="F172" s="14" t="n">
        <x:f>MAX(0,(ROUND(D172*100,0)-ROUND($B$3*100,0))/100)</x:f>
        <x:v>72.65</x:v>
      </x:c>
      <x:c r="G172" s="14" t="n">
        <x:f>MIN(100,(ROUND(D172*100,0)+ROUND($B$3*100,0))/100)</x:f>
        <x:v>72.75</x:v>
      </x:c>
      <x:c r="H172" s="40" t="n">
        <x:f>C172*(10000-ROUND(G172*100,0))/10000</x:f>
        <x:v>23.98</x:v>
      </x:c>
      <x:c r="I172" s="40" t="n">
        <x:f>C172*(10000-ROUND(F172*100,0))/10000</x:f>
        <x:v>24.068</x:v>
      </x:c>
      <x:c r="J172" s="13" t="str">
        <x:f>IF(COUNTIFS($D$17:$D$369,"&lt;"&amp;D172,$E$17:$E$369,"&gt;="&amp;E172)+COUNTIFS($D$17:$D$369,"="&amp;D172,$E$17:$E$369,"&gt;"&amp;E172)=0,"是","否")</x:f>
        <x:v>否</x:v>
      </x:c>
      <x:c r="K172" s="13" t="str">
        <x:f>IF(COUNTIFS($G$17:$G$369,"&lt;"&amp;F172,$H$17:$H$369,"&gt;="&amp;I172)+COUNTIFS($G$17:$G$369,"="&amp;F172,$H$17:$H$369,"&gt;"&amp;I172)=0,"是","否")</x:f>
        <x:v>否</x:v>
      </x:c>
      <x:c r="L172" s="13" t="str">
        <x:f>IF(COUNTIFS($F$17:$F$369,"&lt;"&amp;G172,$I$17:$I$369,"&gt;="&amp;H172)+COUNTIFS($F$17:$F$369,"="&amp;G172,$I$17:$I$369,"&gt;"&amp;H172)-IF(OR(G172&gt;F172,I172&gt;H172),1,0)=0,"是","否")</x:f>
        <x:v>否</x:v>
      </x:c>
      <x:c r="M172" s="13" t="n">
        <x:f>1+COUNTIF($H$17:$H$369,"&gt;"&amp;I172)</x:f>
        <x:v>101</x:v>
      </x:c>
      <x:c r="N172" s="13" t="n">
        <x:f>COUNTIF($I$17:$I$369,"&gt;="&amp;H172)</x:f>
        <x:v>111</x:v>
      </x:c>
      <x:c r="O172" s="13" t="str">
        <x:v>I04 Table_1!D853/P853/U853</x:v>
      </x:c>
    </x:row>
    <x:row r="173" ht="24" customHeight="1">
      <x:c r="A173" s="13" t="str">
        <x:v>M89015</x:v>
      </x:c>
      <x:c r="B173" s="13" t="str">
        <x:v>QHL</x:v>
      </x:c>
      <x:c r="C173" s="13" t="n">
        <x:v>140</x:v>
      </x:c>
      <x:c r="D173" s="30" t="n">
        <x:v>90.7</x:v>
      </x:c>
      <x:c r="E173" s="14" t="n">
        <x:f>C173*(1000-ROUND(D173*10,0))/1000</x:f>
        <x:v>13.02</x:v>
      </x:c>
      <x:c r="F173" s="14" t="n">
        <x:f>MAX(0,(ROUND(D173*100,0)-ROUND($B$3*100,0))/100)</x:f>
        <x:v>90.65</x:v>
      </x:c>
      <x:c r="G173" s="14" t="n">
        <x:f>MIN(100,(ROUND(D173*100,0)+ROUND($B$3*100,0))/100)</x:f>
        <x:v>90.75</x:v>
      </x:c>
      <x:c r="H173" s="40" t="n">
        <x:f>C173*(10000-ROUND(G173*100,0))/10000</x:f>
        <x:v>12.95</x:v>
      </x:c>
      <x:c r="I173" s="40" t="n">
        <x:f>C173*(10000-ROUND(F173*100,0))/10000</x:f>
        <x:v>13.09</x:v>
      </x:c>
      <x:c r="J173" s="13" t="str">
        <x:f>IF(COUNTIFS($D$17:$D$369,"&lt;"&amp;D173,$E$17:$E$369,"&gt;="&amp;E173)+COUNTIFS($D$17:$D$369,"="&amp;D173,$E$17:$E$369,"&gt;"&amp;E173)=0,"是","否")</x:f>
        <x:v>否</x:v>
      </x:c>
      <x:c r="K173" s="13" t="str">
        <x:f>IF(COUNTIFS($G$17:$G$369,"&lt;"&amp;F173,$H$17:$H$369,"&gt;="&amp;I173)+COUNTIFS($G$17:$G$369,"="&amp;F173,$H$17:$H$369,"&gt;"&amp;I173)=0,"是","否")</x:f>
        <x:v>否</x:v>
      </x:c>
      <x:c r="L173" s="13" t="str">
        <x:f>IF(COUNTIFS($F$17:$F$369,"&lt;"&amp;G173,$I$17:$I$369,"&gt;="&amp;H173)+COUNTIFS($F$17:$F$369,"="&amp;G173,$I$17:$I$369,"&gt;"&amp;H173)-IF(OR(G173&gt;F173,I173&gt;H173),1,0)=0,"是","否")</x:f>
        <x:v>否</x:v>
      </x:c>
      <x:c r="M173" s="13" t="n">
        <x:f>1+COUNTIF($H$17:$H$369,"&gt;"&amp;I173)</x:f>
        <x:v>200</x:v>
      </x:c>
      <x:c r="N173" s="13" t="n">
        <x:f>COUNTIF($I$17:$I$369,"&gt;="&amp;H173)</x:f>
        <x:v>212</x:v>
      </x:c>
      <x:c r="O173" s="13" t="str">
        <x:v>I04 Table_1!D854/P854/U854</x:v>
      </x:c>
    </x:row>
    <x:row r="174" ht="24" customHeight="1">
      <x:c r="A174" s="13" t="str">
        <x:v>M89016</x:v>
      </x:c>
      <x:c r="B174" s="13" t="str">
        <x:v>QHL</x:v>
      </x:c>
      <x:c r="C174" s="13" t="n">
        <x:v>127</x:v>
      </x:c>
      <x:c r="D174" s="30" t="n">
        <x:v>87.4</x:v>
      </x:c>
      <x:c r="E174" s="14" t="n">
        <x:f>C174*(1000-ROUND(D174*10,0))/1000</x:f>
        <x:v>16.002</x:v>
      </x:c>
      <x:c r="F174" s="14" t="n">
        <x:f>MAX(0,(ROUND(D174*100,0)-ROUND($B$3*100,0))/100)</x:f>
        <x:v>87.35</x:v>
      </x:c>
      <x:c r="G174" s="14" t="n">
        <x:f>MIN(100,(ROUND(D174*100,0)+ROUND($B$3*100,0))/100)</x:f>
        <x:v>87.45</x:v>
      </x:c>
      <x:c r="H174" s="40" t="n">
        <x:f>C174*(10000-ROUND(G174*100,0))/10000</x:f>
        <x:v>15.9385</x:v>
      </x:c>
      <x:c r="I174" s="40" t="n">
        <x:f>C174*(10000-ROUND(F174*100,0))/10000</x:f>
        <x:v>16.0655</x:v>
      </x:c>
      <x:c r="J174" s="13" t="str">
        <x:f>IF(COUNTIFS($D$17:$D$369,"&lt;"&amp;D174,$E$17:$E$369,"&gt;="&amp;E174)+COUNTIFS($D$17:$D$369,"="&amp;D174,$E$17:$E$369,"&gt;"&amp;E174)=0,"是","否")</x:f>
        <x:v>否</x:v>
      </x:c>
      <x:c r="K174" s="13" t="str">
        <x:f>IF(COUNTIFS($G$17:$G$369,"&lt;"&amp;F174,$H$17:$H$369,"&gt;="&amp;I174)+COUNTIFS($G$17:$G$369,"="&amp;F174,$H$17:$H$369,"&gt;"&amp;I174)=0,"是","否")</x:f>
        <x:v>否</x:v>
      </x:c>
      <x:c r="L174" s="13" t="str">
        <x:f>IF(COUNTIFS($F$17:$F$369,"&lt;"&amp;G174,$I$17:$I$369,"&gt;="&amp;H174)+COUNTIFS($F$17:$F$369,"="&amp;G174,$I$17:$I$369,"&gt;"&amp;H174)-IF(OR(G174&gt;F174,I174&gt;H174),1,0)=0,"是","否")</x:f>
        <x:v>否</x:v>
      </x:c>
      <x:c r="M174" s="13" t="n">
        <x:f>1+COUNTIF($H$17:$H$369,"&gt;"&amp;I174)</x:f>
        <x:v>167</x:v>
      </x:c>
      <x:c r="N174" s="13" t="n">
        <x:f>COUNTIF($I$17:$I$369,"&gt;="&amp;H174)</x:f>
        <x:v>176</x:v>
      </x:c>
      <x:c r="O174" s="13" t="str">
        <x:v>I04 Table_1!D855/P855/U855</x:v>
      </x:c>
    </x:row>
    <x:row r="175" ht="24" customHeight="1">
      <x:c r="A175" s="13" t="str">
        <x:v>M89017</x:v>
      </x:c>
      <x:c r="B175" s="13" t="str">
        <x:v>QHL</x:v>
      </x:c>
      <x:c r="C175" s="13" t="n">
        <x:v>593</x:v>
      </x:c>
      <x:c r="D175" s="30" t="n">
        <x:v>87.2</x:v>
      </x:c>
      <x:c r="E175" s="14" t="n">
        <x:f>C175*(1000-ROUND(D175*10,0))/1000</x:f>
        <x:v>75.904</x:v>
      </x:c>
      <x:c r="F175" s="14" t="n">
        <x:f>MAX(0,(ROUND(D175*100,0)-ROUND($B$3*100,0))/100)</x:f>
        <x:v>87.15</x:v>
      </x:c>
      <x:c r="G175" s="14" t="n">
        <x:f>MIN(100,(ROUND(D175*100,0)+ROUND($B$3*100,0))/100)</x:f>
        <x:v>87.25</x:v>
      </x:c>
      <x:c r="H175" s="40" t="n">
        <x:f>C175*(10000-ROUND(G175*100,0))/10000</x:f>
        <x:v>75.6075</x:v>
      </x:c>
      <x:c r="I175" s="40" t="n">
        <x:f>C175*(10000-ROUND(F175*100,0))/10000</x:f>
        <x:v>76.2005</x:v>
      </x:c>
      <x:c r="J175" s="13" t="str">
        <x:f>IF(COUNTIFS($D$17:$D$369,"&lt;"&amp;D175,$E$17:$E$369,"&gt;="&amp;E175)+COUNTIFS($D$17:$D$369,"="&amp;D175,$E$17:$E$369,"&gt;"&amp;E175)=0,"是","否")</x:f>
        <x:v>否</x:v>
      </x:c>
      <x:c r="K175" s="13" t="str">
        <x:f>IF(COUNTIFS($G$17:$G$369,"&lt;"&amp;F175,$H$17:$H$369,"&gt;="&amp;I175)+COUNTIFS($G$17:$G$369,"="&amp;F175,$H$17:$H$369,"&gt;"&amp;I175)=0,"是","否")</x:f>
        <x:v>否</x:v>
      </x:c>
      <x:c r="L175" s="13" t="str">
        <x:f>IF(COUNTIFS($F$17:$F$369,"&lt;"&amp;G175,$I$17:$I$369,"&gt;="&amp;H175)+COUNTIFS($F$17:$F$369,"="&amp;G175,$I$17:$I$369,"&gt;"&amp;H175)-IF(OR(G175&gt;F175,I175&gt;H175),1,0)=0,"是","否")</x:f>
        <x:v>否</x:v>
      </x:c>
      <x:c r="M175" s="13" t="n">
        <x:f>1+COUNTIF($H$17:$H$369,"&gt;"&amp;I175)</x:f>
        <x:v>10</x:v>
      </x:c>
      <x:c r="N175" s="13" t="n">
        <x:f>COUNTIF($I$17:$I$369,"&gt;="&amp;H175)</x:f>
        <x:v>10</x:v>
      </x:c>
      <x:c r="O175" s="13" t="str">
        <x:v>I04 Table_1!D856/P856/U856</x:v>
      </x:c>
    </x:row>
    <x:row r="176" ht="24" customHeight="1">
      <x:c r="A176" s="13" t="str">
        <x:v>M89019</x:v>
      </x:c>
      <x:c r="B176" s="13" t="str">
        <x:v>QHL</x:v>
      </x:c>
      <x:c r="C176" s="13" t="n">
        <x:v>115</x:v>
      </x:c>
      <x:c r="D176" s="30" t="n">
        <x:v>81.7</x:v>
      </x:c>
      <x:c r="E176" s="14" t="n">
        <x:f>C176*(1000-ROUND(D176*10,0))/1000</x:f>
        <x:v>21.045</x:v>
      </x:c>
      <x:c r="F176" s="14" t="n">
        <x:f>MAX(0,(ROUND(D176*100,0)-ROUND($B$3*100,0))/100)</x:f>
        <x:v>81.65</x:v>
      </x:c>
      <x:c r="G176" s="14" t="n">
        <x:f>MIN(100,(ROUND(D176*100,0)+ROUND($B$3*100,0))/100)</x:f>
        <x:v>81.75</x:v>
      </x:c>
      <x:c r="H176" s="40" t="n">
        <x:f>C176*(10000-ROUND(G176*100,0))/10000</x:f>
        <x:v>20.9875</x:v>
      </x:c>
      <x:c r="I176" s="40" t="n">
        <x:f>C176*(10000-ROUND(F176*100,0))/10000</x:f>
        <x:v>21.1025</x:v>
      </x:c>
      <x:c r="J176" s="13" t="str">
        <x:f>IF(COUNTIFS($D$17:$D$369,"&lt;"&amp;D176,$E$17:$E$369,"&gt;="&amp;E176)+COUNTIFS($D$17:$D$369,"="&amp;D176,$E$17:$E$369,"&gt;"&amp;E176)=0,"是","否")</x:f>
        <x:v>否</x:v>
      </x:c>
      <x:c r="K176" s="13" t="str">
        <x:f>IF(COUNTIFS($G$17:$G$369,"&lt;"&amp;F176,$H$17:$H$369,"&gt;="&amp;I176)+COUNTIFS($G$17:$G$369,"="&amp;F176,$H$17:$H$369,"&gt;"&amp;I176)=0,"是","否")</x:f>
        <x:v>否</x:v>
      </x:c>
      <x:c r="L176" s="13" t="str">
        <x:f>IF(COUNTIFS($F$17:$F$369,"&lt;"&amp;G176,$I$17:$I$369,"&gt;="&amp;H176)+COUNTIFS($F$17:$F$369,"="&amp;G176,$I$17:$I$369,"&gt;"&amp;H176)-IF(OR(G176&gt;F176,I176&gt;H176),1,0)=0,"是","否")</x:f>
        <x:v>否</x:v>
      </x:c>
      <x:c r="M176" s="13" t="n">
        <x:f>1+COUNTIF($H$17:$H$369,"&gt;"&amp;I176)</x:f>
        <x:v>123</x:v>
      </x:c>
      <x:c r="N176" s="13" t="n">
        <x:f>COUNTIF($I$17:$I$369,"&gt;="&amp;H176)</x:f>
        <x:v>129</x:v>
      </x:c>
      <x:c r="O176" s="13" t="str">
        <x:v>I04 Table_1!D857/P857/U857</x:v>
      </x:c>
    </x:row>
    <x:row r="177" ht="24" customHeight="1">
      <x:c r="A177" s="13" t="str">
        <x:v>M89021</x:v>
      </x:c>
      <x:c r="B177" s="13" t="str">
        <x:v>QHL</x:v>
      </x:c>
      <x:c r="C177" s="13" t="n">
        <x:v>54</x:v>
      </x:c>
      <x:c r="D177" s="30" t="n">
        <x:v>85.2</x:v>
      </x:c>
      <x:c r="E177" s="14" t="n">
        <x:f>C177*(1000-ROUND(D177*10,0))/1000</x:f>
        <x:v>7.992</x:v>
      </x:c>
      <x:c r="F177" s="14" t="n">
        <x:f>MAX(0,(ROUND(D177*100,0)-ROUND($B$3*100,0))/100)</x:f>
        <x:v>85.15</x:v>
      </x:c>
      <x:c r="G177" s="14" t="n">
        <x:f>MIN(100,(ROUND(D177*100,0)+ROUND($B$3*100,0))/100)</x:f>
        <x:v>85.25</x:v>
      </x:c>
      <x:c r="H177" s="40" t="n">
        <x:f>C177*(10000-ROUND(G177*100,0))/10000</x:f>
        <x:v>7.965</x:v>
      </x:c>
      <x:c r="I177" s="40" t="n">
        <x:f>C177*(10000-ROUND(F177*100,0))/10000</x:f>
        <x:v>8.019</x:v>
      </x:c>
      <x:c r="J177" s="13" t="str">
        <x:f>IF(COUNTIFS($D$17:$D$369,"&lt;"&amp;D177,$E$17:$E$369,"&gt;="&amp;E177)+COUNTIFS($D$17:$D$369,"="&amp;D177,$E$17:$E$369,"&gt;"&amp;E177)=0,"是","否")</x:f>
        <x:v>否</x:v>
      </x:c>
      <x:c r="K177" s="13" t="str">
        <x:f>IF(COUNTIFS($G$17:$G$369,"&lt;"&amp;F177,$H$17:$H$369,"&gt;="&amp;I177)+COUNTIFS($G$17:$G$369,"="&amp;F177,$H$17:$H$369,"&gt;"&amp;I177)=0,"是","否")</x:f>
        <x:v>否</x:v>
      </x:c>
      <x:c r="L177" s="13" t="str">
        <x:f>IF(COUNTIFS($F$17:$F$369,"&lt;"&amp;G177,$I$17:$I$369,"&gt;="&amp;H177)+COUNTIFS($F$17:$F$369,"="&amp;G177,$I$17:$I$369,"&gt;"&amp;H177)-IF(OR(G177&gt;F177,I177&gt;H177),1,0)=0,"是","否")</x:f>
        <x:v>否</x:v>
      </x:c>
      <x:c r="M177" s="13" t="n">
        <x:f>1+COUNTIF($H$17:$H$369,"&gt;"&amp;I177)</x:f>
        <x:v>257</x:v>
      </x:c>
      <x:c r="N177" s="13" t="n">
        <x:f>COUNTIF($I$17:$I$369,"&gt;="&amp;H177)</x:f>
        <x:v>271</x:v>
      </x:c>
      <x:c r="O177" s="13" t="str">
        <x:v>I04 Table_1!D858/P858/U858</x:v>
      </x:c>
    </x:row>
    <x:row r="178" ht="24" customHeight="1">
      <x:c r="A178" s="13" t="str">
        <x:v>M89024</x:v>
      </x:c>
      <x:c r="B178" s="13" t="str">
        <x:v>QHL</x:v>
      </x:c>
      <x:c r="C178" s="13" t="n">
        <x:v>41</x:v>
      </x:c>
      <x:c r="D178" s="30" t="n">
        <x:v>85.4</x:v>
      </x:c>
      <x:c r="E178" s="14" t="n">
        <x:f>C178*(1000-ROUND(D178*10,0))/1000</x:f>
        <x:v>5.986</x:v>
      </x:c>
      <x:c r="F178" s="14" t="n">
        <x:f>MAX(0,(ROUND(D178*100,0)-ROUND($B$3*100,0))/100)</x:f>
        <x:v>85.35</x:v>
      </x:c>
      <x:c r="G178" s="14" t="n">
        <x:f>MIN(100,(ROUND(D178*100,0)+ROUND($B$3*100,0))/100)</x:f>
        <x:v>85.45</x:v>
      </x:c>
      <x:c r="H178" s="40" t="n">
        <x:f>C178*(10000-ROUND(G178*100,0))/10000</x:f>
        <x:v>5.9655</x:v>
      </x:c>
      <x:c r="I178" s="40" t="n">
        <x:f>C178*(10000-ROUND(F178*100,0))/10000</x:f>
        <x:v>6.0065</x:v>
      </x:c>
      <x:c r="J178" s="13" t="str">
        <x:f>IF(COUNTIFS($D$17:$D$369,"&lt;"&amp;D178,$E$17:$E$369,"&gt;="&amp;E178)+COUNTIFS($D$17:$D$369,"="&amp;D178,$E$17:$E$369,"&gt;"&amp;E178)=0,"是","否")</x:f>
        <x:v>否</x:v>
      </x:c>
      <x:c r="K178" s="13" t="str">
        <x:f>IF(COUNTIFS($G$17:$G$369,"&lt;"&amp;F178,$H$17:$H$369,"&gt;="&amp;I178)+COUNTIFS($G$17:$G$369,"="&amp;F178,$H$17:$H$369,"&gt;"&amp;I178)=0,"是","否")</x:f>
        <x:v>否</x:v>
      </x:c>
      <x:c r="L178" s="13" t="str">
        <x:f>IF(COUNTIFS($F$17:$F$369,"&lt;"&amp;G178,$I$17:$I$369,"&gt;="&amp;H178)+COUNTIFS($F$17:$F$369,"="&amp;G178,$I$17:$I$369,"&gt;"&amp;H178)-IF(OR(G178&gt;F178,I178&gt;H178),1,0)=0,"是","否")</x:f>
        <x:v>否</x:v>
      </x:c>
      <x:c r="M178" s="13" t="n">
        <x:f>1+COUNTIF($H$17:$H$369,"&gt;"&amp;I178)</x:f>
        <x:v>286</x:v>
      </x:c>
      <x:c r="N178" s="13" t="n">
        <x:f>COUNTIF($I$17:$I$369,"&gt;="&amp;H178)</x:f>
        <x:v>301</x:v>
      </x:c>
      <x:c r="O178" s="13" t="str">
        <x:v>I04 Table_1!D859/P859/U859</x:v>
      </x:c>
    </x:row>
    <x:row r="179" ht="24" customHeight="1">
      <x:c r="A179" s="13" t="str">
        <x:v>M89026</x:v>
      </x:c>
      <x:c r="B179" s="13" t="str">
        <x:v>QHL</x:v>
      </x:c>
      <x:c r="C179" s="13" t="n">
        <x:v>106</x:v>
      </x:c>
      <x:c r="D179" s="30" t="n">
        <x:v>86.8</x:v>
      </x:c>
      <x:c r="E179" s="14" t="n">
        <x:f>C179*(1000-ROUND(D179*10,0))/1000</x:f>
        <x:v>13.992</x:v>
      </x:c>
      <x:c r="F179" s="14" t="n">
        <x:f>MAX(0,(ROUND(D179*100,0)-ROUND($B$3*100,0))/100)</x:f>
        <x:v>86.75</x:v>
      </x:c>
      <x:c r="G179" s="14" t="n">
        <x:f>MIN(100,(ROUND(D179*100,0)+ROUND($B$3*100,0))/100)</x:f>
        <x:v>86.85</x:v>
      </x:c>
      <x:c r="H179" s="40" t="n">
        <x:f>C179*(10000-ROUND(G179*100,0))/10000</x:f>
        <x:v>13.939</x:v>
      </x:c>
      <x:c r="I179" s="40" t="n">
        <x:f>C179*(10000-ROUND(F179*100,0))/10000</x:f>
        <x:v>14.045</x:v>
      </x:c>
      <x:c r="J179" s="13" t="str">
        <x:f>IF(COUNTIFS($D$17:$D$369,"&lt;"&amp;D179,$E$17:$E$369,"&gt;="&amp;E179)+COUNTIFS($D$17:$D$369,"="&amp;D179,$E$17:$E$369,"&gt;"&amp;E179)=0,"是","否")</x:f>
        <x:v>否</x:v>
      </x:c>
      <x:c r="K179" s="13" t="str">
        <x:f>IF(COUNTIFS($G$17:$G$369,"&lt;"&amp;F179,$H$17:$H$369,"&gt;="&amp;I179)+COUNTIFS($G$17:$G$369,"="&amp;F179,$H$17:$H$369,"&gt;"&amp;I179)=0,"是","否")</x:f>
        <x:v>否</x:v>
      </x:c>
      <x:c r="L179" s="13" t="str">
        <x:f>IF(COUNTIFS($F$17:$F$369,"&lt;"&amp;G179,$I$17:$I$369,"&gt;="&amp;H179)+COUNTIFS($F$17:$F$369,"="&amp;G179,$I$17:$I$369,"&gt;"&amp;H179)-IF(OR(G179&gt;F179,I179&gt;H179),1,0)=0,"是","否")</x:f>
        <x:v>否</x:v>
      </x:c>
      <x:c r="M179" s="13" t="n">
        <x:f>1+COUNTIF($H$17:$H$369,"&gt;"&amp;I179)</x:f>
        <x:v>190</x:v>
      </x:c>
      <x:c r="N179" s="13" t="n">
        <x:f>COUNTIF($I$17:$I$369,"&gt;="&amp;H179)</x:f>
        <x:v>199</x:v>
      </x:c>
      <x:c r="O179" s="13" t="str">
        <x:v>I04 Table_1!D860/P860/U860</x:v>
      </x:c>
    </x:row>
    <x:row r="180" ht="24" customHeight="1">
      <x:c r="A180" s="13" t="str">
        <x:v>M89027</x:v>
      </x:c>
      <x:c r="B180" s="13" t="str">
        <x:v>QHL</x:v>
      </x:c>
      <x:c r="C180" s="13" t="n">
        <x:v>117</x:v>
      </x:c>
      <x:c r="D180" s="30" t="n">
        <x:v>76.1</x:v>
      </x:c>
      <x:c r="E180" s="14" t="n">
        <x:f>C180*(1000-ROUND(D180*10,0))/1000</x:f>
        <x:v>27.963</x:v>
      </x:c>
      <x:c r="F180" s="14" t="n">
        <x:f>MAX(0,(ROUND(D180*100,0)-ROUND($B$3*100,0))/100)</x:f>
        <x:v>76.05</x:v>
      </x:c>
      <x:c r="G180" s="14" t="n">
        <x:f>MIN(100,(ROUND(D180*100,0)+ROUND($B$3*100,0))/100)</x:f>
        <x:v>76.15</x:v>
      </x:c>
      <x:c r="H180" s="40" t="n">
        <x:f>C180*(10000-ROUND(G180*100,0))/10000</x:f>
        <x:v>27.9045</x:v>
      </x:c>
      <x:c r="I180" s="40" t="n">
        <x:f>C180*(10000-ROUND(F180*100,0))/10000</x:f>
        <x:v>28.0215</x:v>
      </x:c>
      <x:c r="J180" s="13" t="str">
        <x:f>IF(COUNTIFS($D$17:$D$369,"&lt;"&amp;D180,$E$17:$E$369,"&gt;="&amp;E180)+COUNTIFS($D$17:$D$369,"="&amp;D180,$E$17:$E$369,"&gt;"&amp;E180)=0,"是","否")</x:f>
        <x:v>否</x:v>
      </x:c>
      <x:c r="K180" s="13" t="str">
        <x:f>IF(COUNTIFS($G$17:$G$369,"&lt;"&amp;F180,$H$17:$H$369,"&gt;="&amp;I180)+COUNTIFS($G$17:$G$369,"="&amp;F180,$H$17:$H$369,"&gt;"&amp;I180)=0,"是","否")</x:f>
        <x:v>否</x:v>
      </x:c>
      <x:c r="L180" s="13" t="str">
        <x:f>IF(COUNTIFS($F$17:$F$369,"&lt;"&amp;G180,$I$17:$I$369,"&gt;="&amp;H180)+COUNTIFS($F$17:$F$369,"="&amp;G180,$I$17:$I$369,"&gt;"&amp;H180)-IF(OR(G180&gt;F180,I180&gt;H180),1,0)=0,"是","否")</x:f>
        <x:v>否</x:v>
      </x:c>
      <x:c r="M180" s="13" t="n">
        <x:f>1+COUNTIF($H$17:$H$369,"&gt;"&amp;I180)</x:f>
        <x:v>86</x:v>
      </x:c>
      <x:c r="N180" s="13" t="n">
        <x:f>COUNTIF($I$17:$I$369,"&gt;="&amp;H180)</x:f>
        <x:v>88</x:v>
      </x:c>
      <x:c r="O180" s="13" t="str">
        <x:v>I04 Table_1!D861/P861/U861</x:v>
      </x:c>
    </x:row>
    <x:row r="181" ht="24" customHeight="1">
      <x:c r="A181" s="13" t="str">
        <x:v>M89030</x:v>
      </x:c>
      <x:c r="B181" s="13" t="str">
        <x:v>QHL</x:v>
      </x:c>
      <x:c r="C181" s="13" t="n">
        <x:v>44</x:v>
      </x:c>
      <x:c r="D181" s="30" t="n">
        <x:v>90.9</x:v>
      </x:c>
      <x:c r="E181" s="14" t="n">
        <x:f>C181*(1000-ROUND(D181*10,0))/1000</x:f>
        <x:v>4.004</x:v>
      </x:c>
      <x:c r="F181" s="14" t="n">
        <x:f>MAX(0,(ROUND(D181*100,0)-ROUND($B$3*100,0))/100)</x:f>
        <x:v>90.85</x:v>
      </x:c>
      <x:c r="G181" s="14" t="n">
        <x:f>MIN(100,(ROUND(D181*100,0)+ROUND($B$3*100,0))/100)</x:f>
        <x:v>90.95</x:v>
      </x:c>
      <x:c r="H181" s="40" t="n">
        <x:f>C181*(10000-ROUND(G181*100,0))/10000</x:f>
        <x:v>3.982</x:v>
      </x:c>
      <x:c r="I181" s="40" t="n">
        <x:f>C181*(10000-ROUND(F181*100,0))/10000</x:f>
        <x:v>4.026</x:v>
      </x:c>
      <x:c r="J181" s="13" t="str">
        <x:f>IF(COUNTIFS($D$17:$D$369,"&lt;"&amp;D181,$E$17:$E$369,"&gt;="&amp;E181)+COUNTIFS($D$17:$D$369,"="&amp;D181,$E$17:$E$369,"&gt;"&amp;E181)=0,"是","否")</x:f>
        <x:v>否</x:v>
      </x:c>
      <x:c r="K181" s="13" t="str">
        <x:f>IF(COUNTIFS($G$17:$G$369,"&lt;"&amp;F181,$H$17:$H$369,"&gt;="&amp;I181)+COUNTIFS($G$17:$G$369,"="&amp;F181,$H$17:$H$369,"&gt;"&amp;I181)=0,"是","否")</x:f>
        <x:v>否</x:v>
      </x:c>
      <x:c r="L181" s="13" t="str">
        <x:f>IF(COUNTIFS($F$17:$F$369,"&lt;"&amp;G181,$I$17:$I$369,"&gt;="&amp;H181)+COUNTIFS($F$17:$F$369,"="&amp;G181,$I$17:$I$369,"&gt;"&amp;H181)-IF(OR(G181&gt;F181,I181&gt;H181),1,0)=0,"是","否")</x:f>
        <x:v>否</x:v>
      </x:c>
      <x:c r="M181" s="13" t="n">
        <x:f>1+COUNTIF($H$17:$H$369,"&gt;"&amp;I181)</x:f>
        <x:v>320</x:v>
      </x:c>
      <x:c r="N181" s="13" t="n">
        <x:f>COUNTIF($I$17:$I$369,"&gt;="&amp;H181)</x:f>
        <x:v>330</x:v>
      </x:c>
      <x:c r="O181" s="13" t="str">
        <x:v>I04 Table_1!D862/P862/U862</x:v>
      </x:c>
    </x:row>
    <x:row r="182" ht="24" customHeight="1">
      <x:c r="A182" s="13" t="str">
        <x:v>M89608</x:v>
      </x:c>
      <x:c r="B182" s="13" t="str">
        <x:v>QHL</x:v>
      </x:c>
      <x:c r="C182" s="13" t="n">
        <x:v>39</x:v>
      </x:c>
      <x:c r="D182" s="30" t="n">
        <x:v>74.4</x:v>
      </x:c>
      <x:c r="E182" s="14" t="n">
        <x:f>C182*(1000-ROUND(D182*10,0))/1000</x:f>
        <x:v>9.984</x:v>
      </x:c>
      <x:c r="F182" s="14" t="n">
        <x:f>MAX(0,(ROUND(D182*100,0)-ROUND($B$3*100,0))/100)</x:f>
        <x:v>74.35</x:v>
      </x:c>
      <x:c r="G182" s="14" t="n">
        <x:f>MIN(100,(ROUND(D182*100,0)+ROUND($B$3*100,0))/100)</x:f>
        <x:v>74.45</x:v>
      </x:c>
      <x:c r="H182" s="40" t="n">
        <x:f>C182*(10000-ROUND(G182*100,0))/10000</x:f>
        <x:v>9.9645</x:v>
      </x:c>
      <x:c r="I182" s="40" t="n">
        <x:f>C182*(10000-ROUND(F182*100,0))/10000</x:f>
        <x:v>10.0035</x:v>
      </x:c>
      <x:c r="J182" s="13" t="str">
        <x:f>IF(COUNTIFS($D$17:$D$369,"&lt;"&amp;D182,$E$17:$E$369,"&gt;="&amp;E182)+COUNTIFS($D$17:$D$369,"="&amp;D182,$E$17:$E$369,"&gt;"&amp;E182)=0,"是","否")</x:f>
        <x:v>否</x:v>
      </x:c>
      <x:c r="K182" s="13" t="str">
        <x:f>IF(COUNTIFS($G$17:$G$369,"&lt;"&amp;F182,$H$17:$H$369,"&gt;="&amp;I182)+COUNTIFS($G$17:$G$369,"="&amp;F182,$H$17:$H$369,"&gt;"&amp;I182)=0,"是","否")</x:f>
        <x:v>否</x:v>
      </x:c>
      <x:c r="L182" s="13" t="str">
        <x:f>IF(COUNTIFS($F$17:$F$369,"&lt;"&amp;G182,$I$17:$I$369,"&gt;="&amp;H182)+COUNTIFS($F$17:$F$369,"="&amp;G182,$I$17:$I$369,"&gt;"&amp;H182)-IF(OR(G182&gt;F182,I182&gt;H182),1,0)=0,"是","否")</x:f>
        <x:v>否</x:v>
      </x:c>
      <x:c r="M182" s="13" t="n">
        <x:f>1+COUNTIF($H$17:$H$369,"&gt;"&amp;I182)</x:f>
        <x:v>231</x:v>
      </x:c>
      <x:c r="N182" s="13" t="n">
        <x:f>COUNTIF($I$17:$I$369,"&gt;="&amp;H182)</x:f>
        <x:v>243</x:v>
      </x:c>
      <x:c r="O182" s="13" t="str">
        <x:v>I04 Table_1!D863/P863/U863</x:v>
      </x:c>
    </x:row>
    <x:row r="183" ht="24" customHeight="1">
      <x:c r="A183" s="13" t="str">
        <x:v>M91642</x:v>
      </x:c>
      <x:c r="B183" s="13" t="str">
        <x:v>QHL</x:v>
      </x:c>
      <x:c r="C183" s="13" t="n">
        <x:v>22</x:v>
      </x:c>
      <x:c r="D183" s="30" t="n">
        <x:v>77.3</x:v>
      </x:c>
      <x:c r="E183" s="14" t="n">
        <x:f>C183*(1000-ROUND(D183*10,0))/1000</x:f>
        <x:v>4.994</x:v>
      </x:c>
      <x:c r="F183" s="14" t="n">
        <x:f>MAX(0,(ROUND(D183*100,0)-ROUND($B$3*100,0))/100)</x:f>
        <x:v>77.25</x:v>
      </x:c>
      <x:c r="G183" s="14" t="n">
        <x:f>MIN(100,(ROUND(D183*100,0)+ROUND($B$3*100,0))/100)</x:f>
        <x:v>77.35</x:v>
      </x:c>
      <x:c r="H183" s="40" t="n">
        <x:f>C183*(10000-ROUND(G183*100,0))/10000</x:f>
        <x:v>4.983</x:v>
      </x:c>
      <x:c r="I183" s="40" t="n">
        <x:f>C183*(10000-ROUND(F183*100,0))/10000</x:f>
        <x:v>5.005</x:v>
      </x:c>
      <x:c r="J183" s="13" t="str">
        <x:f>IF(COUNTIFS($D$17:$D$369,"&lt;"&amp;D183,$E$17:$E$369,"&gt;="&amp;E183)+COUNTIFS($D$17:$D$369,"="&amp;D183,$E$17:$E$369,"&gt;"&amp;E183)=0,"是","否")</x:f>
        <x:v>否</x:v>
      </x:c>
      <x:c r="K183" s="13" t="str">
        <x:f>IF(COUNTIFS($G$17:$G$369,"&lt;"&amp;F183,$H$17:$H$369,"&gt;="&amp;I183)+COUNTIFS($G$17:$G$369,"="&amp;F183,$H$17:$H$369,"&gt;"&amp;I183)=0,"是","否")</x:f>
        <x:v>否</x:v>
      </x:c>
      <x:c r="L183" s="13" t="str">
        <x:f>IF(COUNTIFS($F$17:$F$369,"&lt;"&amp;G183,$I$17:$I$369,"&gt;="&amp;H183)+COUNTIFS($F$17:$F$369,"="&amp;G183,$I$17:$I$369,"&gt;"&amp;H183)-IF(OR(G183&gt;F183,I183&gt;H183),1,0)=0,"是","否")</x:f>
        <x:v>否</x:v>
      </x:c>
      <x:c r="M183" s="13" t="n">
        <x:f>1+COUNTIF($H$17:$H$369,"&gt;"&amp;I183)</x:f>
        <x:v>302</x:v>
      </x:c>
      <x:c r="N183" s="13" t="n">
        <x:f>COUNTIF($I$17:$I$369,"&gt;="&amp;H183)</x:f>
        <x:v>319</x:v>
      </x:c>
      <x:c r="O183" s="13" t="str">
        <x:v>I04 Table_1!D864/P864/U864</x:v>
      </x:c>
    </x:row>
    <x:row r="184" ht="24" customHeight="1">
      <x:c r="A184" s="13" t="str">
        <x:v>Y00159</x:v>
      </x:c>
      <x:c r="B184" s="13" t="str">
        <x:v>QHL</x:v>
      </x:c>
      <x:c r="C184" s="13" t="n">
        <x:v>389</x:v>
      </x:c>
      <x:c r="D184" s="30" t="n">
        <x:v>79.9</x:v>
      </x:c>
      <x:c r="E184" s="14" t="n">
        <x:f>C184*(1000-ROUND(D184*10,0))/1000</x:f>
        <x:v>78.189</x:v>
      </x:c>
      <x:c r="F184" s="14" t="n">
        <x:f>MAX(0,(ROUND(D184*100,0)-ROUND($B$3*100,0))/100)</x:f>
        <x:v>79.85</x:v>
      </x:c>
      <x:c r="G184" s="14" t="n">
        <x:f>MIN(100,(ROUND(D184*100,0)+ROUND($B$3*100,0))/100)</x:f>
        <x:v>79.95</x:v>
      </x:c>
      <x:c r="H184" s="40" t="n">
        <x:f>C184*(10000-ROUND(G184*100,0))/10000</x:f>
        <x:v>77.9945</x:v>
      </x:c>
      <x:c r="I184" s="40" t="n">
        <x:f>C184*(10000-ROUND(F184*100,0))/10000</x:f>
        <x:v>78.3835</x:v>
      </x:c>
      <x:c r="J184" s="13" t="str">
        <x:f>IF(COUNTIFS($D$17:$D$369,"&lt;"&amp;D184,$E$17:$E$369,"&gt;="&amp;E184)+COUNTIFS($D$17:$D$369,"="&amp;D184,$E$17:$E$369,"&gt;"&amp;E184)=0,"是","否")</x:f>
        <x:v>否</x:v>
      </x:c>
      <x:c r="K184" s="13" t="str">
        <x:f>IF(COUNTIFS($G$17:$G$369,"&lt;"&amp;F184,$H$17:$H$369,"&gt;="&amp;I184)+COUNTIFS($G$17:$G$369,"="&amp;F184,$H$17:$H$369,"&gt;"&amp;I184)=0,"是","否")</x:f>
        <x:v>否</x:v>
      </x:c>
      <x:c r="L184" s="13" t="str">
        <x:f>IF(COUNTIFS($F$17:$F$369,"&lt;"&amp;G184,$I$17:$I$369,"&gt;="&amp;H184)+COUNTIFS($F$17:$F$369,"="&amp;G184,$I$17:$I$369,"&gt;"&amp;H184)-IF(OR(G184&gt;F184,I184&gt;H184),1,0)=0,"是","否")</x:f>
        <x:v>否</x:v>
      </x:c>
      <x:c r="M184" s="13" t="n">
        <x:f>1+COUNTIF($H$17:$H$369,"&gt;"&amp;I184)</x:f>
        <x:v>9</x:v>
      </x:c>
      <x:c r="N184" s="13" t="n">
        <x:f>COUNTIF($I$17:$I$369,"&gt;="&amp;H184)</x:f>
        <x:v>9</x:v>
      </x:c>
      <x:c r="O184" s="13" t="str">
        <x:v>I04 Table_1!D866/P866/U866</x:v>
      </x:c>
    </x:row>
    <x:row r="185" ht="24" customHeight="1">
      <x:c r="A185" s="13" t="str">
        <x:v>Y00412</x:v>
      </x:c>
      <x:c r="B185" s="13" t="str">
        <x:v>QHL</x:v>
      </x:c>
      <x:c r="C185" s="13" t="n">
        <x:v>68</x:v>
      </x:c>
      <x:c r="D185" s="30" t="n">
        <x:v>77.9</x:v>
      </x:c>
      <x:c r="E185" s="14" t="n">
        <x:f>C185*(1000-ROUND(D185*10,0))/1000</x:f>
        <x:v>15.028</x:v>
      </x:c>
      <x:c r="F185" s="14" t="n">
        <x:f>MAX(0,(ROUND(D185*100,0)-ROUND($B$3*100,0))/100)</x:f>
        <x:v>77.85</x:v>
      </x:c>
      <x:c r="G185" s="14" t="n">
        <x:f>MIN(100,(ROUND(D185*100,0)+ROUND($B$3*100,0))/100)</x:f>
        <x:v>77.95</x:v>
      </x:c>
      <x:c r="H185" s="40" t="n">
        <x:f>C185*(10000-ROUND(G185*100,0))/10000</x:f>
        <x:v>14.994</x:v>
      </x:c>
      <x:c r="I185" s="40" t="n">
        <x:f>C185*(10000-ROUND(F185*100,0))/10000</x:f>
        <x:v>15.062</x:v>
      </x:c>
      <x:c r="J185" s="13" t="str">
        <x:f>IF(COUNTIFS($D$17:$D$369,"&lt;"&amp;D185,$E$17:$E$369,"&gt;="&amp;E185)+COUNTIFS($D$17:$D$369,"="&amp;D185,$E$17:$E$369,"&gt;"&amp;E185)=0,"是","否")</x:f>
        <x:v>否</x:v>
      </x:c>
      <x:c r="K185" s="13" t="str">
        <x:f>IF(COUNTIFS($G$17:$G$369,"&lt;"&amp;F185,$H$17:$H$369,"&gt;="&amp;I185)+COUNTIFS($G$17:$G$369,"="&amp;F185,$H$17:$H$369,"&gt;"&amp;I185)=0,"是","否")</x:f>
        <x:v>否</x:v>
      </x:c>
      <x:c r="L185" s="13" t="str">
        <x:f>IF(COUNTIFS($F$17:$F$369,"&lt;"&amp;G185,$I$17:$I$369,"&gt;="&amp;H185)+COUNTIFS($F$17:$F$369,"="&amp;G185,$I$17:$I$369,"&gt;"&amp;H185)-IF(OR(G185&gt;F185,I185&gt;H185),1,0)=0,"是","否")</x:f>
        <x:v>否</x:v>
      </x:c>
      <x:c r="M185" s="13" t="n">
        <x:f>1+COUNTIF($H$17:$H$369,"&gt;"&amp;I185)</x:f>
        <x:v>177</x:v>
      </x:c>
      <x:c r="N185" s="13" t="n">
        <x:f>COUNTIF($I$17:$I$369,"&gt;="&amp;H185)</x:f>
        <x:v>189</x:v>
      </x:c>
      <x:c r="O185" s="13" t="str">
        <x:v>I04 Table_1!D867/P867/U867</x:v>
      </x:c>
    </x:row>
    <x:row r="186" ht="24" customHeight="1">
      <x:c r="A186" s="13" t="str">
        <x:v>Y00471</x:v>
      </x:c>
      <x:c r="B186" s="13" t="str">
        <x:v>QHL</x:v>
      </x:c>
      <x:c r="C186" s="13" t="n">
        <x:v>81</x:v>
      </x:c>
      <x:c r="D186" s="30" t="n">
        <x:v>70.4</x:v>
      </x:c>
      <x:c r="E186" s="14" t="n">
        <x:f>C186*(1000-ROUND(D186*10,0))/1000</x:f>
        <x:v>23.976</x:v>
      </x:c>
      <x:c r="F186" s="14" t="n">
        <x:f>MAX(0,(ROUND(D186*100,0)-ROUND($B$3*100,0))/100)</x:f>
        <x:v>70.35</x:v>
      </x:c>
      <x:c r="G186" s="14" t="n">
        <x:f>MIN(100,(ROUND(D186*100,0)+ROUND($B$3*100,0))/100)</x:f>
        <x:v>70.45</x:v>
      </x:c>
      <x:c r="H186" s="40" t="n">
        <x:f>C186*(10000-ROUND(G186*100,0))/10000</x:f>
        <x:v>23.9355</x:v>
      </x:c>
      <x:c r="I186" s="40" t="n">
        <x:f>C186*(10000-ROUND(F186*100,0))/10000</x:f>
        <x:v>24.0165</x:v>
      </x:c>
      <x:c r="J186" s="13" t="str">
        <x:f>IF(COUNTIFS($D$17:$D$369,"&lt;"&amp;D186,$E$17:$E$369,"&gt;="&amp;E186)+COUNTIFS($D$17:$D$369,"="&amp;D186,$E$17:$E$369,"&gt;"&amp;E186)=0,"是","否")</x:f>
        <x:v>否</x:v>
      </x:c>
      <x:c r="K186" s="13" t="str">
        <x:f>IF(COUNTIFS($G$17:$G$369,"&lt;"&amp;F186,$H$17:$H$369,"&gt;="&amp;I186)+COUNTIFS($G$17:$G$369,"="&amp;F186,$H$17:$H$369,"&gt;"&amp;I186)=0,"是","否")</x:f>
        <x:v>否</x:v>
      </x:c>
      <x:c r="L186" s="13" t="str">
        <x:f>IF(COUNTIFS($F$17:$F$369,"&lt;"&amp;G186,$I$17:$I$369,"&gt;="&amp;H186)+COUNTIFS($F$17:$F$369,"="&amp;G186,$I$17:$I$369,"&gt;"&amp;H186)-IF(OR(G186&gt;F186,I186&gt;H186),1,0)=0,"是","否")</x:f>
        <x:v>否</x:v>
      </x:c>
      <x:c r="M186" s="13" t="n">
        <x:f>1+COUNTIF($H$17:$H$369,"&gt;"&amp;I186)</x:f>
        <x:v>101</x:v>
      </x:c>
      <x:c r="N186" s="13" t="n">
        <x:f>COUNTIF($I$17:$I$369,"&gt;="&amp;H186)</x:f>
        <x:v>111</x:v>
      </x:c>
      <x:c r="O186" s="13" t="str">
        <x:v>I04 Table_1!D868/P868/U868</x:v>
      </x:c>
    </x:row>
    <x:row r="187" ht="24" customHeight="1">
      <x:c r="A187" s="13" t="str">
        <x:v>Y00492</x:v>
      </x:c>
      <x:c r="B187" s="13" t="str">
        <x:v>QHL</x:v>
      </x:c>
      <x:c r="C187" s="13" t="n">
        <x:v>149</x:v>
      </x:c>
      <x:c r="D187" s="30" t="n">
        <x:v>69.8</x:v>
      </x:c>
      <x:c r="E187" s="14" t="n">
        <x:f>C187*(1000-ROUND(D187*10,0))/1000</x:f>
        <x:v>44.998</x:v>
      </x:c>
      <x:c r="F187" s="14" t="n">
        <x:f>MAX(0,(ROUND(D187*100,0)-ROUND($B$3*100,0))/100)</x:f>
        <x:v>69.75</x:v>
      </x:c>
      <x:c r="G187" s="14" t="n">
        <x:f>MIN(100,(ROUND(D187*100,0)+ROUND($B$3*100,0))/100)</x:f>
        <x:v>69.85</x:v>
      </x:c>
      <x:c r="H187" s="40" t="n">
        <x:f>C187*(10000-ROUND(G187*100,0))/10000</x:f>
        <x:v>44.9235</x:v>
      </x:c>
      <x:c r="I187" s="40" t="n">
        <x:f>C187*(10000-ROUND(F187*100,0))/10000</x:f>
        <x:v>45.0725</x:v>
      </x:c>
      <x:c r="J187" s="13" t="str">
        <x:f>IF(COUNTIFS($D$17:$D$369,"&lt;"&amp;D187,$E$17:$E$369,"&gt;="&amp;E187)+COUNTIFS($D$17:$D$369,"="&amp;D187,$E$17:$E$369,"&gt;"&amp;E187)=0,"是","否")</x:f>
        <x:v>否</x:v>
      </x:c>
      <x:c r="K187" s="13" t="str">
        <x:f>IF(COUNTIFS($G$17:$G$369,"&lt;"&amp;F187,$H$17:$H$369,"&gt;="&amp;I187)+COUNTIFS($G$17:$G$369,"="&amp;F187,$H$17:$H$369,"&gt;"&amp;I187)=0,"是","否")</x:f>
        <x:v>否</x:v>
      </x:c>
      <x:c r="L187" s="13" t="str">
        <x:f>IF(COUNTIFS($F$17:$F$369,"&lt;"&amp;G187,$I$17:$I$369,"&gt;="&amp;H187)+COUNTIFS($F$17:$F$369,"="&amp;G187,$I$17:$I$369,"&gt;"&amp;H187)-IF(OR(G187&gt;F187,I187&gt;H187),1,0)=0,"是","否")</x:f>
        <x:v>否</x:v>
      </x:c>
      <x:c r="M187" s="13" t="n">
        <x:f>1+COUNTIF($H$17:$H$369,"&gt;"&amp;I187)</x:f>
        <x:v>28</x:v>
      </x:c>
      <x:c r="N187" s="13" t="n">
        <x:f>COUNTIF($I$17:$I$369,"&gt;="&amp;H187)</x:f>
        <x:v>28</x:v>
      </x:c>
      <x:c r="O187" s="13" t="str">
        <x:v>I04 Table_1!D869/P869/U869</x:v>
      </x:c>
    </x:row>
    <x:row r="188" ht="24" customHeight="1">
      <x:c r="A188" s="13" t="str">
        <x:v>Y01068</x:v>
      </x:c>
      <x:c r="B188" s="13" t="str">
        <x:v>QHL</x:v>
      </x:c>
      <x:c r="C188" s="13" t="n">
        <x:v>84</x:v>
      </x:c>
      <x:c r="D188" s="30" t="n">
        <x:v>72.6</x:v>
      </x:c>
      <x:c r="E188" s="14" t="n">
        <x:f>C188*(1000-ROUND(D188*10,0))/1000</x:f>
        <x:v>23.016</x:v>
      </x:c>
      <x:c r="F188" s="14" t="n">
        <x:f>MAX(0,(ROUND(D188*100,0)-ROUND($B$3*100,0))/100)</x:f>
        <x:v>72.55</x:v>
      </x:c>
      <x:c r="G188" s="14" t="n">
        <x:f>MIN(100,(ROUND(D188*100,0)+ROUND($B$3*100,0))/100)</x:f>
        <x:v>72.65</x:v>
      </x:c>
      <x:c r="H188" s="40" t="n">
        <x:f>C188*(10000-ROUND(G188*100,0))/10000</x:f>
        <x:v>22.974</x:v>
      </x:c>
      <x:c r="I188" s="40" t="n">
        <x:f>C188*(10000-ROUND(F188*100,0))/10000</x:f>
        <x:v>23.058</x:v>
      </x:c>
      <x:c r="J188" s="13" t="str">
        <x:f>IF(COUNTIFS($D$17:$D$369,"&lt;"&amp;D188,$E$17:$E$369,"&gt;="&amp;E188)+COUNTIFS($D$17:$D$369,"="&amp;D188,$E$17:$E$369,"&gt;"&amp;E188)=0,"是","否")</x:f>
        <x:v>否</x:v>
      </x:c>
      <x:c r="K188" s="13" t="str">
        <x:f>IF(COUNTIFS($G$17:$G$369,"&lt;"&amp;F188,$H$17:$H$369,"&gt;="&amp;I188)+COUNTIFS($G$17:$G$369,"="&amp;F188,$H$17:$H$369,"&gt;"&amp;I188)=0,"是","否")</x:f>
        <x:v>否</x:v>
      </x:c>
      <x:c r="L188" s="13" t="str">
        <x:f>IF(COUNTIFS($F$17:$F$369,"&lt;"&amp;G188,$I$17:$I$369,"&gt;="&amp;H188)+COUNTIFS($F$17:$F$369,"="&amp;G188,$I$17:$I$369,"&gt;"&amp;H188)-IF(OR(G188&gt;F188,I188&gt;H188),1,0)=0,"是","否")</x:f>
        <x:v>否</x:v>
      </x:c>
      <x:c r="M188" s="13" t="n">
        <x:f>1+COUNTIF($H$17:$H$369,"&gt;"&amp;I188)</x:f>
        <x:v>112</x:v>
      </x:c>
      <x:c r="N188" s="13" t="n">
        <x:f>COUNTIF($I$17:$I$369,"&gt;="&amp;H188)</x:f>
        <x:v>119</x:v>
      </x:c>
      <x:c r="O188" s="13" t="str">
        <x:v>I04 Table_1!D870/P870/U870</x:v>
      </x:c>
    </x:row>
    <x:row r="189" ht="24" customHeight="1">
      <x:c r="A189" s="13" t="str">
        <x:v>Y02567</x:v>
      </x:c>
      <x:c r="B189" s="13" t="str">
        <x:v>QHL</x:v>
      </x:c>
      <x:c r="C189" s="13" t="n">
        <x:v>115</x:v>
      </x:c>
      <x:c r="D189" s="30" t="n">
        <x:v>75.7</x:v>
      </x:c>
      <x:c r="E189" s="14" t="n">
        <x:f>C189*(1000-ROUND(D189*10,0))/1000</x:f>
        <x:v>27.945</x:v>
      </x:c>
      <x:c r="F189" s="14" t="n">
        <x:f>MAX(0,(ROUND(D189*100,0)-ROUND($B$3*100,0))/100)</x:f>
        <x:v>75.65</x:v>
      </x:c>
      <x:c r="G189" s="14" t="n">
        <x:f>MIN(100,(ROUND(D189*100,0)+ROUND($B$3*100,0))/100)</x:f>
        <x:v>75.75</x:v>
      </x:c>
      <x:c r="H189" s="40" t="n">
        <x:f>C189*(10000-ROUND(G189*100,0))/10000</x:f>
        <x:v>27.8875</x:v>
      </x:c>
      <x:c r="I189" s="40" t="n">
        <x:f>C189*(10000-ROUND(F189*100,0))/10000</x:f>
        <x:v>28.0025</x:v>
      </x:c>
      <x:c r="J189" s="13" t="str">
        <x:f>IF(COUNTIFS($D$17:$D$369,"&lt;"&amp;D189,$E$17:$E$369,"&gt;="&amp;E189)+COUNTIFS($D$17:$D$369,"="&amp;D189,$E$17:$E$369,"&gt;"&amp;E189)=0,"是","否")</x:f>
        <x:v>否</x:v>
      </x:c>
      <x:c r="K189" s="13" t="str">
        <x:f>IF(COUNTIFS($G$17:$G$369,"&lt;"&amp;F189,$H$17:$H$369,"&gt;="&amp;I189)+COUNTIFS($G$17:$G$369,"="&amp;F189,$H$17:$H$369,"&gt;"&amp;I189)=0,"是","否")</x:f>
        <x:v>否</x:v>
      </x:c>
      <x:c r="L189" s="13" t="str">
        <x:f>IF(COUNTIFS($F$17:$F$369,"&lt;"&amp;G189,$I$17:$I$369,"&gt;="&amp;H189)+COUNTIFS($F$17:$F$369,"="&amp;G189,$I$17:$I$369,"&gt;"&amp;H189)-IF(OR(G189&gt;F189,I189&gt;H189),1,0)=0,"是","否")</x:f>
        <x:v>否</x:v>
      </x:c>
      <x:c r="M189" s="13" t="n">
        <x:f>1+COUNTIF($H$17:$H$369,"&gt;"&amp;I189)</x:f>
        <x:v>86</x:v>
      </x:c>
      <x:c r="N189" s="13" t="n">
        <x:f>COUNTIF($I$17:$I$369,"&gt;="&amp;H189)</x:f>
        <x:v>88</x:v>
      </x:c>
      <x:c r="O189" s="13" t="str">
        <x:v>I04 Table_1!D871/P871/U871</x:v>
      </x:c>
    </x:row>
    <x:row r="190" ht="24" customHeight="1">
      <x:c r="A190" s="13" t="str">
        <x:v>Y02571</x:v>
      </x:c>
      <x:c r="B190" s="13" t="str">
        <x:v>QHL</x:v>
      </x:c>
      <x:c r="C190" s="13" t="n">
        <x:v>149</x:v>
      </x:c>
      <x:c r="D190" s="30" t="n">
        <x:v>78.5</x:v>
      </x:c>
      <x:c r="E190" s="14" t="n">
        <x:f>C190*(1000-ROUND(D190*10,0))/1000</x:f>
        <x:v>32.035</x:v>
      </x:c>
      <x:c r="F190" s="14" t="n">
        <x:f>MAX(0,(ROUND(D190*100,0)-ROUND($B$3*100,0))/100)</x:f>
        <x:v>78.45</x:v>
      </x:c>
      <x:c r="G190" s="14" t="n">
        <x:f>MIN(100,(ROUND(D190*100,0)+ROUND($B$3*100,0))/100)</x:f>
        <x:v>78.55</x:v>
      </x:c>
      <x:c r="H190" s="40" t="n">
        <x:f>C190*(10000-ROUND(G190*100,0))/10000</x:f>
        <x:v>31.9605</x:v>
      </x:c>
      <x:c r="I190" s="40" t="n">
        <x:f>C190*(10000-ROUND(F190*100,0))/10000</x:f>
        <x:v>32.1095</x:v>
      </x:c>
      <x:c r="J190" s="13" t="str">
        <x:f>IF(COUNTIFS($D$17:$D$369,"&lt;"&amp;D190,$E$17:$E$369,"&gt;="&amp;E190)+COUNTIFS($D$17:$D$369,"="&amp;D190,$E$17:$E$369,"&gt;"&amp;E190)=0,"是","否")</x:f>
        <x:v>否</x:v>
      </x:c>
      <x:c r="K190" s="13" t="str">
        <x:f>IF(COUNTIFS($G$17:$G$369,"&lt;"&amp;F190,$H$17:$H$369,"&gt;="&amp;I190)+COUNTIFS($G$17:$G$369,"="&amp;F190,$H$17:$H$369,"&gt;"&amp;I190)=0,"是","否")</x:f>
        <x:v>否</x:v>
      </x:c>
      <x:c r="L190" s="13" t="str">
        <x:f>IF(COUNTIFS($F$17:$F$369,"&lt;"&amp;G190,$I$17:$I$369,"&gt;="&amp;H190)+COUNTIFS($F$17:$F$369,"="&amp;G190,$I$17:$I$369,"&gt;"&amp;H190)-IF(OR(G190&gt;F190,I190&gt;H190),1,0)=0,"是","否")</x:f>
        <x:v>否</x:v>
      </x:c>
      <x:c r="M190" s="13" t="n">
        <x:f>1+COUNTIF($H$17:$H$369,"&gt;"&amp;I190)</x:f>
        <x:v>64</x:v>
      </x:c>
      <x:c r="N190" s="13" t="n">
        <x:f>COUNTIF($I$17:$I$369,"&gt;="&amp;H190)</x:f>
        <x:v>73</x:v>
      </x:c>
      <x:c r="O190" s="13" t="str">
        <x:v>I04 Table_1!D872/P872/U872</x:v>
      </x:c>
    </x:row>
    <x:row r="191" ht="24" customHeight="1">
      <x:c r="A191" s="13" t="str">
        <x:v>Y02794</x:v>
      </x:c>
      <x:c r="B191" s="13" t="str">
        <x:v>QHL</x:v>
      </x:c>
      <x:c r="C191" s="13" t="n">
        <x:v>257</x:v>
      </x:c>
      <x:c r="D191" s="30" t="n">
        <x:v>64.2</x:v>
      </x:c>
      <x:c r="E191" s="14" t="n">
        <x:f>C191*(1000-ROUND(D191*10,0))/1000</x:f>
        <x:v>92.006</x:v>
      </x:c>
      <x:c r="F191" s="14" t="n">
        <x:f>MAX(0,(ROUND(D191*100,0)-ROUND($B$3*100,0))/100)</x:f>
        <x:v>64.15</x:v>
      </x:c>
      <x:c r="G191" s="14" t="n">
        <x:f>MIN(100,(ROUND(D191*100,0)+ROUND($B$3*100,0))/100)</x:f>
        <x:v>64.25</x:v>
      </x:c>
      <x:c r="H191" s="40" t="n">
        <x:f>C191*(10000-ROUND(G191*100,0))/10000</x:f>
        <x:v>91.8775</x:v>
      </x:c>
      <x:c r="I191" s="40" t="n">
        <x:f>C191*(10000-ROUND(F191*100,0))/10000</x:f>
        <x:v>92.1345</x:v>
      </x:c>
      <x:c r="J191" s="13" t="str">
        <x:f>IF(COUNTIFS($D$17:$D$369,"&lt;"&amp;D191,$E$17:$E$369,"&gt;="&amp;E191)+COUNTIFS($D$17:$D$369,"="&amp;D191,$E$17:$E$369,"&gt;"&amp;E191)=0,"是","否")</x:f>
        <x:v>否</x:v>
      </x:c>
      <x:c r="K191" s="13" t="str">
        <x:f>IF(COUNTIFS($G$17:$G$369,"&lt;"&amp;F191,$H$17:$H$369,"&gt;="&amp;I191)+COUNTIFS($G$17:$G$369,"="&amp;F191,$H$17:$H$369,"&gt;"&amp;I191)=0,"是","否")</x:f>
        <x:v>否</x:v>
      </x:c>
      <x:c r="L191" s="13" t="str">
        <x:f>IF(COUNTIFS($F$17:$F$369,"&lt;"&amp;G191,$I$17:$I$369,"&gt;="&amp;H191)+COUNTIFS($F$17:$F$369,"="&amp;G191,$I$17:$I$369,"&gt;"&amp;H191)-IF(OR(G191&gt;F191,I191&gt;H191),1,0)=0,"是","否")</x:f>
        <x:v>否</x:v>
      </x:c>
      <x:c r="M191" s="13" t="n">
        <x:f>1+COUNTIF($H$17:$H$369,"&gt;"&amp;I191)</x:f>
        <x:v>8</x:v>
      </x:c>
      <x:c r="N191" s="13" t="n">
        <x:f>COUNTIF($I$17:$I$369,"&gt;="&amp;H191)</x:f>
        <x:v>8</x:v>
      </x:c>
      <x:c r="O191" s="13" t="str">
        <x:v>I04 Table_1!D873/P873/U873</x:v>
      </x:c>
    </x:row>
    <x:row r="192" ht="24" customHeight="1">
      <x:c r="A192" s="13" t="str">
        <x:v>Y02893</x:v>
      </x:c>
      <x:c r="B192" s="13" t="str">
        <x:v>QHL</x:v>
      </x:c>
      <x:c r="C192" s="13" t="n">
        <x:v>370</x:v>
      </x:c>
      <x:c r="D192" s="30" t="n">
        <x:v>80.5</x:v>
      </x:c>
      <x:c r="E192" s="14" t="n">
        <x:f>C192*(1000-ROUND(D192*10,0))/1000</x:f>
        <x:v>72.15</x:v>
      </x:c>
      <x:c r="F192" s="14" t="n">
        <x:f>MAX(0,(ROUND(D192*100,0)-ROUND($B$3*100,0))/100)</x:f>
        <x:v>80.45</x:v>
      </x:c>
      <x:c r="G192" s="14" t="n">
        <x:f>MIN(100,(ROUND(D192*100,0)+ROUND($B$3*100,0))/100)</x:f>
        <x:v>80.55</x:v>
      </x:c>
      <x:c r="H192" s="40" t="n">
        <x:f>C192*(10000-ROUND(G192*100,0))/10000</x:f>
        <x:v>71.965</x:v>
      </x:c>
      <x:c r="I192" s="40" t="n">
        <x:f>C192*(10000-ROUND(F192*100,0))/10000</x:f>
        <x:v>72.335</x:v>
      </x:c>
      <x:c r="J192" s="13" t="str">
        <x:f>IF(COUNTIFS($D$17:$D$369,"&lt;"&amp;D192,$E$17:$E$369,"&gt;="&amp;E192)+COUNTIFS($D$17:$D$369,"="&amp;D192,$E$17:$E$369,"&gt;"&amp;E192)=0,"是","否")</x:f>
        <x:v>否</x:v>
      </x:c>
      <x:c r="K192" s="13" t="str">
        <x:f>IF(COUNTIFS($G$17:$G$369,"&lt;"&amp;F192,$H$17:$H$369,"&gt;="&amp;I192)+COUNTIFS($G$17:$G$369,"="&amp;F192,$H$17:$H$369,"&gt;"&amp;I192)=0,"是","否")</x:f>
        <x:v>否</x:v>
      </x:c>
      <x:c r="L192" s="13" t="str">
        <x:f>IF(COUNTIFS($F$17:$F$369,"&lt;"&amp;G192,$I$17:$I$369,"&gt;="&amp;H192)+COUNTIFS($F$17:$F$369,"="&amp;G192,$I$17:$I$369,"&gt;"&amp;H192)-IF(OR(G192&gt;F192,I192&gt;H192),1,0)=0,"是","否")</x:f>
        <x:v>否</x:v>
      </x:c>
      <x:c r="M192" s="13" t="n">
        <x:f>1+COUNTIF($H$17:$H$369,"&gt;"&amp;I192)</x:f>
        <x:v>12</x:v>
      </x:c>
      <x:c r="N192" s="13" t="n">
        <x:f>COUNTIF($I$17:$I$369,"&gt;="&amp;H192)</x:f>
        <x:v>12</x:v>
      </x:c>
      <x:c r="O192" s="13" t="str">
        <x:v>I04 Table_1!D874/P874/U874</x:v>
      </x:c>
    </x:row>
    <x:row r="193" ht="24" customHeight="1">
      <x:c r="A193" s="13" t="str">
        <x:v>Y03597</x:v>
      </x:c>
      <x:c r="B193" s="13" t="str">
        <x:v>QHL</x:v>
      </x:c>
      <x:c r="C193" s="13" t="n">
        <x:v>118</x:v>
      </x:c>
      <x:c r="D193" s="30" t="n">
        <x:v>67.8</x:v>
      </x:c>
      <x:c r="E193" s="14" t="n">
        <x:f>C193*(1000-ROUND(D193*10,0))/1000</x:f>
        <x:v>37.996</x:v>
      </x:c>
      <x:c r="F193" s="14" t="n">
        <x:f>MAX(0,(ROUND(D193*100,0)-ROUND($B$3*100,0))/100)</x:f>
        <x:v>67.75</x:v>
      </x:c>
      <x:c r="G193" s="14" t="n">
        <x:f>MIN(100,(ROUND(D193*100,0)+ROUND($B$3*100,0))/100)</x:f>
        <x:v>67.85</x:v>
      </x:c>
      <x:c r="H193" s="40" t="n">
        <x:f>C193*(10000-ROUND(G193*100,0))/10000</x:f>
        <x:v>37.937</x:v>
      </x:c>
      <x:c r="I193" s="40" t="n">
        <x:f>C193*(10000-ROUND(F193*100,0))/10000</x:f>
        <x:v>38.055</x:v>
      </x:c>
      <x:c r="J193" s="13" t="str">
        <x:f>IF(COUNTIFS($D$17:$D$369,"&lt;"&amp;D193,$E$17:$E$369,"&gt;="&amp;E193)+COUNTIFS($D$17:$D$369,"="&amp;D193,$E$17:$E$369,"&gt;"&amp;E193)=0,"是","否")</x:f>
        <x:v>否</x:v>
      </x:c>
      <x:c r="K193" s="13" t="str">
        <x:f>IF(COUNTIFS($G$17:$G$369,"&lt;"&amp;F193,$H$17:$H$369,"&gt;="&amp;I193)+COUNTIFS($G$17:$G$369,"="&amp;F193,$H$17:$H$369,"&gt;"&amp;I193)=0,"是","否")</x:f>
        <x:v>否</x:v>
      </x:c>
      <x:c r="L193" s="13" t="str">
        <x:f>IF(COUNTIFS($F$17:$F$369,"&lt;"&amp;G193,$I$17:$I$369,"&gt;="&amp;H193)+COUNTIFS($F$17:$F$369,"="&amp;G193,$I$17:$I$369,"&gt;"&amp;H193)-IF(OR(G193&gt;F193,I193&gt;H193),1,0)=0,"是","否")</x:f>
        <x:v>否</x:v>
      </x:c>
      <x:c r="M193" s="13" t="n">
        <x:f>1+COUNTIF($H$17:$H$369,"&gt;"&amp;I193)</x:f>
        <x:v>42</x:v>
      </x:c>
      <x:c r="N193" s="13" t="n">
        <x:f>COUNTIF($I$17:$I$369,"&gt;="&amp;H193)</x:f>
        <x:v>46</x:v>
      </x:c>
      <x:c r="O193" s="13" t="str">
        <x:v>I04 Table_1!D875/P875/U875</x:v>
      </x:c>
    </x:row>
    <x:row r="194" ht="24" customHeight="1">
      <x:c r="A194" s="13" t="str">
        <x:v>Y05826</x:v>
      </x:c>
      <x:c r="B194" s="13" t="str">
        <x:v>QHL</x:v>
      </x:c>
      <x:c r="C194" s="13" t="n">
        <x:v>124</x:v>
      </x:c>
      <x:c r="D194" s="30" t="n">
        <x:v>70.2</x:v>
      </x:c>
      <x:c r="E194" s="14" t="n">
        <x:f>C194*(1000-ROUND(D194*10,0))/1000</x:f>
        <x:v>36.952</x:v>
      </x:c>
      <x:c r="F194" s="14" t="n">
        <x:f>MAX(0,(ROUND(D194*100,0)-ROUND($B$3*100,0))/100)</x:f>
        <x:v>70.15</x:v>
      </x:c>
      <x:c r="G194" s="14" t="n">
        <x:f>MIN(100,(ROUND(D194*100,0)+ROUND($B$3*100,0))/100)</x:f>
        <x:v>70.25</x:v>
      </x:c>
      <x:c r="H194" s="40" t="n">
        <x:f>C194*(10000-ROUND(G194*100,0))/10000</x:f>
        <x:v>36.89</x:v>
      </x:c>
      <x:c r="I194" s="40" t="n">
        <x:f>C194*(10000-ROUND(F194*100,0))/10000</x:f>
        <x:v>37.014</x:v>
      </x:c>
      <x:c r="J194" s="13" t="str">
        <x:f>IF(COUNTIFS($D$17:$D$369,"&lt;"&amp;D194,$E$17:$E$369,"&gt;="&amp;E194)+COUNTIFS($D$17:$D$369,"="&amp;D194,$E$17:$E$369,"&gt;"&amp;E194)=0,"是","否")</x:f>
        <x:v>否</x:v>
      </x:c>
      <x:c r="K194" s="13" t="str">
        <x:f>IF(COUNTIFS($G$17:$G$369,"&lt;"&amp;F194,$H$17:$H$369,"&gt;="&amp;I194)+COUNTIFS($G$17:$G$369,"="&amp;F194,$H$17:$H$369,"&gt;"&amp;I194)=0,"是","否")</x:f>
        <x:v>否</x:v>
      </x:c>
      <x:c r="L194" s="13" t="str">
        <x:f>IF(COUNTIFS($F$17:$F$369,"&lt;"&amp;G194,$I$17:$I$369,"&gt;="&amp;H194)+COUNTIFS($F$17:$F$369,"="&amp;G194,$I$17:$I$369,"&gt;"&amp;H194)-IF(OR(G194&gt;F194,I194&gt;H194),1,0)=0,"是","否")</x:f>
        <x:v>否</x:v>
      </x:c>
      <x:c r="M194" s="13" t="n">
        <x:f>1+COUNTIF($H$17:$H$369,"&gt;"&amp;I194)</x:f>
        <x:v>47</x:v>
      </x:c>
      <x:c r="N194" s="13" t="n">
        <x:f>COUNTIF($I$17:$I$369,"&gt;="&amp;H194)</x:f>
        <x:v>51</x:v>
      </x:c>
      <x:c r="O194" s="13" t="str">
        <x:v>I04 Table_1!D876/P876/U876</x:v>
      </x:c>
    </x:row>
    <x:row r="195" ht="24" customHeight="1">
      <x:c r="A195" s="13" t="str">
        <x:v>Y06378</x:v>
      </x:c>
      <x:c r="B195" s="13" t="str">
        <x:v>QHL</x:v>
      </x:c>
      <x:c r="C195" s="13" t="n">
        <x:v>131</x:v>
      </x:c>
      <x:c r="D195" s="30" t="n">
        <x:v>59.5</x:v>
      </x:c>
      <x:c r="E195" s="14" t="n">
        <x:f>C195*(1000-ROUND(D195*10,0))/1000</x:f>
        <x:v>53.055</x:v>
      </x:c>
      <x:c r="F195" s="14" t="n">
        <x:f>MAX(0,(ROUND(D195*100,0)-ROUND($B$3*100,0))/100)</x:f>
        <x:v>59.45</x:v>
      </x:c>
      <x:c r="G195" s="14" t="n">
        <x:f>MIN(100,(ROUND(D195*100,0)+ROUND($B$3*100,0))/100)</x:f>
        <x:v>59.55</x:v>
      </x:c>
      <x:c r="H195" s="40" t="n">
        <x:f>C195*(10000-ROUND(G195*100,0))/10000</x:f>
        <x:v>52.9895</x:v>
      </x:c>
      <x:c r="I195" s="40" t="n">
        <x:f>C195*(10000-ROUND(F195*100,0))/10000</x:f>
        <x:v>53.1205</x:v>
      </x:c>
      <x:c r="J195" s="13" t="str">
        <x:f>IF(COUNTIFS($D$17:$D$369,"&lt;"&amp;D195,$E$17:$E$369,"&gt;="&amp;E195)+COUNTIFS($D$17:$D$369,"="&amp;D195,$E$17:$E$369,"&gt;"&amp;E195)=0,"是","否")</x:f>
        <x:v>否</x:v>
      </x:c>
      <x:c r="K195" s="13" t="str">
        <x:f>IF(COUNTIFS($G$17:$G$369,"&lt;"&amp;F195,$H$17:$H$369,"&gt;="&amp;I195)+COUNTIFS($G$17:$G$369,"="&amp;F195,$H$17:$H$369,"&gt;"&amp;I195)=0,"是","否")</x:f>
        <x:v>否</x:v>
      </x:c>
      <x:c r="L195" s="13" t="str">
        <x:f>IF(COUNTIFS($F$17:$F$369,"&lt;"&amp;G195,$I$17:$I$369,"&gt;="&amp;H195)+COUNTIFS($F$17:$F$369,"="&amp;G195,$I$17:$I$369,"&gt;"&amp;H195)-IF(OR(G195&gt;F195,I195&gt;H195),1,0)=0,"是","否")</x:f>
        <x:v>否</x:v>
      </x:c>
      <x:c r="M195" s="13" t="n">
        <x:f>1+COUNTIF($H$17:$H$369,"&gt;"&amp;I195)</x:f>
        <x:v>20</x:v>
      </x:c>
      <x:c r="N195" s="13" t="n">
        <x:f>COUNTIF($I$17:$I$369,"&gt;="&amp;H195)</x:f>
        <x:v>20</x:v>
      </x:c>
      <x:c r="O195" s="13" t="str">
        <x:v>I04 Table_1!D877/P877/U877</x:v>
      </x:c>
    </x:row>
    <x:row r="196" ht="24" customHeight="1">
      <x:c r="A196" s="13" t="str">
        <x:v>M87001</x:v>
      </x:c>
      <x:c r="B196" s="13" t="str">
        <x:v>QUA</x:v>
      </x:c>
      <x:c r="C196" s="13" t="n">
        <x:v>45</x:v>
      </x:c>
      <x:c r="D196" s="30" t="n">
        <x:v>95.6</x:v>
      </x:c>
      <x:c r="E196" s="14" t="n">
        <x:f>C196*(1000-ROUND(D196*10,0))/1000</x:f>
        <x:v>1.98</x:v>
      </x:c>
      <x:c r="F196" s="14" t="n">
        <x:f>MAX(0,(ROUND(D196*100,0)-ROUND($B$3*100,0))/100)</x:f>
        <x:v>95.55</x:v>
      </x:c>
      <x:c r="G196" s="14" t="n">
        <x:f>MIN(100,(ROUND(D196*100,0)+ROUND($B$3*100,0))/100)</x:f>
        <x:v>95.65</x:v>
      </x:c>
      <x:c r="H196" s="40" t="n">
        <x:f>C196*(10000-ROUND(G196*100,0))/10000</x:f>
        <x:v>1.9575</x:v>
      </x:c>
      <x:c r="I196" s="40" t="n">
        <x:f>C196*(10000-ROUND(F196*100,0))/10000</x:f>
        <x:v>2.0025</x:v>
      </x:c>
      <x:c r="J196" s="13" t="str">
        <x:f>IF(COUNTIFS($D$17:$D$369,"&lt;"&amp;D196,$E$17:$E$369,"&gt;="&amp;E196)+COUNTIFS($D$17:$D$369,"="&amp;D196,$E$17:$E$369,"&gt;"&amp;E196)=0,"是","否")</x:f>
        <x:v>否</x:v>
      </x:c>
      <x:c r="K196" s="13" t="str">
        <x:f>IF(COUNTIFS($G$17:$G$369,"&lt;"&amp;F196,$H$17:$H$369,"&gt;="&amp;I196)+COUNTIFS($G$17:$G$369,"="&amp;F196,$H$17:$H$369,"&gt;"&amp;I196)=0,"是","否")</x:f>
        <x:v>否</x:v>
      </x:c>
      <x:c r="L196" s="13" t="str">
        <x:f>IF(COUNTIFS($F$17:$F$369,"&lt;"&amp;G196,$I$17:$I$369,"&gt;="&amp;H196)+COUNTIFS($F$17:$F$369,"="&amp;G196,$I$17:$I$369,"&gt;"&amp;H196)-IF(OR(G196&gt;F196,I196&gt;H196),1,0)=0,"是","否")</x:f>
        <x:v>否</x:v>
      </x:c>
      <x:c r="M196" s="13" t="n">
        <x:f>1+COUNTIF($H$17:$H$369,"&gt;"&amp;I196)</x:f>
        <x:v>342</x:v>
      </x:c>
      <x:c r="N196" s="13" t="n">
        <x:f>COUNTIF($I$17:$I$369,"&gt;="&amp;H196)</x:f>
        <x:v>350</x:v>
      </x:c>
      <x:c r="O196" s="13" t="str">
        <x:v>I04 Table_1!D4908/P4908/U4908</x:v>
      </x:c>
    </x:row>
    <x:row r="197" ht="24" customHeight="1">
      <x:c r="A197" s="13" t="str">
        <x:v>M87003</x:v>
      </x:c>
      <x:c r="B197" s="13" t="str">
        <x:v>QUA</x:v>
      </x:c>
      <x:c r="C197" s="13" t="n">
        <x:v>152</x:v>
      </x:c>
      <x:c r="D197" s="30" t="n">
        <x:v>95.4</x:v>
      </x:c>
      <x:c r="E197" s="14" t="n">
        <x:f>C197*(1000-ROUND(D197*10,0))/1000</x:f>
        <x:v>6.992</x:v>
      </x:c>
      <x:c r="F197" s="14" t="n">
        <x:f>MAX(0,(ROUND(D197*100,0)-ROUND($B$3*100,0))/100)</x:f>
        <x:v>95.35</x:v>
      </x:c>
      <x:c r="G197" s="14" t="n">
        <x:f>MIN(100,(ROUND(D197*100,0)+ROUND($B$3*100,0))/100)</x:f>
        <x:v>95.45</x:v>
      </x:c>
      <x:c r="H197" s="40" t="n">
        <x:f>C197*(10000-ROUND(G197*100,0))/10000</x:f>
        <x:v>6.916</x:v>
      </x:c>
      <x:c r="I197" s="40" t="n">
        <x:f>C197*(10000-ROUND(F197*100,0))/10000</x:f>
        <x:v>7.068</x:v>
      </x:c>
      <x:c r="J197" s="13" t="str">
        <x:f>IF(COUNTIFS($D$17:$D$369,"&lt;"&amp;D197,$E$17:$E$369,"&gt;="&amp;E197)+COUNTIFS($D$17:$D$369,"="&amp;D197,$E$17:$E$369,"&gt;"&amp;E197)=0,"是","否")</x:f>
        <x:v>否</x:v>
      </x:c>
      <x:c r="K197" s="13" t="str">
        <x:f>IF(COUNTIFS($G$17:$G$369,"&lt;"&amp;F197,$H$17:$H$369,"&gt;="&amp;I197)+COUNTIFS($G$17:$G$369,"="&amp;F197,$H$17:$H$369,"&gt;"&amp;I197)=0,"是","否")</x:f>
        <x:v>否</x:v>
      </x:c>
      <x:c r="L197" s="13" t="str">
        <x:f>IF(COUNTIFS($F$17:$F$369,"&lt;"&amp;G197,$I$17:$I$369,"&gt;="&amp;H197)+COUNTIFS($F$17:$F$369,"="&amp;G197,$I$17:$I$369,"&gt;"&amp;H197)-IF(OR(G197&gt;F197,I197&gt;H197),1,0)=0,"是","否")</x:f>
        <x:v>否</x:v>
      </x:c>
      <x:c r="M197" s="13" t="n">
        <x:f>1+COUNTIF($H$17:$H$369,"&gt;"&amp;I197)</x:f>
        <x:v>272</x:v>
      </x:c>
      <x:c r="N197" s="13" t="n">
        <x:f>COUNTIF($I$17:$I$369,"&gt;="&amp;H197)</x:f>
        <x:v>285</x:v>
      </x:c>
      <x:c r="O197" s="13" t="str">
        <x:v>I04 Table_1!D4909/P4909/U4909</x:v>
      </x:c>
    </x:row>
    <x:row r="198" ht="24" customHeight="1">
      <x:c r="A198" s="13" t="str">
        <x:v>M87005</x:v>
      </x:c>
      <x:c r="B198" s="13" t="str">
        <x:v>QUA</x:v>
      </x:c>
      <x:c r="C198" s="13" t="n">
        <x:v>136</x:v>
      </x:c>
      <x:c r="D198" s="30" t="n">
        <x:v>91.2</x:v>
      </x:c>
      <x:c r="E198" s="14" t="n">
        <x:f>C198*(1000-ROUND(D198*10,0))/1000</x:f>
        <x:v>11.968</x:v>
      </x:c>
      <x:c r="F198" s="14" t="n">
        <x:f>MAX(0,(ROUND(D198*100,0)-ROUND($B$3*100,0))/100)</x:f>
        <x:v>91.15</x:v>
      </x:c>
      <x:c r="G198" s="14" t="n">
        <x:f>MIN(100,(ROUND(D198*100,0)+ROUND($B$3*100,0))/100)</x:f>
        <x:v>91.25</x:v>
      </x:c>
      <x:c r="H198" s="40" t="n">
        <x:f>C198*(10000-ROUND(G198*100,0))/10000</x:f>
        <x:v>11.9</x:v>
      </x:c>
      <x:c r="I198" s="40" t="n">
        <x:f>C198*(10000-ROUND(F198*100,0))/10000</x:f>
        <x:v>12.036</x:v>
      </x:c>
      <x:c r="J198" s="13" t="str">
        <x:f>IF(COUNTIFS($D$17:$D$369,"&lt;"&amp;D198,$E$17:$E$369,"&gt;="&amp;E198)+COUNTIFS($D$17:$D$369,"="&amp;D198,$E$17:$E$369,"&gt;"&amp;E198)=0,"是","否")</x:f>
        <x:v>否</x:v>
      </x:c>
      <x:c r="K198" s="13" t="str">
        <x:f>IF(COUNTIFS($G$17:$G$369,"&lt;"&amp;F198,$H$17:$H$369,"&gt;="&amp;I198)+COUNTIFS($G$17:$G$369,"="&amp;F198,$H$17:$H$369,"&gt;"&amp;I198)=0,"是","否")</x:f>
        <x:v>否</x:v>
      </x:c>
      <x:c r="L198" s="13" t="str">
        <x:f>IF(COUNTIFS($F$17:$F$369,"&lt;"&amp;G198,$I$17:$I$369,"&gt;="&amp;H198)+COUNTIFS($F$17:$F$369,"="&amp;G198,$I$17:$I$369,"&gt;"&amp;H198)-IF(OR(G198&gt;F198,I198&gt;H198),1,0)=0,"是","否")</x:f>
        <x:v>否</x:v>
      </x:c>
      <x:c r="M198" s="13" t="n">
        <x:f>1+COUNTIF($H$17:$H$369,"&gt;"&amp;I198)</x:f>
        <x:v>213</x:v>
      </x:c>
      <x:c r="N198" s="13" t="n">
        <x:f>COUNTIF($I$17:$I$369,"&gt;="&amp;H198)</x:f>
        <x:v>221</x:v>
      </x:c>
      <x:c r="O198" s="13" t="str">
        <x:v>I04 Table_1!D4910/P4910/U4910</x:v>
      </x:c>
    </x:row>
    <x:row r="199" ht="24" customHeight="1">
      <x:c r="A199" s="13" t="str">
        <x:v>M87006</x:v>
      </x:c>
      <x:c r="B199" s="13" t="str">
        <x:v>QUA</x:v>
      </x:c>
      <x:c r="C199" s="13" t="n">
        <x:v>106</x:v>
      </x:c>
      <x:c r="D199" s="30" t="n">
        <x:v>88.7</x:v>
      </x:c>
      <x:c r="E199" s="14" t="n">
        <x:f>C199*(1000-ROUND(D199*10,0))/1000</x:f>
        <x:v>11.978</x:v>
      </x:c>
      <x:c r="F199" s="14" t="n">
        <x:f>MAX(0,(ROUND(D199*100,0)-ROUND($B$3*100,0))/100)</x:f>
        <x:v>88.65</x:v>
      </x:c>
      <x:c r="G199" s="14" t="n">
        <x:f>MIN(100,(ROUND(D199*100,0)+ROUND($B$3*100,0))/100)</x:f>
        <x:v>88.75</x:v>
      </x:c>
      <x:c r="H199" s="40" t="n">
        <x:f>C199*(10000-ROUND(G199*100,0))/10000</x:f>
        <x:v>11.925</x:v>
      </x:c>
      <x:c r="I199" s="40" t="n">
        <x:f>C199*(10000-ROUND(F199*100,0))/10000</x:f>
        <x:v>12.031</x:v>
      </x:c>
      <x:c r="J199" s="13" t="str">
        <x:f>IF(COUNTIFS($D$17:$D$369,"&lt;"&amp;D199,$E$17:$E$369,"&gt;="&amp;E199)+COUNTIFS($D$17:$D$369,"="&amp;D199,$E$17:$E$369,"&gt;"&amp;E199)=0,"是","否")</x:f>
        <x:v>否</x:v>
      </x:c>
      <x:c r="K199" s="13" t="str">
        <x:f>IF(COUNTIFS($G$17:$G$369,"&lt;"&amp;F199,$H$17:$H$369,"&gt;="&amp;I199)+COUNTIFS($G$17:$G$369,"="&amp;F199,$H$17:$H$369,"&gt;"&amp;I199)=0,"是","否")</x:f>
        <x:v>否</x:v>
      </x:c>
      <x:c r="L199" s="13" t="str">
        <x:f>IF(COUNTIFS($F$17:$F$369,"&lt;"&amp;G199,$I$17:$I$369,"&gt;="&amp;H199)+COUNTIFS($F$17:$F$369,"="&amp;G199,$I$17:$I$369,"&gt;"&amp;H199)-IF(OR(G199&gt;F199,I199&gt;H199),1,0)=0,"是","否")</x:f>
        <x:v>否</x:v>
      </x:c>
      <x:c r="M199" s="13" t="n">
        <x:f>1+COUNTIF($H$17:$H$369,"&gt;"&amp;I199)</x:f>
        <x:v>213</x:v>
      </x:c>
      <x:c r="N199" s="13" t="n">
        <x:f>COUNTIF($I$17:$I$369,"&gt;="&amp;H199)</x:f>
        <x:v>221</x:v>
      </x:c>
      <x:c r="O199" s="13" t="str">
        <x:v>I04 Table_1!D4911/P4911/U4911</x:v>
      </x:c>
    </x:row>
    <x:row r="200" ht="24" customHeight="1">
      <x:c r="A200" s="13" t="str">
        <x:v>M87007</x:v>
      </x:c>
      <x:c r="B200" s="13" t="str">
        <x:v>QUA</x:v>
      </x:c>
      <x:c r="C200" s="13" t="n">
        <x:v>113</x:v>
      </x:c>
      <x:c r="D200" s="30" t="n">
        <x:v>95.6</x:v>
      </x:c>
      <x:c r="E200" s="14" t="n">
        <x:f>C200*(1000-ROUND(D200*10,0))/1000</x:f>
        <x:v>4.972</x:v>
      </x:c>
      <x:c r="F200" s="14" t="n">
        <x:f>MAX(0,(ROUND(D200*100,0)-ROUND($B$3*100,0))/100)</x:f>
        <x:v>95.55</x:v>
      </x:c>
      <x:c r="G200" s="14" t="n">
        <x:f>MIN(100,(ROUND(D200*100,0)+ROUND($B$3*100,0))/100)</x:f>
        <x:v>95.65</x:v>
      </x:c>
      <x:c r="H200" s="40" t="n">
        <x:f>C200*(10000-ROUND(G200*100,0))/10000</x:f>
        <x:v>4.9155</x:v>
      </x:c>
      <x:c r="I200" s="40" t="n">
        <x:f>C200*(10000-ROUND(F200*100,0))/10000</x:f>
        <x:v>5.0285</x:v>
      </x:c>
      <x:c r="J200" s="13" t="str">
        <x:f>IF(COUNTIFS($D$17:$D$369,"&lt;"&amp;D200,$E$17:$E$369,"&gt;="&amp;E200)+COUNTIFS($D$17:$D$369,"="&amp;D200,$E$17:$E$369,"&gt;"&amp;E200)=0,"是","否")</x:f>
        <x:v>否</x:v>
      </x:c>
      <x:c r="K200" s="13" t="str">
        <x:f>IF(COUNTIFS($G$17:$G$369,"&lt;"&amp;F200,$H$17:$H$369,"&gt;="&amp;I200)+COUNTIFS($G$17:$G$369,"="&amp;F200,$H$17:$H$369,"&gt;"&amp;I200)=0,"是","否")</x:f>
        <x:v>否</x:v>
      </x:c>
      <x:c r="L200" s="13" t="str">
        <x:f>IF(COUNTIFS($F$17:$F$369,"&lt;"&amp;G200,$I$17:$I$369,"&gt;="&amp;H200)+COUNTIFS($F$17:$F$369,"="&amp;G200,$I$17:$I$369,"&gt;"&amp;H200)-IF(OR(G200&gt;F200,I200&gt;H200),1,0)=0,"是","否")</x:f>
        <x:v>否</x:v>
      </x:c>
      <x:c r="M200" s="13" t="n">
        <x:f>1+COUNTIF($H$17:$H$369,"&gt;"&amp;I200)</x:f>
        <x:v>302</x:v>
      </x:c>
      <x:c r="N200" s="13" t="n">
        <x:f>COUNTIF($I$17:$I$369,"&gt;="&amp;H200)</x:f>
        <x:v>319</x:v>
      </x:c>
      <x:c r="O200" s="13" t="str">
        <x:v>I04 Table_1!D4912/P4912/U4912</x:v>
      </x:c>
    </x:row>
    <x:row r="201" ht="24" customHeight="1">
      <x:c r="A201" s="13" t="str">
        <x:v>M87008</x:v>
      </x:c>
      <x:c r="B201" s="13" t="str">
        <x:v>QUA</x:v>
      </x:c>
      <x:c r="C201" s="13" t="n">
        <x:v>81</x:v>
      </x:c>
      <x:c r="D201" s="30" t="n">
        <x:v>93.8</x:v>
      </x:c>
      <x:c r="E201" s="14" t="n">
        <x:f>C201*(1000-ROUND(D201*10,0))/1000</x:f>
        <x:v>5.022</x:v>
      </x:c>
      <x:c r="F201" s="14" t="n">
        <x:f>MAX(0,(ROUND(D201*100,0)-ROUND($B$3*100,0))/100)</x:f>
        <x:v>93.75</x:v>
      </x:c>
      <x:c r="G201" s="14" t="n">
        <x:f>MIN(100,(ROUND(D201*100,0)+ROUND($B$3*100,0))/100)</x:f>
        <x:v>93.85</x:v>
      </x:c>
      <x:c r="H201" s="40" t="n">
        <x:f>C201*(10000-ROUND(G201*100,0))/10000</x:f>
        <x:v>4.9815</x:v>
      </x:c>
      <x:c r="I201" s="40" t="n">
        <x:f>C201*(10000-ROUND(F201*100,0))/10000</x:f>
        <x:v>5.0625</x:v>
      </x:c>
      <x:c r="J201" s="13" t="str">
        <x:f>IF(COUNTIFS($D$17:$D$369,"&lt;"&amp;D201,$E$17:$E$369,"&gt;="&amp;E201)+COUNTIFS($D$17:$D$369,"="&amp;D201,$E$17:$E$369,"&gt;"&amp;E201)=0,"是","否")</x:f>
        <x:v>否</x:v>
      </x:c>
      <x:c r="K201" s="13" t="str">
        <x:f>IF(COUNTIFS($G$17:$G$369,"&lt;"&amp;F201,$H$17:$H$369,"&gt;="&amp;I201)+COUNTIFS($G$17:$G$369,"="&amp;F201,$H$17:$H$369,"&gt;"&amp;I201)=0,"是","否")</x:f>
        <x:v>否</x:v>
      </x:c>
      <x:c r="L201" s="13" t="str">
        <x:f>IF(COUNTIFS($F$17:$F$369,"&lt;"&amp;G201,$I$17:$I$369,"&gt;="&amp;H201)+COUNTIFS($F$17:$F$369,"="&amp;G201,$I$17:$I$369,"&gt;"&amp;H201)-IF(OR(G201&gt;F201,I201&gt;H201),1,0)=0,"是","否")</x:f>
        <x:v>否</x:v>
      </x:c>
      <x:c r="M201" s="13" t="n">
        <x:f>1+COUNTIF($H$17:$H$369,"&gt;"&amp;I201)</x:f>
        <x:v>302</x:v>
      </x:c>
      <x:c r="N201" s="13" t="n">
        <x:f>COUNTIF($I$17:$I$369,"&gt;="&amp;H201)</x:f>
        <x:v>319</x:v>
      </x:c>
      <x:c r="O201" s="13" t="str">
        <x:v>I04 Table_1!D4913/P4913/U4913</x:v>
      </x:c>
    </x:row>
    <x:row r="202" ht="24" customHeight="1">
      <x:c r="A202" s="13" t="str">
        <x:v>M87009</x:v>
      </x:c>
      <x:c r="B202" s="13" t="str">
        <x:v>QUA</x:v>
      </x:c>
      <x:c r="C202" s="13" t="n">
        <x:v>178</x:v>
      </x:c>
      <x:c r="D202" s="30" t="n">
        <x:v>90.4</x:v>
      </x:c>
      <x:c r="E202" s="14" t="n">
        <x:f>C202*(1000-ROUND(D202*10,0))/1000</x:f>
        <x:v>17.088</x:v>
      </x:c>
      <x:c r="F202" s="14" t="n">
        <x:f>MAX(0,(ROUND(D202*100,0)-ROUND($B$3*100,0))/100)</x:f>
        <x:v>90.35</x:v>
      </x:c>
      <x:c r="G202" s="14" t="n">
        <x:f>MIN(100,(ROUND(D202*100,0)+ROUND($B$3*100,0))/100)</x:f>
        <x:v>90.45</x:v>
      </x:c>
      <x:c r="H202" s="40" t="n">
        <x:f>C202*(10000-ROUND(G202*100,0))/10000</x:f>
        <x:v>16.999</x:v>
      </x:c>
      <x:c r="I202" s="40" t="n">
        <x:f>C202*(10000-ROUND(F202*100,0))/10000</x:f>
        <x:v>17.177</x:v>
      </x:c>
      <x:c r="J202" s="13" t="str">
        <x:f>IF(COUNTIFS($D$17:$D$369,"&lt;"&amp;D202,$E$17:$E$369,"&gt;="&amp;E202)+COUNTIFS($D$17:$D$369,"="&amp;D202,$E$17:$E$369,"&gt;"&amp;E202)=0,"是","否")</x:f>
        <x:v>否</x:v>
      </x:c>
      <x:c r="K202" s="13" t="str">
        <x:f>IF(COUNTIFS($G$17:$G$369,"&lt;"&amp;F202,$H$17:$H$369,"&gt;="&amp;I202)+COUNTIFS($G$17:$G$369,"="&amp;F202,$H$17:$H$369,"&gt;"&amp;I202)=0,"是","否")</x:f>
        <x:v>否</x:v>
      </x:c>
      <x:c r="L202" s="13" t="str">
        <x:f>IF(COUNTIFS($F$17:$F$369,"&lt;"&amp;G202,$I$17:$I$369,"&gt;="&amp;H202)+COUNTIFS($F$17:$F$369,"="&amp;G202,$I$17:$I$369,"&gt;"&amp;H202)-IF(OR(G202&gt;F202,I202&gt;H202),1,0)=0,"是","否")</x:f>
        <x:v>否</x:v>
      </x:c>
      <x:c r="M202" s="13" t="n">
        <x:f>1+COUNTIF($H$17:$H$369,"&gt;"&amp;I202)</x:f>
        <x:v>158</x:v>
      </x:c>
      <x:c r="N202" s="13" t="n">
        <x:f>COUNTIF($I$17:$I$369,"&gt;="&amp;H202)</x:f>
        <x:v>166</x:v>
      </x:c>
      <x:c r="O202" s="13" t="str">
        <x:v>I04 Table_1!D4914/P4914/U4914</x:v>
      </x:c>
    </x:row>
    <x:row r="203" ht="24" customHeight="1">
      <x:c r="A203" s="13" t="str">
        <x:v>M87010</x:v>
      </x:c>
      <x:c r="B203" s="13" t="str">
        <x:v>QUA</x:v>
      </x:c>
      <x:c r="C203" s="13" t="n">
        <x:v>101</x:v>
      </x:c>
      <x:c r="D203" s="30" t="n">
        <x:v>87.1</x:v>
      </x:c>
      <x:c r="E203" s="14" t="n">
        <x:f>C203*(1000-ROUND(D203*10,0))/1000</x:f>
        <x:v>13.029</x:v>
      </x:c>
      <x:c r="F203" s="14" t="n">
        <x:f>MAX(0,(ROUND(D203*100,0)-ROUND($B$3*100,0))/100)</x:f>
        <x:v>87.05</x:v>
      </x:c>
      <x:c r="G203" s="14" t="n">
        <x:f>MIN(100,(ROUND(D203*100,0)+ROUND($B$3*100,0))/100)</x:f>
        <x:v>87.15</x:v>
      </x:c>
      <x:c r="H203" s="40" t="n">
        <x:f>C203*(10000-ROUND(G203*100,0))/10000</x:f>
        <x:v>12.9785</x:v>
      </x:c>
      <x:c r="I203" s="40" t="n">
        <x:f>C203*(10000-ROUND(F203*100,0))/10000</x:f>
        <x:v>13.0795</x:v>
      </x:c>
      <x:c r="J203" s="13" t="str">
        <x:f>IF(COUNTIFS($D$17:$D$369,"&lt;"&amp;D203,$E$17:$E$369,"&gt;="&amp;E203)+COUNTIFS($D$17:$D$369,"="&amp;D203,$E$17:$E$369,"&gt;"&amp;E203)=0,"是","否")</x:f>
        <x:v>否</x:v>
      </x:c>
      <x:c r="K203" s="13" t="str">
        <x:f>IF(COUNTIFS($G$17:$G$369,"&lt;"&amp;F203,$H$17:$H$369,"&gt;="&amp;I203)+COUNTIFS($G$17:$G$369,"="&amp;F203,$H$17:$H$369,"&gt;"&amp;I203)=0,"是","否")</x:f>
        <x:v>否</x:v>
      </x:c>
      <x:c r="L203" s="13" t="str">
        <x:f>IF(COUNTIFS($F$17:$F$369,"&lt;"&amp;G203,$I$17:$I$369,"&gt;="&amp;H203)+COUNTIFS($F$17:$F$369,"="&amp;G203,$I$17:$I$369,"&gt;"&amp;H203)-IF(OR(G203&gt;F203,I203&gt;H203),1,0)=0,"是","否")</x:f>
        <x:v>否</x:v>
      </x:c>
      <x:c r="M203" s="13" t="n">
        <x:f>1+COUNTIF($H$17:$H$369,"&gt;"&amp;I203)</x:f>
        <x:v>200</x:v>
      </x:c>
      <x:c r="N203" s="13" t="n">
        <x:f>COUNTIF($I$17:$I$369,"&gt;="&amp;H203)</x:f>
        <x:v>212</x:v>
      </x:c>
      <x:c r="O203" s="13" t="str">
        <x:v>I04 Table_1!D4915/P4915/U4915</x:v>
      </x:c>
    </x:row>
    <x:row r="204" ht="24" customHeight="1">
      <x:c r="A204" s="13" t="str">
        <x:v>M87011</x:v>
      </x:c>
      <x:c r="B204" s="13" t="str">
        <x:v>QUA</x:v>
      </x:c>
      <x:c r="C204" s="13" t="n">
        <x:v>248</x:v>
      </x:c>
      <x:c r="D204" s="30" t="n">
        <x:v>94.8</x:v>
      </x:c>
      <x:c r="E204" s="14" t="n">
        <x:f>C204*(1000-ROUND(D204*10,0))/1000</x:f>
        <x:v>12.896</x:v>
      </x:c>
      <x:c r="F204" s="14" t="n">
        <x:f>MAX(0,(ROUND(D204*100,0)-ROUND($B$3*100,0))/100)</x:f>
        <x:v>94.75</x:v>
      </x:c>
      <x:c r="G204" s="14" t="n">
        <x:f>MIN(100,(ROUND(D204*100,0)+ROUND($B$3*100,0))/100)</x:f>
        <x:v>94.85</x:v>
      </x:c>
      <x:c r="H204" s="40" t="n">
        <x:f>C204*(10000-ROUND(G204*100,0))/10000</x:f>
        <x:v>12.772</x:v>
      </x:c>
      <x:c r="I204" s="40" t="n">
        <x:f>C204*(10000-ROUND(F204*100,0))/10000</x:f>
        <x:v>13.02</x:v>
      </x:c>
      <x:c r="J204" s="13" t="str">
        <x:f>IF(COUNTIFS($D$17:$D$369,"&lt;"&amp;D204,$E$17:$E$369,"&gt;="&amp;E204)+COUNTIFS($D$17:$D$369,"="&amp;D204,$E$17:$E$369,"&gt;"&amp;E204)=0,"是","否")</x:f>
        <x:v>否</x:v>
      </x:c>
      <x:c r="K204" s="13" t="str">
        <x:f>IF(COUNTIFS($G$17:$G$369,"&lt;"&amp;F204,$H$17:$H$369,"&gt;="&amp;I204)+COUNTIFS($G$17:$G$369,"="&amp;F204,$H$17:$H$369,"&gt;"&amp;I204)=0,"是","否")</x:f>
        <x:v>否</x:v>
      </x:c>
      <x:c r="L204" s="13" t="str">
        <x:f>IF(COUNTIFS($F$17:$F$369,"&lt;"&amp;G204,$I$17:$I$369,"&gt;="&amp;H204)+COUNTIFS($F$17:$F$369,"="&amp;G204,$I$17:$I$369,"&gt;"&amp;H204)-IF(OR(G204&gt;F204,I204&gt;H204),1,0)=0,"是","否")</x:f>
        <x:v>否</x:v>
      </x:c>
      <x:c r="M204" s="13" t="n">
        <x:f>1+COUNTIF($H$17:$H$369,"&gt;"&amp;I204)</x:f>
        <x:v>200</x:v>
      </x:c>
      <x:c r="N204" s="13" t="n">
        <x:f>COUNTIF($I$17:$I$369,"&gt;="&amp;H204)</x:f>
        <x:v>212</x:v>
      </x:c>
      <x:c r="O204" s="13" t="str">
        <x:v>I04 Table_1!D4916/P4916/U4916</x:v>
      </x:c>
    </x:row>
    <x:row r="205" ht="24" customHeight="1">
      <x:c r="A205" s="13" t="str">
        <x:v>M87012</x:v>
      </x:c>
      <x:c r="B205" s="13" t="str">
        <x:v>QUA</x:v>
      </x:c>
      <x:c r="C205" s="13" t="n">
        <x:v>97</x:v>
      </x:c>
      <x:c r="D205" s="30" t="n">
        <x:v>84.5</x:v>
      </x:c>
      <x:c r="E205" s="14" t="n">
        <x:f>C205*(1000-ROUND(D205*10,0))/1000</x:f>
        <x:v>15.035</x:v>
      </x:c>
      <x:c r="F205" s="14" t="n">
        <x:f>MAX(0,(ROUND(D205*100,0)-ROUND($B$3*100,0))/100)</x:f>
        <x:v>84.45</x:v>
      </x:c>
      <x:c r="G205" s="14" t="n">
        <x:f>MIN(100,(ROUND(D205*100,0)+ROUND($B$3*100,0))/100)</x:f>
        <x:v>84.55</x:v>
      </x:c>
      <x:c r="H205" s="40" t="n">
        <x:f>C205*(10000-ROUND(G205*100,0))/10000</x:f>
        <x:v>14.9865</x:v>
      </x:c>
      <x:c r="I205" s="40" t="n">
        <x:f>C205*(10000-ROUND(F205*100,0))/10000</x:f>
        <x:v>15.0835</x:v>
      </x:c>
      <x:c r="J205" s="13" t="str">
        <x:f>IF(COUNTIFS($D$17:$D$369,"&lt;"&amp;D205,$E$17:$E$369,"&gt;="&amp;E205)+COUNTIFS($D$17:$D$369,"="&amp;D205,$E$17:$E$369,"&gt;"&amp;E205)=0,"是","否")</x:f>
        <x:v>否</x:v>
      </x:c>
      <x:c r="K205" s="13" t="str">
        <x:f>IF(COUNTIFS($G$17:$G$369,"&lt;"&amp;F205,$H$17:$H$369,"&gt;="&amp;I205)+COUNTIFS($G$17:$G$369,"="&amp;F205,$H$17:$H$369,"&gt;"&amp;I205)=0,"是","否")</x:f>
        <x:v>否</x:v>
      </x:c>
      <x:c r="L205" s="13" t="str">
        <x:f>IF(COUNTIFS($F$17:$F$369,"&lt;"&amp;G205,$I$17:$I$369,"&gt;="&amp;H205)+COUNTIFS($F$17:$F$369,"="&amp;G205,$I$17:$I$369,"&gt;"&amp;H205)-IF(OR(G205&gt;F205,I205&gt;H205),1,0)=0,"是","否")</x:f>
        <x:v>否</x:v>
      </x:c>
      <x:c r="M205" s="13" t="n">
        <x:f>1+COUNTIF($H$17:$H$369,"&gt;"&amp;I205)</x:f>
        <x:v>177</x:v>
      </x:c>
      <x:c r="N205" s="13" t="n">
        <x:f>COUNTIF($I$17:$I$369,"&gt;="&amp;H205)</x:f>
        <x:v>189</x:v>
      </x:c>
      <x:c r="O205" s="13" t="str">
        <x:v>I04 Table_1!D4917/P4917/U4917</x:v>
      </x:c>
    </x:row>
    <x:row r="206" ht="24" customHeight="1">
      <x:c r="A206" s="13" t="str">
        <x:v>M87013</x:v>
      </x:c>
      <x:c r="B206" s="13" t="str">
        <x:v>QUA</x:v>
      </x:c>
      <x:c r="C206" s="13" t="n">
        <x:v>121</x:v>
      </x:c>
      <x:c r="D206" s="30" t="n">
        <x:v>85.1</x:v>
      </x:c>
      <x:c r="E206" s="14" t="n">
        <x:f>C206*(1000-ROUND(D206*10,0))/1000</x:f>
        <x:v>18.029</x:v>
      </x:c>
      <x:c r="F206" s="14" t="n">
        <x:f>MAX(0,(ROUND(D206*100,0)-ROUND($B$3*100,0))/100)</x:f>
        <x:v>85.05</x:v>
      </x:c>
      <x:c r="G206" s="14" t="n">
        <x:f>MIN(100,(ROUND(D206*100,0)+ROUND($B$3*100,0))/100)</x:f>
        <x:v>85.15</x:v>
      </x:c>
      <x:c r="H206" s="40" t="n">
        <x:f>C206*(10000-ROUND(G206*100,0))/10000</x:f>
        <x:v>17.9685</x:v>
      </x:c>
      <x:c r="I206" s="40" t="n">
        <x:f>C206*(10000-ROUND(F206*100,0))/10000</x:f>
        <x:v>18.0895</x:v>
      </x:c>
      <x:c r="J206" s="13" t="str">
        <x:f>IF(COUNTIFS($D$17:$D$369,"&lt;"&amp;D206,$E$17:$E$369,"&gt;="&amp;E206)+COUNTIFS($D$17:$D$369,"="&amp;D206,$E$17:$E$369,"&gt;"&amp;E206)=0,"是","否")</x:f>
        <x:v>否</x:v>
      </x:c>
      <x:c r="K206" s="13" t="str">
        <x:f>IF(COUNTIFS($G$17:$G$369,"&lt;"&amp;F206,$H$17:$H$369,"&gt;="&amp;I206)+COUNTIFS($G$17:$G$369,"="&amp;F206,$H$17:$H$369,"&gt;"&amp;I206)=0,"是","否")</x:f>
        <x:v>否</x:v>
      </x:c>
      <x:c r="L206" s="13" t="str">
        <x:f>IF(COUNTIFS($F$17:$F$369,"&lt;"&amp;G206,$I$17:$I$369,"&gt;="&amp;H206)+COUNTIFS($F$17:$F$369,"="&amp;G206,$I$17:$I$369,"&gt;"&amp;H206)-IF(OR(G206&gt;F206,I206&gt;H206),1,0)=0,"是","否")</x:f>
        <x:v>否</x:v>
      </x:c>
      <x:c r="M206" s="13" t="n">
        <x:f>1+COUNTIF($H$17:$H$369,"&gt;"&amp;I206)</x:f>
        <x:v>152</x:v>
      </x:c>
      <x:c r="N206" s="13" t="n">
        <x:f>COUNTIF($I$17:$I$369,"&gt;="&amp;H206)</x:f>
        <x:v>157</x:v>
      </x:c>
      <x:c r="O206" s="13" t="str">
        <x:v>I04 Table_1!D4918/P4918/U4918</x:v>
      </x:c>
    </x:row>
    <x:row r="207" ht="24" customHeight="1">
      <x:c r="A207" s="13" t="str">
        <x:v>M87014</x:v>
      </x:c>
      <x:c r="B207" s="13" t="str">
        <x:v>QUA</x:v>
      </x:c>
      <x:c r="C207" s="13" t="n">
        <x:v>80</x:v>
      </x:c>
      <x:c r="D207" s="30" t="n">
        <x:v>92.5</x:v>
      </x:c>
      <x:c r="E207" s="14" t="n">
        <x:f>C207*(1000-ROUND(D207*10,0))/1000</x:f>
        <x:v>6</x:v>
      </x:c>
      <x:c r="F207" s="14" t="n">
        <x:f>MAX(0,(ROUND(D207*100,0)-ROUND($B$3*100,0))/100)</x:f>
        <x:v>92.45</x:v>
      </x:c>
      <x:c r="G207" s="14" t="n">
        <x:f>MIN(100,(ROUND(D207*100,0)+ROUND($B$3*100,0))/100)</x:f>
        <x:v>92.55</x:v>
      </x:c>
      <x:c r="H207" s="40" t="n">
        <x:f>C207*(10000-ROUND(G207*100,0))/10000</x:f>
        <x:v>5.96</x:v>
      </x:c>
      <x:c r="I207" s="40" t="n">
        <x:f>C207*(10000-ROUND(F207*100,0))/10000</x:f>
        <x:v>6.04</x:v>
      </x:c>
      <x:c r="J207" s="13" t="str">
        <x:f>IF(COUNTIFS($D$17:$D$369,"&lt;"&amp;D207,$E$17:$E$369,"&gt;="&amp;E207)+COUNTIFS($D$17:$D$369,"="&amp;D207,$E$17:$E$369,"&gt;"&amp;E207)=0,"是","否")</x:f>
        <x:v>否</x:v>
      </x:c>
      <x:c r="K207" s="13" t="str">
        <x:f>IF(COUNTIFS($G$17:$G$369,"&lt;"&amp;F207,$H$17:$H$369,"&gt;="&amp;I207)+COUNTIFS($G$17:$G$369,"="&amp;F207,$H$17:$H$369,"&gt;"&amp;I207)=0,"是","否")</x:f>
        <x:v>否</x:v>
      </x:c>
      <x:c r="L207" s="13" t="str">
        <x:f>IF(COUNTIFS($F$17:$F$369,"&lt;"&amp;G207,$I$17:$I$369,"&gt;="&amp;H207)+COUNTIFS($F$17:$F$369,"="&amp;G207,$I$17:$I$369,"&gt;"&amp;H207)-IF(OR(G207&gt;F207,I207&gt;H207),1,0)=0,"是","否")</x:f>
        <x:v>否</x:v>
      </x:c>
      <x:c r="M207" s="13" t="n">
        <x:f>1+COUNTIF($H$17:$H$369,"&gt;"&amp;I207)</x:f>
        <x:v>286</x:v>
      </x:c>
      <x:c r="N207" s="13" t="n">
        <x:f>COUNTIF($I$17:$I$369,"&gt;="&amp;H207)</x:f>
        <x:v>301</x:v>
      </x:c>
      <x:c r="O207" s="13" t="str">
        <x:v>I04 Table_1!D4919/P4919/U4919</x:v>
      </x:c>
    </x:row>
    <x:row r="208" ht="24" customHeight="1">
      <x:c r="A208" s="13" t="str">
        <x:v>M87015</x:v>
      </x:c>
      <x:c r="B208" s="13" t="str">
        <x:v>QUA</x:v>
      </x:c>
      <x:c r="C208" s="13" t="n">
        <x:v>81</x:v>
      </x:c>
      <x:c r="D208" s="30" t="n">
        <x:v>84</x:v>
      </x:c>
      <x:c r="E208" s="14" t="n">
        <x:f>C208*(1000-ROUND(D208*10,0))/1000</x:f>
        <x:v>12.96</x:v>
      </x:c>
      <x:c r="F208" s="14" t="n">
        <x:f>MAX(0,(ROUND(D208*100,0)-ROUND($B$3*100,0))/100)</x:f>
        <x:v>83.95</x:v>
      </x:c>
      <x:c r="G208" s="14" t="n">
        <x:f>MIN(100,(ROUND(D208*100,0)+ROUND($B$3*100,0))/100)</x:f>
        <x:v>84.05</x:v>
      </x:c>
      <x:c r="H208" s="40" t="n">
        <x:f>C208*(10000-ROUND(G208*100,0))/10000</x:f>
        <x:v>12.9195</x:v>
      </x:c>
      <x:c r="I208" s="40" t="n">
        <x:f>C208*(10000-ROUND(F208*100,0))/10000</x:f>
        <x:v>13.0005</x:v>
      </x:c>
      <x:c r="J208" s="13" t="str">
        <x:f>IF(COUNTIFS($D$17:$D$369,"&lt;"&amp;D208,$E$17:$E$369,"&gt;="&amp;E208)+COUNTIFS($D$17:$D$369,"="&amp;D208,$E$17:$E$369,"&gt;"&amp;E208)=0,"是","否")</x:f>
        <x:v>否</x:v>
      </x:c>
      <x:c r="K208" s="13" t="str">
        <x:f>IF(COUNTIFS($G$17:$G$369,"&lt;"&amp;F208,$H$17:$H$369,"&gt;="&amp;I208)+COUNTIFS($G$17:$G$369,"="&amp;F208,$H$17:$H$369,"&gt;"&amp;I208)=0,"是","否")</x:f>
        <x:v>否</x:v>
      </x:c>
      <x:c r="L208" s="13" t="str">
        <x:f>IF(COUNTIFS($F$17:$F$369,"&lt;"&amp;G208,$I$17:$I$369,"&gt;="&amp;H208)+COUNTIFS($F$17:$F$369,"="&amp;G208,$I$17:$I$369,"&gt;"&amp;H208)-IF(OR(G208&gt;F208,I208&gt;H208),1,0)=0,"是","否")</x:f>
        <x:v>否</x:v>
      </x:c>
      <x:c r="M208" s="13" t="n">
        <x:f>1+COUNTIF($H$17:$H$369,"&gt;"&amp;I208)</x:f>
        <x:v>200</x:v>
      </x:c>
      <x:c r="N208" s="13" t="n">
        <x:f>COUNTIF($I$17:$I$369,"&gt;="&amp;H208)</x:f>
        <x:v>212</x:v>
      </x:c>
      <x:c r="O208" s="13" t="str">
        <x:v>I04 Table_1!D4920/P4920/U4920</x:v>
      </x:c>
    </x:row>
    <x:row r="209" ht="24" customHeight="1">
      <x:c r="A209" s="13" t="str">
        <x:v>M87016</x:v>
      </x:c>
      <x:c r="B209" s="13" t="str">
        <x:v>QUA</x:v>
      </x:c>
      <x:c r="C209" s="13" t="n">
        <x:v>81</x:v>
      </x:c>
      <x:c r="D209" s="30" t="n">
        <x:v>88.9</x:v>
      </x:c>
      <x:c r="E209" s="14" t="n">
        <x:f>C209*(1000-ROUND(D209*10,0))/1000</x:f>
        <x:v>8.991</x:v>
      </x:c>
      <x:c r="F209" s="14" t="n">
        <x:f>MAX(0,(ROUND(D209*100,0)-ROUND($B$3*100,0))/100)</x:f>
        <x:v>88.85</x:v>
      </x:c>
      <x:c r="G209" s="14" t="n">
        <x:f>MIN(100,(ROUND(D209*100,0)+ROUND($B$3*100,0))/100)</x:f>
        <x:v>88.95</x:v>
      </x:c>
      <x:c r="H209" s="40" t="n">
        <x:f>C209*(10000-ROUND(G209*100,0))/10000</x:f>
        <x:v>8.9505</x:v>
      </x:c>
      <x:c r="I209" s="40" t="n">
        <x:f>C209*(10000-ROUND(F209*100,0))/10000</x:f>
        <x:v>9.0315</x:v>
      </x:c>
      <x:c r="J209" s="13" t="str">
        <x:f>IF(COUNTIFS($D$17:$D$369,"&lt;"&amp;D209,$E$17:$E$369,"&gt;="&amp;E209)+COUNTIFS($D$17:$D$369,"="&amp;D209,$E$17:$E$369,"&gt;"&amp;E209)=0,"是","否")</x:f>
        <x:v>否</x:v>
      </x:c>
      <x:c r="K209" s="13" t="str">
        <x:f>IF(COUNTIFS($G$17:$G$369,"&lt;"&amp;F209,$H$17:$H$369,"&gt;="&amp;I209)+COUNTIFS($G$17:$G$369,"="&amp;F209,$H$17:$H$369,"&gt;"&amp;I209)=0,"是","否")</x:f>
        <x:v>否</x:v>
      </x:c>
      <x:c r="L209" s="13" t="str">
        <x:f>IF(COUNTIFS($F$17:$F$369,"&lt;"&amp;G209,$I$17:$I$369,"&gt;="&amp;H209)+COUNTIFS($F$17:$F$369,"="&amp;G209,$I$17:$I$369,"&gt;"&amp;H209)-IF(OR(G209&gt;F209,I209&gt;H209),1,0)=0,"是","否")</x:f>
        <x:v>否</x:v>
      </x:c>
      <x:c r="M209" s="13" t="n">
        <x:f>1+COUNTIF($H$17:$H$369,"&gt;"&amp;I209)</x:f>
        <x:v>244</x:v>
      </x:c>
      <x:c r="N209" s="13" t="n">
        <x:f>COUNTIF($I$17:$I$369,"&gt;="&amp;H209)</x:f>
        <x:v>256</x:v>
      </x:c>
      <x:c r="O209" s="13" t="str">
        <x:v>I04 Table_1!D4921/P4921/U4921</x:v>
      </x:c>
    </x:row>
    <x:row r="210" ht="24" customHeight="1">
      <x:c r="A210" s="13" t="str">
        <x:v>M87017</x:v>
      </x:c>
      <x:c r="B210" s="13" t="str">
        <x:v>QUA</x:v>
      </x:c>
      <x:c r="C210" s="13" t="n">
        <x:v>113</x:v>
      </x:c>
      <x:c r="D210" s="30" t="n">
        <x:v>82.3</x:v>
      </x:c>
      <x:c r="E210" s="14" t="n">
        <x:f>C210*(1000-ROUND(D210*10,0))/1000</x:f>
        <x:v>20.001</x:v>
      </x:c>
      <x:c r="F210" s="14" t="n">
        <x:f>MAX(0,(ROUND(D210*100,0)-ROUND($B$3*100,0))/100)</x:f>
        <x:v>82.25</x:v>
      </x:c>
      <x:c r="G210" s="14" t="n">
        <x:f>MIN(100,(ROUND(D210*100,0)+ROUND($B$3*100,0))/100)</x:f>
        <x:v>82.35</x:v>
      </x:c>
      <x:c r="H210" s="40" t="n">
        <x:f>C210*(10000-ROUND(G210*100,0))/10000</x:f>
        <x:v>19.9445</x:v>
      </x:c>
      <x:c r="I210" s="40" t="n">
        <x:f>C210*(10000-ROUND(F210*100,0))/10000</x:f>
        <x:v>20.0575</x:v>
      </x:c>
      <x:c r="J210" s="13" t="str">
        <x:f>IF(COUNTIFS($D$17:$D$369,"&lt;"&amp;D210,$E$17:$E$369,"&gt;="&amp;E210)+COUNTIFS($D$17:$D$369,"="&amp;D210,$E$17:$E$369,"&gt;"&amp;E210)=0,"是","否")</x:f>
        <x:v>否</x:v>
      </x:c>
      <x:c r="K210" s="13" t="str">
        <x:f>IF(COUNTIFS($G$17:$G$369,"&lt;"&amp;F210,$H$17:$H$369,"&gt;="&amp;I210)+COUNTIFS($G$17:$G$369,"="&amp;F210,$H$17:$H$369,"&gt;"&amp;I210)=0,"是","否")</x:f>
        <x:v>否</x:v>
      </x:c>
      <x:c r="L210" s="13" t="str">
        <x:f>IF(COUNTIFS($F$17:$F$369,"&lt;"&amp;G210,$I$17:$I$369,"&gt;="&amp;H210)+COUNTIFS($F$17:$F$369,"="&amp;G210,$I$17:$I$369,"&gt;"&amp;H210)-IF(OR(G210&gt;F210,I210&gt;H210),1,0)=0,"是","否")</x:f>
        <x:v>否</x:v>
      </x:c>
      <x:c r="M210" s="13" t="n">
        <x:f>1+COUNTIF($H$17:$H$369,"&gt;"&amp;I210)</x:f>
        <x:v>130</x:v>
      </x:c>
      <x:c r="N210" s="13" t="n">
        <x:f>COUNTIF($I$17:$I$369,"&gt;="&amp;H210)</x:f>
        <x:v>141</x:v>
      </x:c>
      <x:c r="O210" s="13" t="str">
        <x:v>I04 Table_1!D4922/P4922/U4922</x:v>
      </x:c>
    </x:row>
    <x:row r="211" ht="24" customHeight="1">
      <x:c r="A211" s="13" t="str">
        <x:v>M87018</x:v>
      </x:c>
      <x:c r="B211" s="13" t="str">
        <x:v>QUA</x:v>
      </x:c>
      <x:c r="C211" s="13" t="n">
        <x:v>68</x:v>
      </x:c>
      <x:c r="D211" s="30" t="n">
        <x:v>97.1</x:v>
      </x:c>
      <x:c r="E211" s="14" t="n">
        <x:f>C211*(1000-ROUND(D211*10,0))/1000</x:f>
        <x:v>1.972</x:v>
      </x:c>
      <x:c r="F211" s="14" t="n">
        <x:f>MAX(0,(ROUND(D211*100,0)-ROUND($B$3*100,0))/100)</x:f>
        <x:v>97.05</x:v>
      </x:c>
      <x:c r="G211" s="14" t="n">
        <x:f>MIN(100,(ROUND(D211*100,0)+ROUND($B$3*100,0))/100)</x:f>
        <x:v>97.15</x:v>
      </x:c>
      <x:c r="H211" s="40" t="n">
        <x:f>C211*(10000-ROUND(G211*100,0))/10000</x:f>
        <x:v>1.938</x:v>
      </x:c>
      <x:c r="I211" s="40" t="n">
        <x:f>C211*(10000-ROUND(F211*100,0))/10000</x:f>
        <x:v>2.006</x:v>
      </x:c>
      <x:c r="J211" s="13" t="str">
        <x:f>IF(COUNTIFS($D$17:$D$369,"&lt;"&amp;D211,$E$17:$E$369,"&gt;="&amp;E211)+COUNTIFS($D$17:$D$369,"="&amp;D211,$E$17:$E$369,"&gt;"&amp;E211)=0,"是","否")</x:f>
        <x:v>否</x:v>
      </x:c>
      <x:c r="K211" s="13" t="str">
        <x:f>IF(COUNTIFS($G$17:$G$369,"&lt;"&amp;F211,$H$17:$H$369,"&gt;="&amp;I211)+COUNTIFS($G$17:$G$369,"="&amp;F211,$H$17:$H$369,"&gt;"&amp;I211)=0,"是","否")</x:f>
        <x:v>否</x:v>
      </x:c>
      <x:c r="L211" s="13" t="str">
        <x:f>IF(COUNTIFS($F$17:$F$369,"&lt;"&amp;G211,$I$17:$I$369,"&gt;="&amp;H211)+COUNTIFS($F$17:$F$369,"="&amp;G211,$I$17:$I$369,"&gt;"&amp;H211)-IF(OR(G211&gt;F211,I211&gt;H211),1,0)=0,"是","否")</x:f>
        <x:v>否</x:v>
      </x:c>
      <x:c r="M211" s="13" t="n">
        <x:f>1+COUNTIF($H$17:$H$369,"&gt;"&amp;I211)</x:f>
        <x:v>342</x:v>
      </x:c>
      <x:c r="N211" s="13" t="n">
        <x:f>COUNTIF($I$17:$I$369,"&gt;="&amp;H211)</x:f>
        <x:v>350</x:v>
      </x:c>
      <x:c r="O211" s="13" t="str">
        <x:v>I04 Table_1!D4923/P4923/U4923</x:v>
      </x:c>
    </x:row>
    <x:row r="212" ht="24" customHeight="1">
      <x:c r="A212" s="13" t="str">
        <x:v>M87019</x:v>
      </x:c>
      <x:c r="B212" s="13" t="str">
        <x:v>QUA</x:v>
      </x:c>
      <x:c r="C212" s="13" t="n">
        <x:v>66</x:v>
      </x:c>
      <x:c r="D212" s="30" t="n">
        <x:v>86.4</x:v>
      </x:c>
      <x:c r="E212" s="14" t="n">
        <x:f>C212*(1000-ROUND(D212*10,0))/1000</x:f>
        <x:v>8.976</x:v>
      </x:c>
      <x:c r="F212" s="14" t="n">
        <x:f>MAX(0,(ROUND(D212*100,0)-ROUND($B$3*100,0))/100)</x:f>
        <x:v>86.35</x:v>
      </x:c>
      <x:c r="G212" s="14" t="n">
        <x:f>MIN(100,(ROUND(D212*100,0)+ROUND($B$3*100,0))/100)</x:f>
        <x:v>86.45</x:v>
      </x:c>
      <x:c r="H212" s="40" t="n">
        <x:f>C212*(10000-ROUND(G212*100,0))/10000</x:f>
        <x:v>8.943</x:v>
      </x:c>
      <x:c r="I212" s="40" t="n">
        <x:f>C212*(10000-ROUND(F212*100,0))/10000</x:f>
        <x:v>9.009</x:v>
      </x:c>
      <x:c r="J212" s="13" t="str">
        <x:f>IF(COUNTIFS($D$17:$D$369,"&lt;"&amp;D212,$E$17:$E$369,"&gt;="&amp;E212)+COUNTIFS($D$17:$D$369,"="&amp;D212,$E$17:$E$369,"&gt;"&amp;E212)=0,"是","否")</x:f>
        <x:v>否</x:v>
      </x:c>
      <x:c r="K212" s="13" t="str">
        <x:f>IF(COUNTIFS($G$17:$G$369,"&lt;"&amp;F212,$H$17:$H$369,"&gt;="&amp;I212)+COUNTIFS($G$17:$G$369,"="&amp;F212,$H$17:$H$369,"&gt;"&amp;I212)=0,"是","否")</x:f>
        <x:v>否</x:v>
      </x:c>
      <x:c r="L212" s="13" t="str">
        <x:f>IF(COUNTIFS($F$17:$F$369,"&lt;"&amp;G212,$I$17:$I$369,"&gt;="&amp;H212)+COUNTIFS($F$17:$F$369,"="&amp;G212,$I$17:$I$369,"&gt;"&amp;H212)-IF(OR(G212&gt;F212,I212&gt;H212),1,0)=0,"是","否")</x:f>
        <x:v>否</x:v>
      </x:c>
      <x:c r="M212" s="13" t="n">
        <x:f>1+COUNTIF($H$17:$H$369,"&gt;"&amp;I212)</x:f>
        <x:v>244</x:v>
      </x:c>
      <x:c r="N212" s="13" t="n">
        <x:f>COUNTIF($I$17:$I$369,"&gt;="&amp;H212)</x:f>
        <x:v>256</x:v>
      </x:c>
      <x:c r="O212" s="13" t="str">
        <x:v>I04 Table_1!D4924/P4924/U4924</x:v>
      </x:c>
    </x:row>
    <x:row r="213" ht="24" customHeight="1">
      <x:c r="A213" s="13" t="str">
        <x:v>M87020</x:v>
      </x:c>
      <x:c r="B213" s="13" t="str">
        <x:v>QUA</x:v>
      </x:c>
      <x:c r="C213" s="13" t="n">
        <x:v>80</x:v>
      </x:c>
      <x:c r="D213" s="30" t="n">
        <x:v>85</x:v>
      </x:c>
      <x:c r="E213" s="14" t="n">
        <x:f>C213*(1000-ROUND(D213*10,0))/1000</x:f>
        <x:v>12</x:v>
      </x:c>
      <x:c r="F213" s="14" t="n">
        <x:f>MAX(0,(ROUND(D213*100,0)-ROUND($B$3*100,0))/100)</x:f>
        <x:v>84.95</x:v>
      </x:c>
      <x:c r="G213" s="14" t="n">
        <x:f>MIN(100,(ROUND(D213*100,0)+ROUND($B$3*100,0))/100)</x:f>
        <x:v>85.05</x:v>
      </x:c>
      <x:c r="H213" s="40" t="n">
        <x:f>C213*(10000-ROUND(G213*100,0))/10000</x:f>
        <x:v>11.96</x:v>
      </x:c>
      <x:c r="I213" s="40" t="n">
        <x:f>C213*(10000-ROUND(F213*100,0))/10000</x:f>
        <x:v>12.04</x:v>
      </x:c>
      <x:c r="J213" s="13" t="str">
        <x:f>IF(COUNTIFS($D$17:$D$369,"&lt;"&amp;D213,$E$17:$E$369,"&gt;="&amp;E213)+COUNTIFS($D$17:$D$369,"="&amp;D213,$E$17:$E$369,"&gt;"&amp;E213)=0,"是","否")</x:f>
        <x:v>否</x:v>
      </x:c>
      <x:c r="K213" s="13" t="str">
        <x:f>IF(COUNTIFS($G$17:$G$369,"&lt;"&amp;F213,$H$17:$H$369,"&gt;="&amp;I213)+COUNTIFS($G$17:$G$369,"="&amp;F213,$H$17:$H$369,"&gt;"&amp;I213)=0,"是","否")</x:f>
        <x:v>否</x:v>
      </x:c>
      <x:c r="L213" s="13" t="str">
        <x:f>IF(COUNTIFS($F$17:$F$369,"&lt;"&amp;G213,$I$17:$I$369,"&gt;="&amp;H213)+COUNTIFS($F$17:$F$369,"="&amp;G213,$I$17:$I$369,"&gt;"&amp;H213)-IF(OR(G213&gt;F213,I213&gt;H213),1,0)=0,"是","否")</x:f>
        <x:v>否</x:v>
      </x:c>
      <x:c r="M213" s="13" t="n">
        <x:f>1+COUNTIF($H$17:$H$369,"&gt;"&amp;I213)</x:f>
        <x:v>213</x:v>
      </x:c>
      <x:c r="N213" s="13" t="n">
        <x:f>COUNTIF($I$17:$I$369,"&gt;="&amp;H213)</x:f>
        <x:v>221</x:v>
      </x:c>
      <x:c r="O213" s="13" t="str">
        <x:v>I04 Table_1!D4925/P4925/U4925</x:v>
      </x:c>
    </x:row>
    <x:row r="214" ht="24" customHeight="1">
      <x:c r="A214" s="13" t="str">
        <x:v>M87021</x:v>
      </x:c>
      <x:c r="B214" s="13" t="str">
        <x:v>QUA</x:v>
      </x:c>
      <x:c r="C214" s="13" t="n">
        <x:v>112</x:v>
      </x:c>
      <x:c r="D214" s="30" t="n">
        <x:v>83</x:v>
      </x:c>
      <x:c r="E214" s="14" t="n">
        <x:f>C214*(1000-ROUND(D214*10,0))/1000</x:f>
        <x:v>19.04</x:v>
      </x:c>
      <x:c r="F214" s="14" t="n">
        <x:f>MAX(0,(ROUND(D214*100,0)-ROUND($B$3*100,0))/100)</x:f>
        <x:v>82.95</x:v>
      </x:c>
      <x:c r="G214" s="14" t="n">
        <x:f>MIN(100,(ROUND(D214*100,0)+ROUND($B$3*100,0))/100)</x:f>
        <x:v>83.05</x:v>
      </x:c>
      <x:c r="H214" s="40" t="n">
        <x:f>C214*(10000-ROUND(G214*100,0))/10000</x:f>
        <x:v>18.984</x:v>
      </x:c>
      <x:c r="I214" s="40" t="n">
        <x:f>C214*(10000-ROUND(F214*100,0))/10000</x:f>
        <x:v>19.096</x:v>
      </x:c>
      <x:c r="J214" s="13" t="str">
        <x:f>IF(COUNTIFS($D$17:$D$369,"&lt;"&amp;D214,$E$17:$E$369,"&gt;="&amp;E214)+COUNTIFS($D$17:$D$369,"="&amp;D214,$E$17:$E$369,"&gt;"&amp;E214)=0,"是","否")</x:f>
        <x:v>否</x:v>
      </x:c>
      <x:c r="K214" s="13" t="str">
        <x:f>IF(COUNTIFS($G$17:$G$369,"&lt;"&amp;F214,$H$17:$H$369,"&gt;="&amp;I214)+COUNTIFS($G$17:$G$369,"="&amp;F214,$H$17:$H$369,"&gt;"&amp;I214)=0,"是","否")</x:f>
        <x:v>否</x:v>
      </x:c>
      <x:c r="L214" s="13" t="str">
        <x:f>IF(COUNTIFS($F$17:$F$369,"&lt;"&amp;G214,$I$17:$I$369,"&gt;="&amp;H214)+COUNTIFS($F$17:$F$369,"="&amp;G214,$I$17:$I$369,"&gt;"&amp;H214)-IF(OR(G214&gt;F214,I214&gt;H214),1,0)=0,"是","否")</x:f>
        <x:v>否</x:v>
      </x:c>
      <x:c r="M214" s="13" t="n">
        <x:f>1+COUNTIF($H$17:$H$369,"&gt;"&amp;I214)</x:f>
        <x:v>142</x:v>
      </x:c>
      <x:c r="N214" s="13" t="n">
        <x:f>COUNTIF($I$17:$I$369,"&gt;="&amp;H214)</x:f>
        <x:v>151</x:v>
      </x:c>
      <x:c r="O214" s="13" t="str">
        <x:v>I04 Table_1!D4926/P4926/U4926</x:v>
      </x:c>
    </x:row>
    <x:row r="215" ht="24" customHeight="1">
      <x:c r="A215" s="13" t="str">
        <x:v>M87023</x:v>
      </x:c>
      <x:c r="B215" s="13" t="str">
        <x:v>QUA</x:v>
      </x:c>
      <x:c r="C215" s="13" t="n">
        <x:v>100</x:v>
      </x:c>
      <x:c r="D215" s="30" t="n">
        <x:v>93</x:v>
      </x:c>
      <x:c r="E215" s="14" t="n">
        <x:f>C215*(1000-ROUND(D215*10,0))/1000</x:f>
        <x:v>7</x:v>
      </x:c>
      <x:c r="F215" s="14" t="n">
        <x:f>MAX(0,(ROUND(D215*100,0)-ROUND($B$3*100,0))/100)</x:f>
        <x:v>92.95</x:v>
      </x:c>
      <x:c r="G215" s="14" t="n">
        <x:f>MIN(100,(ROUND(D215*100,0)+ROUND($B$3*100,0))/100)</x:f>
        <x:v>93.05</x:v>
      </x:c>
      <x:c r="H215" s="40" t="n">
        <x:f>C215*(10000-ROUND(G215*100,0))/10000</x:f>
        <x:v>6.95</x:v>
      </x:c>
      <x:c r="I215" s="40" t="n">
        <x:f>C215*(10000-ROUND(F215*100,0))/10000</x:f>
        <x:v>7.05</x:v>
      </x:c>
      <x:c r="J215" s="13" t="str">
        <x:f>IF(COUNTIFS($D$17:$D$369,"&lt;"&amp;D215,$E$17:$E$369,"&gt;="&amp;E215)+COUNTIFS($D$17:$D$369,"="&amp;D215,$E$17:$E$369,"&gt;"&amp;E215)=0,"是","否")</x:f>
        <x:v>否</x:v>
      </x:c>
      <x:c r="K215" s="13" t="str">
        <x:f>IF(COUNTIFS($G$17:$G$369,"&lt;"&amp;F215,$H$17:$H$369,"&gt;="&amp;I215)+COUNTIFS($G$17:$G$369,"="&amp;F215,$H$17:$H$369,"&gt;"&amp;I215)=0,"是","否")</x:f>
        <x:v>否</x:v>
      </x:c>
      <x:c r="L215" s="13" t="str">
        <x:f>IF(COUNTIFS($F$17:$F$369,"&lt;"&amp;G215,$I$17:$I$369,"&gt;="&amp;H215)+COUNTIFS($F$17:$F$369,"="&amp;G215,$I$17:$I$369,"&gt;"&amp;H215)-IF(OR(G215&gt;F215,I215&gt;H215),1,0)=0,"是","否")</x:f>
        <x:v>否</x:v>
      </x:c>
      <x:c r="M215" s="13" t="n">
        <x:f>1+COUNTIF($H$17:$H$369,"&gt;"&amp;I215)</x:f>
        <x:v>272</x:v>
      </x:c>
      <x:c r="N215" s="13" t="n">
        <x:f>COUNTIF($I$17:$I$369,"&gt;="&amp;H215)</x:f>
        <x:v>285</x:v>
      </x:c>
      <x:c r="O215" s="13" t="str">
        <x:v>I04 Table_1!D4927/P4927/U4927</x:v>
      </x:c>
    </x:row>
    <x:row r="216" ht="24" customHeight="1">
      <x:c r="A216" s="13" t="str">
        <x:v>M87024</x:v>
      </x:c>
      <x:c r="B216" s="13" t="str">
        <x:v>QUA</x:v>
      </x:c>
      <x:c r="C216" s="13" t="n">
        <x:v>223</x:v>
      </x:c>
      <x:c r="D216" s="30" t="n">
        <x:v>89.7</x:v>
      </x:c>
      <x:c r="E216" s="14" t="n">
        <x:f>C216*(1000-ROUND(D216*10,0))/1000</x:f>
        <x:v>22.969</x:v>
      </x:c>
      <x:c r="F216" s="14" t="n">
        <x:f>MAX(0,(ROUND(D216*100,0)-ROUND($B$3*100,0))/100)</x:f>
        <x:v>89.65</x:v>
      </x:c>
      <x:c r="G216" s="14" t="n">
        <x:f>MIN(100,(ROUND(D216*100,0)+ROUND($B$3*100,0))/100)</x:f>
        <x:v>89.75</x:v>
      </x:c>
      <x:c r="H216" s="40" t="n">
        <x:f>C216*(10000-ROUND(G216*100,0))/10000</x:f>
        <x:v>22.8575</x:v>
      </x:c>
      <x:c r="I216" s="40" t="n">
        <x:f>C216*(10000-ROUND(F216*100,0))/10000</x:f>
        <x:v>23.0805</x:v>
      </x:c>
      <x:c r="J216" s="13" t="str">
        <x:f>IF(COUNTIFS($D$17:$D$369,"&lt;"&amp;D216,$E$17:$E$369,"&gt;="&amp;E216)+COUNTIFS($D$17:$D$369,"="&amp;D216,$E$17:$E$369,"&gt;"&amp;E216)=0,"是","否")</x:f>
        <x:v>否</x:v>
      </x:c>
      <x:c r="K216" s="13" t="str">
        <x:f>IF(COUNTIFS($G$17:$G$369,"&lt;"&amp;F216,$H$17:$H$369,"&gt;="&amp;I216)+COUNTIFS($G$17:$G$369,"="&amp;F216,$H$17:$H$369,"&gt;"&amp;I216)=0,"是","否")</x:f>
        <x:v>否</x:v>
      </x:c>
      <x:c r="L216" s="13" t="str">
        <x:f>IF(COUNTIFS($F$17:$F$369,"&lt;"&amp;G216,$I$17:$I$369,"&gt;="&amp;H216)+COUNTIFS($F$17:$F$369,"="&amp;G216,$I$17:$I$369,"&gt;"&amp;H216)-IF(OR(G216&gt;F216,I216&gt;H216),1,0)=0,"是","否")</x:f>
        <x:v>否</x:v>
      </x:c>
      <x:c r="M216" s="13" t="n">
        <x:f>1+COUNTIF($H$17:$H$369,"&gt;"&amp;I216)</x:f>
        <x:v>112</x:v>
      </x:c>
      <x:c r="N216" s="13" t="n">
        <x:f>COUNTIF($I$17:$I$369,"&gt;="&amp;H216)</x:f>
        <x:v>119</x:v>
      </x:c>
      <x:c r="O216" s="13" t="str">
        <x:v>I04 Table_1!D4928/P4928/U4928</x:v>
      </x:c>
    </x:row>
    <x:row r="217" ht="24" customHeight="1">
      <x:c r="A217" s="13" t="str">
        <x:v>M87025</x:v>
      </x:c>
      <x:c r="B217" s="13" t="str">
        <x:v>QUA</x:v>
      </x:c>
      <x:c r="C217" s="13" t="n">
        <x:v>68</x:v>
      </x:c>
      <x:c r="D217" s="30" t="n">
        <x:v>76.5</x:v>
      </x:c>
      <x:c r="E217" s="14" t="n">
        <x:f>C217*(1000-ROUND(D217*10,0))/1000</x:f>
        <x:v>15.98</x:v>
      </x:c>
      <x:c r="F217" s="14" t="n">
        <x:f>MAX(0,(ROUND(D217*100,0)-ROUND($B$3*100,0))/100)</x:f>
        <x:v>76.45</x:v>
      </x:c>
      <x:c r="G217" s="14" t="n">
        <x:f>MIN(100,(ROUND(D217*100,0)+ROUND($B$3*100,0))/100)</x:f>
        <x:v>76.55</x:v>
      </x:c>
      <x:c r="H217" s="40" t="n">
        <x:f>C217*(10000-ROUND(G217*100,0))/10000</x:f>
        <x:v>15.946</x:v>
      </x:c>
      <x:c r="I217" s="40" t="n">
        <x:f>C217*(10000-ROUND(F217*100,0))/10000</x:f>
        <x:v>16.014</x:v>
      </x:c>
      <x:c r="J217" s="13" t="str">
        <x:f>IF(COUNTIFS($D$17:$D$369,"&lt;"&amp;D217,$E$17:$E$369,"&gt;="&amp;E217)+COUNTIFS($D$17:$D$369,"="&amp;D217,$E$17:$E$369,"&gt;"&amp;E217)=0,"是","否")</x:f>
        <x:v>否</x:v>
      </x:c>
      <x:c r="K217" s="13" t="str">
        <x:f>IF(COUNTIFS($G$17:$G$369,"&lt;"&amp;F217,$H$17:$H$369,"&gt;="&amp;I217)+COUNTIFS($G$17:$G$369,"="&amp;F217,$H$17:$H$369,"&gt;"&amp;I217)=0,"是","否")</x:f>
        <x:v>否</x:v>
      </x:c>
      <x:c r="L217" s="13" t="str">
        <x:f>IF(COUNTIFS($F$17:$F$369,"&lt;"&amp;G217,$I$17:$I$369,"&gt;="&amp;H217)+COUNTIFS($F$17:$F$369,"="&amp;G217,$I$17:$I$369,"&gt;"&amp;H217)-IF(OR(G217&gt;F217,I217&gt;H217),1,0)=0,"是","否")</x:f>
        <x:v>否</x:v>
      </x:c>
      <x:c r="M217" s="13" t="n">
        <x:f>1+COUNTIF($H$17:$H$369,"&gt;"&amp;I217)</x:f>
        <x:v>167</x:v>
      </x:c>
      <x:c r="N217" s="13" t="n">
        <x:f>COUNTIF($I$17:$I$369,"&gt;="&amp;H217)</x:f>
        <x:v>176</x:v>
      </x:c>
      <x:c r="O217" s="13" t="str">
        <x:v>I04 Table_1!D4929/P4929/U4929</x:v>
      </x:c>
    </x:row>
    <x:row r="218" ht="24" customHeight="1">
      <x:c r="A218" s="13" t="str">
        <x:v>M87026</x:v>
      </x:c>
      <x:c r="B218" s="13" t="str">
        <x:v>QUA</x:v>
      </x:c>
      <x:c r="C218" s="13" t="n">
        <x:v>68</x:v>
      </x:c>
      <x:c r="D218" s="30" t="n">
        <x:v>82.4</x:v>
      </x:c>
      <x:c r="E218" s="14" t="n">
        <x:f>C218*(1000-ROUND(D218*10,0))/1000</x:f>
        <x:v>11.968</x:v>
      </x:c>
      <x:c r="F218" s="14" t="n">
        <x:f>MAX(0,(ROUND(D218*100,0)-ROUND($B$3*100,0))/100)</x:f>
        <x:v>82.35</x:v>
      </x:c>
      <x:c r="G218" s="14" t="n">
        <x:f>MIN(100,(ROUND(D218*100,0)+ROUND($B$3*100,0))/100)</x:f>
        <x:v>82.45</x:v>
      </x:c>
      <x:c r="H218" s="40" t="n">
        <x:f>C218*(10000-ROUND(G218*100,0))/10000</x:f>
        <x:v>11.934</x:v>
      </x:c>
      <x:c r="I218" s="40" t="n">
        <x:f>C218*(10000-ROUND(F218*100,0))/10000</x:f>
        <x:v>12.002</x:v>
      </x:c>
      <x:c r="J218" s="13" t="str">
        <x:f>IF(COUNTIFS($D$17:$D$369,"&lt;"&amp;D218,$E$17:$E$369,"&gt;="&amp;E218)+COUNTIFS($D$17:$D$369,"="&amp;D218,$E$17:$E$369,"&gt;"&amp;E218)=0,"是","否")</x:f>
        <x:v>否</x:v>
      </x:c>
      <x:c r="K218" s="13" t="str">
        <x:f>IF(COUNTIFS($G$17:$G$369,"&lt;"&amp;F218,$H$17:$H$369,"&gt;="&amp;I218)+COUNTIFS($G$17:$G$369,"="&amp;F218,$H$17:$H$369,"&gt;"&amp;I218)=0,"是","否")</x:f>
        <x:v>否</x:v>
      </x:c>
      <x:c r="L218" s="13" t="str">
        <x:f>IF(COUNTIFS($F$17:$F$369,"&lt;"&amp;G218,$I$17:$I$369,"&gt;="&amp;H218)+COUNTIFS($F$17:$F$369,"="&amp;G218,$I$17:$I$369,"&gt;"&amp;H218)-IF(OR(G218&gt;F218,I218&gt;H218),1,0)=0,"是","否")</x:f>
        <x:v>否</x:v>
      </x:c>
      <x:c r="M218" s="13" t="n">
        <x:f>1+COUNTIF($H$17:$H$369,"&gt;"&amp;I218)</x:f>
        <x:v>213</x:v>
      </x:c>
      <x:c r="N218" s="13" t="n">
        <x:f>COUNTIF($I$17:$I$369,"&gt;="&amp;H218)</x:f>
        <x:v>221</x:v>
      </x:c>
      <x:c r="O218" s="13" t="str">
        <x:v>I04 Table_1!D4930/P4930/U4930</x:v>
      </x:c>
    </x:row>
    <x:row r="219" ht="24" customHeight="1">
      <x:c r="A219" s="13" t="str">
        <x:v>M87027</x:v>
      </x:c>
      <x:c r="B219" s="13" t="str">
        <x:v>QUA</x:v>
      </x:c>
      <x:c r="C219" s="13" t="n">
        <x:v>53</x:v>
      </x:c>
      <x:c r="D219" s="30" t="n">
        <x:v>83</x:v>
      </x:c>
      <x:c r="E219" s="14" t="n">
        <x:f>C219*(1000-ROUND(D219*10,0))/1000</x:f>
        <x:v>9.01</x:v>
      </x:c>
      <x:c r="F219" s="14" t="n">
        <x:f>MAX(0,(ROUND(D219*100,0)-ROUND($B$3*100,0))/100)</x:f>
        <x:v>82.95</x:v>
      </x:c>
      <x:c r="G219" s="14" t="n">
        <x:f>MIN(100,(ROUND(D219*100,0)+ROUND($B$3*100,0))/100)</x:f>
        <x:v>83.05</x:v>
      </x:c>
      <x:c r="H219" s="40" t="n">
        <x:f>C219*(10000-ROUND(G219*100,0))/10000</x:f>
        <x:v>8.9835</x:v>
      </x:c>
      <x:c r="I219" s="40" t="n">
        <x:f>C219*(10000-ROUND(F219*100,0))/10000</x:f>
        <x:v>9.0365</x:v>
      </x:c>
      <x:c r="J219" s="13" t="str">
        <x:f>IF(COUNTIFS($D$17:$D$369,"&lt;"&amp;D219,$E$17:$E$369,"&gt;="&amp;E219)+COUNTIFS($D$17:$D$369,"="&amp;D219,$E$17:$E$369,"&gt;"&amp;E219)=0,"是","否")</x:f>
        <x:v>否</x:v>
      </x:c>
      <x:c r="K219" s="13" t="str">
        <x:f>IF(COUNTIFS($G$17:$G$369,"&lt;"&amp;F219,$H$17:$H$369,"&gt;="&amp;I219)+COUNTIFS($G$17:$G$369,"="&amp;F219,$H$17:$H$369,"&gt;"&amp;I219)=0,"是","否")</x:f>
        <x:v>否</x:v>
      </x:c>
      <x:c r="L219" s="13" t="str">
        <x:f>IF(COUNTIFS($F$17:$F$369,"&lt;"&amp;G219,$I$17:$I$369,"&gt;="&amp;H219)+COUNTIFS($F$17:$F$369,"="&amp;G219,$I$17:$I$369,"&gt;"&amp;H219)-IF(OR(G219&gt;F219,I219&gt;H219),1,0)=0,"是","否")</x:f>
        <x:v>否</x:v>
      </x:c>
      <x:c r="M219" s="13" t="n">
        <x:f>1+COUNTIF($H$17:$H$369,"&gt;"&amp;I219)</x:f>
        <x:v>244</x:v>
      </x:c>
      <x:c r="N219" s="13" t="n">
        <x:f>COUNTIF($I$17:$I$369,"&gt;="&amp;H219)</x:f>
        <x:v>256</x:v>
      </x:c>
      <x:c r="O219" s="13" t="str">
        <x:v>I04 Table_1!D4931/P4931/U4931</x:v>
      </x:c>
    </x:row>
    <x:row r="220" ht="24" customHeight="1">
      <x:c r="A220" s="13" t="str">
        <x:v>M87028</x:v>
      </x:c>
      <x:c r="B220" s="13" t="str">
        <x:v>QUA</x:v>
      </x:c>
      <x:c r="C220" s="13" t="n">
        <x:v>109</x:v>
      </x:c>
      <x:c r="D220" s="30" t="n">
        <x:v>88.1</x:v>
      </x:c>
      <x:c r="E220" s="14" t="n">
        <x:f>C220*(1000-ROUND(D220*10,0))/1000</x:f>
        <x:v>12.971</x:v>
      </x:c>
      <x:c r="F220" s="14" t="n">
        <x:f>MAX(0,(ROUND(D220*100,0)-ROUND($B$3*100,0))/100)</x:f>
        <x:v>88.05</x:v>
      </x:c>
      <x:c r="G220" s="14" t="n">
        <x:f>MIN(100,(ROUND(D220*100,0)+ROUND($B$3*100,0))/100)</x:f>
        <x:v>88.15</x:v>
      </x:c>
      <x:c r="H220" s="40" t="n">
        <x:f>C220*(10000-ROUND(G220*100,0))/10000</x:f>
        <x:v>12.9165</x:v>
      </x:c>
      <x:c r="I220" s="40" t="n">
        <x:f>C220*(10000-ROUND(F220*100,0))/10000</x:f>
        <x:v>13.0255</x:v>
      </x:c>
      <x:c r="J220" s="13" t="str">
        <x:f>IF(COUNTIFS($D$17:$D$369,"&lt;"&amp;D220,$E$17:$E$369,"&gt;="&amp;E220)+COUNTIFS($D$17:$D$369,"="&amp;D220,$E$17:$E$369,"&gt;"&amp;E220)=0,"是","否")</x:f>
        <x:v>否</x:v>
      </x:c>
      <x:c r="K220" s="13" t="str">
        <x:f>IF(COUNTIFS($G$17:$G$369,"&lt;"&amp;F220,$H$17:$H$369,"&gt;="&amp;I220)+COUNTIFS($G$17:$G$369,"="&amp;F220,$H$17:$H$369,"&gt;"&amp;I220)=0,"是","否")</x:f>
        <x:v>否</x:v>
      </x:c>
      <x:c r="L220" s="13" t="str">
        <x:f>IF(COUNTIFS($F$17:$F$369,"&lt;"&amp;G220,$I$17:$I$369,"&gt;="&amp;H220)+COUNTIFS($F$17:$F$369,"="&amp;G220,$I$17:$I$369,"&gt;"&amp;H220)-IF(OR(G220&gt;F220,I220&gt;H220),1,0)=0,"是","否")</x:f>
        <x:v>否</x:v>
      </x:c>
      <x:c r="M220" s="13" t="n">
        <x:f>1+COUNTIF($H$17:$H$369,"&gt;"&amp;I220)</x:f>
        <x:v>200</x:v>
      </x:c>
      <x:c r="N220" s="13" t="n">
        <x:f>COUNTIF($I$17:$I$369,"&gt;="&amp;H220)</x:f>
        <x:v>212</x:v>
      </x:c>
      <x:c r="O220" s="13" t="str">
        <x:v>I04 Table_1!D4932/P4932/U4932</x:v>
      </x:c>
    </x:row>
    <x:row r="221" ht="24" customHeight="1">
      <x:c r="A221" s="13" t="str">
        <x:v>M87030</x:v>
      </x:c>
      <x:c r="B221" s="13" t="str">
        <x:v>QUA</x:v>
      </x:c>
      <x:c r="C221" s="13" t="n">
        <x:v>54</x:v>
      </x:c>
      <x:c r="D221" s="30" t="n">
        <x:v>90.7</x:v>
      </x:c>
      <x:c r="E221" s="14" t="n">
        <x:f>C221*(1000-ROUND(D221*10,0))/1000</x:f>
        <x:v>5.022</x:v>
      </x:c>
      <x:c r="F221" s="14" t="n">
        <x:f>MAX(0,(ROUND(D221*100,0)-ROUND($B$3*100,0))/100)</x:f>
        <x:v>90.65</x:v>
      </x:c>
      <x:c r="G221" s="14" t="n">
        <x:f>MIN(100,(ROUND(D221*100,0)+ROUND($B$3*100,0))/100)</x:f>
        <x:v>90.75</x:v>
      </x:c>
      <x:c r="H221" s="40" t="n">
        <x:f>C221*(10000-ROUND(G221*100,0))/10000</x:f>
        <x:v>4.995</x:v>
      </x:c>
      <x:c r="I221" s="40" t="n">
        <x:f>C221*(10000-ROUND(F221*100,0))/10000</x:f>
        <x:v>5.049</x:v>
      </x:c>
      <x:c r="J221" s="13" t="str">
        <x:f>IF(COUNTIFS($D$17:$D$369,"&lt;"&amp;D221,$E$17:$E$369,"&gt;="&amp;E221)+COUNTIFS($D$17:$D$369,"="&amp;D221,$E$17:$E$369,"&gt;"&amp;E221)=0,"是","否")</x:f>
        <x:v>否</x:v>
      </x:c>
      <x:c r="K221" s="13" t="str">
        <x:f>IF(COUNTIFS($G$17:$G$369,"&lt;"&amp;F221,$H$17:$H$369,"&gt;="&amp;I221)+COUNTIFS($G$17:$G$369,"="&amp;F221,$H$17:$H$369,"&gt;"&amp;I221)=0,"是","否")</x:f>
        <x:v>否</x:v>
      </x:c>
      <x:c r="L221" s="13" t="str">
        <x:f>IF(COUNTIFS($F$17:$F$369,"&lt;"&amp;G221,$I$17:$I$369,"&gt;="&amp;H221)+COUNTIFS($F$17:$F$369,"="&amp;G221,$I$17:$I$369,"&gt;"&amp;H221)-IF(OR(G221&gt;F221,I221&gt;H221),1,0)=0,"是","否")</x:f>
        <x:v>否</x:v>
      </x:c>
      <x:c r="M221" s="13" t="n">
        <x:f>1+COUNTIF($H$17:$H$369,"&gt;"&amp;I221)</x:f>
        <x:v>302</x:v>
      </x:c>
      <x:c r="N221" s="13" t="n">
        <x:f>COUNTIF($I$17:$I$369,"&gt;="&amp;H221)</x:f>
        <x:v>319</x:v>
      </x:c>
      <x:c r="O221" s="13" t="str">
        <x:v>I04 Table_1!D4933/P4933/U4933</x:v>
      </x:c>
    </x:row>
    <x:row r="222" ht="24" customHeight="1">
      <x:c r="A222" s="13" t="str">
        <x:v>M87034</x:v>
      </x:c>
      <x:c r="B222" s="13" t="str">
        <x:v>QUA</x:v>
      </x:c>
      <x:c r="C222" s="13" t="n">
        <x:v>76</x:v>
      </x:c>
      <x:c r="D222" s="30" t="n">
        <x:v>73.7</x:v>
      </x:c>
      <x:c r="E222" s="14" t="n">
        <x:f>C222*(1000-ROUND(D222*10,0))/1000</x:f>
        <x:v>19.988</x:v>
      </x:c>
      <x:c r="F222" s="14" t="n">
        <x:f>MAX(0,(ROUND(D222*100,0)-ROUND($B$3*100,0))/100)</x:f>
        <x:v>73.65</x:v>
      </x:c>
      <x:c r="G222" s="14" t="n">
        <x:f>MIN(100,(ROUND(D222*100,0)+ROUND($B$3*100,0))/100)</x:f>
        <x:v>73.75</x:v>
      </x:c>
      <x:c r="H222" s="40" t="n">
        <x:f>C222*(10000-ROUND(G222*100,0))/10000</x:f>
        <x:v>19.95</x:v>
      </x:c>
      <x:c r="I222" s="40" t="n">
        <x:f>C222*(10000-ROUND(F222*100,0))/10000</x:f>
        <x:v>20.026</x:v>
      </x:c>
      <x:c r="J222" s="13" t="str">
        <x:f>IF(COUNTIFS($D$17:$D$369,"&lt;"&amp;D222,$E$17:$E$369,"&gt;="&amp;E222)+COUNTIFS($D$17:$D$369,"="&amp;D222,$E$17:$E$369,"&gt;"&amp;E222)=0,"是","否")</x:f>
        <x:v>否</x:v>
      </x:c>
      <x:c r="K222" s="13" t="str">
        <x:f>IF(COUNTIFS($G$17:$G$369,"&lt;"&amp;F222,$H$17:$H$369,"&gt;="&amp;I222)+COUNTIFS($G$17:$G$369,"="&amp;F222,$H$17:$H$369,"&gt;"&amp;I222)=0,"是","否")</x:f>
        <x:v>否</x:v>
      </x:c>
      <x:c r="L222" s="13" t="str">
        <x:f>IF(COUNTIFS($F$17:$F$369,"&lt;"&amp;G222,$I$17:$I$369,"&gt;="&amp;H222)+COUNTIFS($F$17:$F$369,"="&amp;G222,$I$17:$I$369,"&gt;"&amp;H222)-IF(OR(G222&gt;F222,I222&gt;H222),1,0)=0,"是","否")</x:f>
        <x:v>否</x:v>
      </x:c>
      <x:c r="M222" s="13" t="n">
        <x:f>1+COUNTIF($H$17:$H$369,"&gt;"&amp;I222)</x:f>
        <x:v>130</x:v>
      </x:c>
      <x:c r="N222" s="13" t="n">
        <x:f>COUNTIF($I$17:$I$369,"&gt;="&amp;H222)</x:f>
        <x:v>141</x:v>
      </x:c>
      <x:c r="O222" s="13" t="str">
        <x:v>I04 Table_1!D4934/P4934/U4934</x:v>
      </x:c>
    </x:row>
    <x:row r="223" ht="24" customHeight="1">
      <x:c r="A223" s="13" t="str">
        <x:v>M87036</x:v>
      </x:c>
      <x:c r="B223" s="13" t="str">
        <x:v>QUA</x:v>
      </x:c>
      <x:c r="C223" s="13" t="n">
        <x:v>42</x:v>
      </x:c>
      <x:c r="D223" s="30" t="n">
        <x:v>69</x:v>
      </x:c>
      <x:c r="E223" s="14" t="n">
        <x:f>C223*(1000-ROUND(D223*10,0))/1000</x:f>
        <x:v>13.02</x:v>
      </x:c>
      <x:c r="F223" s="14" t="n">
        <x:f>MAX(0,(ROUND(D223*100,0)-ROUND($B$3*100,0))/100)</x:f>
        <x:v>68.95</x:v>
      </x:c>
      <x:c r="G223" s="14" t="n">
        <x:f>MIN(100,(ROUND(D223*100,0)+ROUND($B$3*100,0))/100)</x:f>
        <x:v>69.05</x:v>
      </x:c>
      <x:c r="H223" s="40" t="n">
        <x:f>C223*(10000-ROUND(G223*100,0))/10000</x:f>
        <x:v>12.999</x:v>
      </x:c>
      <x:c r="I223" s="40" t="n">
        <x:f>C223*(10000-ROUND(F223*100,0))/10000</x:f>
        <x:v>13.041</x:v>
      </x:c>
      <x:c r="J223" s="13" t="str">
        <x:f>IF(COUNTIFS($D$17:$D$369,"&lt;"&amp;D223,$E$17:$E$369,"&gt;="&amp;E223)+COUNTIFS($D$17:$D$369,"="&amp;D223,$E$17:$E$369,"&gt;"&amp;E223)=0,"是","否")</x:f>
        <x:v>否</x:v>
      </x:c>
      <x:c r="K223" s="13" t="str">
        <x:f>IF(COUNTIFS($G$17:$G$369,"&lt;"&amp;F223,$H$17:$H$369,"&gt;="&amp;I223)+COUNTIFS($G$17:$G$369,"="&amp;F223,$H$17:$H$369,"&gt;"&amp;I223)=0,"是","否")</x:f>
        <x:v>否</x:v>
      </x:c>
      <x:c r="L223" s="13" t="str">
        <x:f>IF(COUNTIFS($F$17:$F$369,"&lt;"&amp;G223,$I$17:$I$369,"&gt;="&amp;H223)+COUNTIFS($F$17:$F$369,"="&amp;G223,$I$17:$I$369,"&gt;"&amp;H223)-IF(OR(G223&gt;F223,I223&gt;H223),1,0)=0,"是","否")</x:f>
        <x:v>否</x:v>
      </x:c>
      <x:c r="M223" s="13" t="n">
        <x:f>1+COUNTIF($H$17:$H$369,"&gt;"&amp;I223)</x:f>
        <x:v>200</x:v>
      </x:c>
      <x:c r="N223" s="13" t="n">
        <x:f>COUNTIF($I$17:$I$369,"&gt;="&amp;H223)</x:f>
        <x:v>212</x:v>
      </x:c>
      <x:c r="O223" s="13" t="str">
        <x:v>I04 Table_1!D4935/P4935/U4935</x:v>
      </x:c>
    </x:row>
    <x:row r="224" ht="24" customHeight="1">
      <x:c r="A224" s="13" t="str">
        <x:v>M87037</x:v>
      </x:c>
      <x:c r="B224" s="13" t="str">
        <x:v>QUA</x:v>
      </x:c>
      <x:c r="C224" s="13" t="n">
        <x:v>74</x:v>
      </x:c>
      <x:c r="D224" s="30" t="n">
        <x:v>95.9</x:v>
      </x:c>
      <x:c r="E224" s="14" t="n">
        <x:f>C224*(1000-ROUND(D224*10,0))/1000</x:f>
        <x:v>3.034</x:v>
      </x:c>
      <x:c r="F224" s="14" t="n">
        <x:f>MAX(0,(ROUND(D224*100,0)-ROUND($B$3*100,0))/100)</x:f>
        <x:v>95.85</x:v>
      </x:c>
      <x:c r="G224" s="14" t="n">
        <x:f>MIN(100,(ROUND(D224*100,0)+ROUND($B$3*100,0))/100)</x:f>
        <x:v>95.95</x:v>
      </x:c>
      <x:c r="H224" s="40" t="n">
        <x:f>C224*(10000-ROUND(G224*100,0))/10000</x:f>
        <x:v>2.997</x:v>
      </x:c>
      <x:c r="I224" s="40" t="n">
        <x:f>C224*(10000-ROUND(F224*100,0))/10000</x:f>
        <x:v>3.071</x:v>
      </x:c>
      <x:c r="J224" s="13" t="str">
        <x:f>IF(COUNTIFS($D$17:$D$369,"&lt;"&amp;D224,$E$17:$E$369,"&gt;="&amp;E224)+COUNTIFS($D$17:$D$369,"="&amp;D224,$E$17:$E$369,"&gt;"&amp;E224)=0,"是","否")</x:f>
        <x:v>否</x:v>
      </x:c>
      <x:c r="K224" s="13" t="str">
        <x:f>IF(COUNTIFS($G$17:$G$369,"&lt;"&amp;F224,$H$17:$H$369,"&gt;="&amp;I224)+COUNTIFS($G$17:$G$369,"="&amp;F224,$H$17:$H$369,"&gt;"&amp;I224)=0,"是","否")</x:f>
        <x:v>否</x:v>
      </x:c>
      <x:c r="L224" s="13" t="str">
        <x:f>IF(COUNTIFS($F$17:$F$369,"&lt;"&amp;G224,$I$17:$I$369,"&gt;="&amp;H224)+COUNTIFS($F$17:$F$369,"="&amp;G224,$I$17:$I$369,"&gt;"&amp;H224)-IF(OR(G224&gt;F224,I224&gt;H224),1,0)=0,"是","否")</x:f>
        <x:v>否</x:v>
      </x:c>
      <x:c r="M224" s="13" t="n">
        <x:f>1+COUNTIF($H$17:$H$369,"&gt;"&amp;I224)</x:f>
        <x:v>331</x:v>
      </x:c>
      <x:c r="N224" s="13" t="n">
        <x:f>COUNTIF($I$17:$I$369,"&gt;="&amp;H224)</x:f>
        <x:v>341</x:v>
      </x:c>
      <x:c r="O224" s="13" t="str">
        <x:v>I04 Table_1!D4936/P4936/U4936</x:v>
      </x:c>
    </x:row>
    <x:row r="225" ht="24" customHeight="1">
      <x:c r="A225" s="13" t="str">
        <x:v>M87041</x:v>
      </x:c>
      <x:c r="B225" s="13" t="str">
        <x:v>QUA</x:v>
      </x:c>
      <x:c r="C225" s="13" t="n">
        <x:v>68</x:v>
      </x:c>
      <x:c r="D225" s="30" t="n">
        <x:v>94.1</x:v>
      </x:c>
      <x:c r="E225" s="14" t="n">
        <x:f>C225*(1000-ROUND(D225*10,0))/1000</x:f>
        <x:v>4.012</x:v>
      </x:c>
      <x:c r="F225" s="14" t="n">
        <x:f>MAX(0,(ROUND(D225*100,0)-ROUND($B$3*100,0))/100)</x:f>
        <x:v>94.05</x:v>
      </x:c>
      <x:c r="G225" s="14" t="n">
        <x:f>MIN(100,(ROUND(D225*100,0)+ROUND($B$3*100,0))/100)</x:f>
        <x:v>94.15</x:v>
      </x:c>
      <x:c r="H225" s="40" t="n">
        <x:f>C225*(10000-ROUND(G225*100,0))/10000</x:f>
        <x:v>3.978</x:v>
      </x:c>
      <x:c r="I225" s="40" t="n">
        <x:f>C225*(10000-ROUND(F225*100,0))/10000</x:f>
        <x:v>4.046</x:v>
      </x:c>
      <x:c r="J225" s="13" t="str">
        <x:f>IF(COUNTIFS($D$17:$D$369,"&lt;"&amp;D225,$E$17:$E$369,"&gt;="&amp;E225)+COUNTIFS($D$17:$D$369,"="&amp;D225,$E$17:$E$369,"&gt;"&amp;E225)=0,"是","否")</x:f>
        <x:v>否</x:v>
      </x:c>
      <x:c r="K225" s="13" t="str">
        <x:f>IF(COUNTIFS($G$17:$G$369,"&lt;"&amp;F225,$H$17:$H$369,"&gt;="&amp;I225)+COUNTIFS($G$17:$G$369,"="&amp;F225,$H$17:$H$369,"&gt;"&amp;I225)=0,"是","否")</x:f>
        <x:v>否</x:v>
      </x:c>
      <x:c r="L225" s="13" t="str">
        <x:f>IF(COUNTIFS($F$17:$F$369,"&lt;"&amp;G225,$I$17:$I$369,"&gt;="&amp;H225)+COUNTIFS($F$17:$F$369,"="&amp;G225,$I$17:$I$369,"&gt;"&amp;H225)-IF(OR(G225&gt;F225,I225&gt;H225),1,0)=0,"是","否")</x:f>
        <x:v>否</x:v>
      </x:c>
      <x:c r="M225" s="13" t="n">
        <x:f>1+COUNTIF($H$17:$H$369,"&gt;"&amp;I225)</x:f>
        <x:v>320</x:v>
      </x:c>
      <x:c r="N225" s="13" t="n">
        <x:f>COUNTIF($I$17:$I$369,"&gt;="&amp;H225)</x:f>
        <x:v>330</x:v>
      </x:c>
      <x:c r="O225" s="13" t="str">
        <x:v>I04 Table_1!D4937/P4937/U4937</x:v>
      </x:c>
    </x:row>
    <x:row r="226" ht="24" customHeight="1">
      <x:c r="A226" s="13" t="str">
        <x:v>M87601</x:v>
      </x:c>
      <x:c r="B226" s="13" t="str">
        <x:v>QUA</x:v>
      </x:c>
      <x:c r="C226" s="13" t="n">
        <x:v>112</x:v>
      </x:c>
      <x:c r="D226" s="30" t="n">
        <x:v>77.7</x:v>
      </x:c>
      <x:c r="E226" s="14" t="n">
        <x:f>C226*(1000-ROUND(D226*10,0))/1000</x:f>
        <x:v>24.976</x:v>
      </x:c>
      <x:c r="F226" s="14" t="n">
        <x:f>MAX(0,(ROUND(D226*100,0)-ROUND($B$3*100,0))/100)</x:f>
        <x:v>77.65</x:v>
      </x:c>
      <x:c r="G226" s="14" t="n">
        <x:f>MIN(100,(ROUND(D226*100,0)+ROUND($B$3*100,0))/100)</x:f>
        <x:v>77.75</x:v>
      </x:c>
      <x:c r="H226" s="40" t="n">
        <x:f>C226*(10000-ROUND(G226*100,0))/10000</x:f>
        <x:v>24.92</x:v>
      </x:c>
      <x:c r="I226" s="40" t="n">
        <x:f>C226*(10000-ROUND(F226*100,0))/10000</x:f>
        <x:v>25.032</x:v>
      </x:c>
      <x:c r="J226" s="13" t="str">
        <x:f>IF(COUNTIFS($D$17:$D$369,"&lt;"&amp;D226,$E$17:$E$369,"&gt;="&amp;E226)+COUNTIFS($D$17:$D$369,"="&amp;D226,$E$17:$E$369,"&gt;"&amp;E226)=0,"是","否")</x:f>
        <x:v>否</x:v>
      </x:c>
      <x:c r="K226" s="13" t="str">
        <x:f>IF(COUNTIFS($G$17:$G$369,"&lt;"&amp;F226,$H$17:$H$369,"&gt;="&amp;I226)+COUNTIFS($G$17:$G$369,"="&amp;F226,$H$17:$H$369,"&gt;"&amp;I226)=0,"是","否")</x:f>
        <x:v>否</x:v>
      </x:c>
      <x:c r="L226" s="13" t="str">
        <x:f>IF(COUNTIFS($F$17:$F$369,"&lt;"&amp;G226,$I$17:$I$369,"&gt;="&amp;H226)+COUNTIFS($F$17:$F$369,"="&amp;G226,$I$17:$I$369,"&gt;"&amp;H226)-IF(OR(G226&gt;F226,I226&gt;H226),1,0)=0,"是","否")</x:f>
        <x:v>否</x:v>
      </x:c>
      <x:c r="M226" s="13" t="n">
        <x:f>1+COUNTIF($H$17:$H$369,"&gt;"&amp;I226)</x:f>
        <x:v>96</x:v>
      </x:c>
      <x:c r="N226" s="13" t="n">
        <x:f>COUNTIF($I$17:$I$369,"&gt;="&amp;H226)</x:f>
        <x:v>100</x:v>
      </x:c>
      <x:c r="O226" s="13" t="str">
        <x:v>I04 Table_1!D4938/P4938/U4938</x:v>
      </x:c>
    </x:row>
    <x:row r="227" ht="24" customHeight="1">
      <x:c r="A227" s="13" t="str">
        <x:v>M87602</x:v>
      </x:c>
      <x:c r="B227" s="13" t="str">
        <x:v>QUA</x:v>
      </x:c>
      <x:c r="C227" s="13" t="n">
        <x:v>103</x:v>
      </x:c>
      <x:c r="D227" s="30" t="n">
        <x:v>92.2</x:v>
      </x:c>
      <x:c r="E227" s="14" t="n">
        <x:f>C227*(1000-ROUND(D227*10,0))/1000</x:f>
        <x:v>8.034</x:v>
      </x:c>
      <x:c r="F227" s="14" t="n">
        <x:f>MAX(0,(ROUND(D227*100,0)-ROUND($B$3*100,0))/100)</x:f>
        <x:v>92.15</x:v>
      </x:c>
      <x:c r="G227" s="14" t="n">
        <x:f>MIN(100,(ROUND(D227*100,0)+ROUND($B$3*100,0))/100)</x:f>
        <x:v>92.25</x:v>
      </x:c>
      <x:c r="H227" s="40" t="n">
        <x:f>C227*(10000-ROUND(G227*100,0))/10000</x:f>
        <x:v>7.9825</x:v>
      </x:c>
      <x:c r="I227" s="40" t="n">
        <x:f>C227*(10000-ROUND(F227*100,0))/10000</x:f>
        <x:v>8.0855</x:v>
      </x:c>
      <x:c r="J227" s="13" t="str">
        <x:f>IF(COUNTIFS($D$17:$D$369,"&lt;"&amp;D227,$E$17:$E$369,"&gt;="&amp;E227)+COUNTIFS($D$17:$D$369,"="&amp;D227,$E$17:$E$369,"&gt;"&amp;E227)=0,"是","否")</x:f>
        <x:v>否</x:v>
      </x:c>
      <x:c r="K227" s="13" t="str">
        <x:f>IF(COUNTIFS($G$17:$G$369,"&lt;"&amp;F227,$H$17:$H$369,"&gt;="&amp;I227)+COUNTIFS($G$17:$G$369,"="&amp;F227,$H$17:$H$369,"&gt;"&amp;I227)=0,"是","否")</x:f>
        <x:v>否</x:v>
      </x:c>
      <x:c r="L227" s="13" t="str">
        <x:f>IF(COUNTIFS($F$17:$F$369,"&lt;"&amp;G227,$I$17:$I$369,"&gt;="&amp;H227)+COUNTIFS($F$17:$F$369,"="&amp;G227,$I$17:$I$369,"&gt;"&amp;H227)-IF(OR(G227&gt;F227,I227&gt;H227),1,0)=0,"是","否")</x:f>
        <x:v>否</x:v>
      </x:c>
      <x:c r="M227" s="13" t="n">
        <x:f>1+COUNTIF($H$17:$H$369,"&gt;"&amp;I227)</x:f>
        <x:v>257</x:v>
      </x:c>
      <x:c r="N227" s="13" t="n">
        <x:f>COUNTIF($I$17:$I$369,"&gt;="&amp;H227)</x:f>
        <x:v>271</x:v>
      </x:c>
      <x:c r="O227" s="13" t="str">
        <x:v>I04 Table_1!D4939/P4939/U4939</x:v>
      </x:c>
    </x:row>
    <x:row r="228" ht="24" customHeight="1">
      <x:c r="A228" s="13" t="str">
        <x:v>M87605</x:v>
      </x:c>
      <x:c r="B228" s="13" t="str">
        <x:v>QUA</x:v>
      </x:c>
      <x:c r="C228" s="13" t="n">
        <x:v>80</x:v>
      </x:c>
      <x:c r="D228" s="30" t="n">
        <x:v>75</x:v>
      </x:c>
      <x:c r="E228" s="14" t="n">
        <x:f>C228*(1000-ROUND(D228*10,0))/1000</x:f>
        <x:v>20</x:v>
      </x:c>
      <x:c r="F228" s="14" t="n">
        <x:f>MAX(0,(ROUND(D228*100,0)-ROUND($B$3*100,0))/100)</x:f>
        <x:v>74.95</x:v>
      </x:c>
      <x:c r="G228" s="14" t="n">
        <x:f>MIN(100,(ROUND(D228*100,0)+ROUND($B$3*100,0))/100)</x:f>
        <x:v>75.05</x:v>
      </x:c>
      <x:c r="H228" s="40" t="n">
        <x:f>C228*(10000-ROUND(G228*100,0))/10000</x:f>
        <x:v>19.96</x:v>
      </x:c>
      <x:c r="I228" s="40" t="n">
        <x:f>C228*(10000-ROUND(F228*100,0))/10000</x:f>
        <x:v>20.04</x:v>
      </x:c>
      <x:c r="J228" s="13" t="str">
        <x:f>IF(COUNTIFS($D$17:$D$369,"&lt;"&amp;D228,$E$17:$E$369,"&gt;="&amp;E228)+COUNTIFS($D$17:$D$369,"="&amp;D228,$E$17:$E$369,"&gt;"&amp;E228)=0,"是","否")</x:f>
        <x:v>否</x:v>
      </x:c>
      <x:c r="K228" s="13" t="str">
        <x:f>IF(COUNTIFS($G$17:$G$369,"&lt;"&amp;F228,$H$17:$H$369,"&gt;="&amp;I228)+COUNTIFS($G$17:$G$369,"="&amp;F228,$H$17:$H$369,"&gt;"&amp;I228)=0,"是","否")</x:f>
        <x:v>否</x:v>
      </x:c>
      <x:c r="L228" s="13" t="str">
        <x:f>IF(COUNTIFS($F$17:$F$369,"&lt;"&amp;G228,$I$17:$I$369,"&gt;="&amp;H228)+COUNTIFS($F$17:$F$369,"="&amp;G228,$I$17:$I$369,"&gt;"&amp;H228)-IF(OR(G228&gt;F228,I228&gt;H228),1,0)=0,"是","否")</x:f>
        <x:v>否</x:v>
      </x:c>
      <x:c r="M228" s="13" t="n">
        <x:f>1+COUNTIF($H$17:$H$369,"&gt;"&amp;I228)</x:f>
        <x:v>130</x:v>
      </x:c>
      <x:c r="N228" s="13" t="n">
        <x:f>COUNTIF($I$17:$I$369,"&gt;="&amp;H228)</x:f>
        <x:v>141</x:v>
      </x:c>
      <x:c r="O228" s="13" t="str">
        <x:v>I04 Table_1!D4940/P4940/U4940</x:v>
      </x:c>
    </x:row>
    <x:row r="229" ht="24" customHeight="1">
      <x:c r="A229" s="13" t="str">
        <x:v>M87612</x:v>
      </x:c>
      <x:c r="B229" s="13" t="str">
        <x:v>QUA</x:v>
      </x:c>
      <x:c r="C229" s="13" t="n">
        <x:v>32</x:v>
      </x:c>
      <x:c r="D229" s="30" t="n">
        <x:v>78.1</x:v>
      </x:c>
      <x:c r="E229" s="14" t="n">
        <x:f>C229*(1000-ROUND(D229*10,0))/1000</x:f>
        <x:v>7.008</x:v>
      </x:c>
      <x:c r="F229" s="14" t="n">
        <x:f>MAX(0,(ROUND(D229*100,0)-ROUND($B$3*100,0))/100)</x:f>
        <x:v>78.05</x:v>
      </x:c>
      <x:c r="G229" s="14" t="n">
        <x:f>MIN(100,(ROUND(D229*100,0)+ROUND($B$3*100,0))/100)</x:f>
        <x:v>78.15</x:v>
      </x:c>
      <x:c r="H229" s="40" t="n">
        <x:f>C229*(10000-ROUND(G229*100,0))/10000</x:f>
        <x:v>6.992</x:v>
      </x:c>
      <x:c r="I229" s="40" t="n">
        <x:f>C229*(10000-ROUND(F229*100,0))/10000</x:f>
        <x:v>7.024</x:v>
      </x:c>
      <x:c r="J229" s="13" t="str">
        <x:f>IF(COUNTIFS($D$17:$D$369,"&lt;"&amp;D229,$E$17:$E$369,"&gt;="&amp;E229)+COUNTIFS($D$17:$D$369,"="&amp;D229,$E$17:$E$369,"&gt;"&amp;E229)=0,"是","否")</x:f>
        <x:v>否</x:v>
      </x:c>
      <x:c r="K229" s="13" t="str">
        <x:f>IF(COUNTIFS($G$17:$G$369,"&lt;"&amp;F229,$H$17:$H$369,"&gt;="&amp;I229)+COUNTIFS($G$17:$G$369,"="&amp;F229,$H$17:$H$369,"&gt;"&amp;I229)=0,"是","否")</x:f>
        <x:v>否</x:v>
      </x:c>
      <x:c r="L229" s="13" t="str">
        <x:f>IF(COUNTIFS($F$17:$F$369,"&lt;"&amp;G229,$I$17:$I$369,"&gt;="&amp;H229)+COUNTIFS($F$17:$F$369,"="&amp;G229,$I$17:$I$369,"&gt;"&amp;H229)-IF(OR(G229&gt;F229,I229&gt;H229),1,0)=0,"是","否")</x:f>
        <x:v>否</x:v>
      </x:c>
      <x:c r="M229" s="13" t="n">
        <x:f>1+COUNTIF($H$17:$H$369,"&gt;"&amp;I229)</x:f>
        <x:v>272</x:v>
      </x:c>
      <x:c r="N229" s="13" t="n">
        <x:f>COUNTIF($I$17:$I$369,"&gt;="&amp;H229)</x:f>
        <x:v>285</x:v>
      </x:c>
      <x:c r="O229" s="13" t="str">
        <x:v>I04 Table_1!D4941/P4941/U4941</x:v>
      </x:c>
    </x:row>
    <x:row r="230" ht="24" customHeight="1">
      <x:c r="A230" s="13" t="str">
        <x:v>M87617</x:v>
      </x:c>
      <x:c r="B230" s="13" t="str">
        <x:v>QUA</x:v>
      </x:c>
      <x:c r="C230" s="13" t="n">
        <x:v>99</x:v>
      </x:c>
      <x:c r="D230" s="30" t="n">
        <x:v>88.9</x:v>
      </x:c>
      <x:c r="E230" s="14" t="n">
        <x:f>C230*(1000-ROUND(D230*10,0))/1000</x:f>
        <x:v>10.989</x:v>
      </x:c>
      <x:c r="F230" s="14" t="n">
        <x:f>MAX(0,(ROUND(D230*100,0)-ROUND($B$3*100,0))/100)</x:f>
        <x:v>88.85</x:v>
      </x:c>
      <x:c r="G230" s="14" t="n">
        <x:f>MIN(100,(ROUND(D230*100,0)+ROUND($B$3*100,0))/100)</x:f>
        <x:v>88.95</x:v>
      </x:c>
      <x:c r="H230" s="40" t="n">
        <x:f>C230*(10000-ROUND(G230*100,0))/10000</x:f>
        <x:v>10.9395</x:v>
      </x:c>
      <x:c r="I230" s="40" t="n">
        <x:f>C230*(10000-ROUND(F230*100,0))/10000</x:f>
        <x:v>11.0385</x:v>
      </x:c>
      <x:c r="J230" s="13" t="str">
        <x:f>IF(COUNTIFS($D$17:$D$369,"&lt;"&amp;D230,$E$17:$E$369,"&gt;="&amp;E230)+COUNTIFS($D$17:$D$369,"="&amp;D230,$E$17:$E$369,"&gt;"&amp;E230)=0,"是","否")</x:f>
        <x:v>否</x:v>
      </x:c>
      <x:c r="K230" s="13" t="str">
        <x:f>IF(COUNTIFS($G$17:$G$369,"&lt;"&amp;F230,$H$17:$H$369,"&gt;="&amp;I230)+COUNTIFS($G$17:$G$369,"="&amp;F230,$H$17:$H$369,"&gt;"&amp;I230)=0,"是","否")</x:f>
        <x:v>否</x:v>
      </x:c>
      <x:c r="L230" s="13" t="str">
        <x:f>IF(COUNTIFS($F$17:$F$369,"&lt;"&amp;G230,$I$17:$I$369,"&gt;="&amp;H230)+COUNTIFS($F$17:$F$369,"="&amp;G230,$I$17:$I$369,"&gt;"&amp;H230)-IF(OR(G230&gt;F230,I230&gt;H230),1,0)=0,"是","否")</x:f>
        <x:v>否</x:v>
      </x:c>
      <x:c r="M230" s="13" t="n">
        <x:f>1+COUNTIF($H$17:$H$369,"&gt;"&amp;I230)</x:f>
        <x:v>222</x:v>
      </x:c>
      <x:c r="N230" s="13" t="n">
        <x:f>COUNTIF($I$17:$I$369,"&gt;="&amp;H230)</x:f>
        <x:v>230</x:v>
      </x:c>
      <x:c r="O230" s="13" t="str">
        <x:v>I04 Table_1!D4942/P4942/U4942</x:v>
      </x:c>
    </x:row>
    <x:row r="231" ht="24" customHeight="1">
      <x:c r="A231" s="13" t="str">
        <x:v>M87618</x:v>
      </x:c>
      <x:c r="B231" s="13" t="str">
        <x:v>QUA</x:v>
      </x:c>
      <x:c r="C231" s="13" t="n">
        <x:v>32</x:v>
      </x:c>
      <x:c r="D231" s="30" t="n">
        <x:v>93.8</x:v>
      </x:c>
      <x:c r="E231" s="14" t="n">
        <x:f>C231*(1000-ROUND(D231*10,0))/1000</x:f>
        <x:v>1.984</x:v>
      </x:c>
      <x:c r="F231" s="14" t="n">
        <x:f>MAX(0,(ROUND(D231*100,0)-ROUND($B$3*100,0))/100)</x:f>
        <x:v>93.75</x:v>
      </x:c>
      <x:c r="G231" s="14" t="n">
        <x:f>MIN(100,(ROUND(D231*100,0)+ROUND($B$3*100,0))/100)</x:f>
        <x:v>93.85</x:v>
      </x:c>
      <x:c r="H231" s="40" t="n">
        <x:f>C231*(10000-ROUND(G231*100,0))/10000</x:f>
        <x:v>1.968</x:v>
      </x:c>
      <x:c r="I231" s="40" t="n">
        <x:f>C231*(10000-ROUND(F231*100,0))/10000</x:f>
        <x:v>2</x:v>
      </x:c>
      <x:c r="J231" s="13" t="str">
        <x:f>IF(COUNTIFS($D$17:$D$369,"&lt;"&amp;D231,$E$17:$E$369,"&gt;="&amp;E231)+COUNTIFS($D$17:$D$369,"="&amp;D231,$E$17:$E$369,"&gt;"&amp;E231)=0,"是","否")</x:f>
        <x:v>否</x:v>
      </x:c>
      <x:c r="K231" s="13" t="str">
        <x:f>IF(COUNTIFS($G$17:$G$369,"&lt;"&amp;F231,$H$17:$H$369,"&gt;="&amp;I231)+COUNTIFS($G$17:$G$369,"="&amp;F231,$H$17:$H$369,"&gt;"&amp;I231)=0,"是","否")</x:f>
        <x:v>否</x:v>
      </x:c>
      <x:c r="L231" s="13" t="str">
        <x:f>IF(COUNTIFS($F$17:$F$369,"&lt;"&amp;G231,$I$17:$I$369,"&gt;="&amp;H231)+COUNTIFS($F$17:$F$369,"="&amp;G231,$I$17:$I$369,"&gt;"&amp;H231)-IF(OR(G231&gt;F231,I231&gt;H231),1,0)=0,"是","否")</x:f>
        <x:v>否</x:v>
      </x:c>
      <x:c r="M231" s="13" t="n">
        <x:f>1+COUNTIF($H$17:$H$369,"&gt;"&amp;I231)</x:f>
        <x:v>342</x:v>
      </x:c>
      <x:c r="N231" s="13" t="n">
        <x:f>COUNTIF($I$17:$I$369,"&gt;="&amp;H231)</x:f>
        <x:v>350</x:v>
      </x:c>
      <x:c r="O231" s="13" t="str">
        <x:v>I04 Table_1!D4943/P4943/U4943</x:v>
      </x:c>
    </x:row>
    <x:row r="232" ht="24" customHeight="1">
      <x:c r="A232" s="13" t="str">
        <x:v>M87620</x:v>
      </x:c>
      <x:c r="B232" s="13" t="str">
        <x:v>QUA</x:v>
      </x:c>
      <x:c r="C232" s="13" t="n">
        <x:v>105</x:v>
      </x:c>
      <x:c r="D232" s="30" t="n">
        <x:v>91.4</x:v>
      </x:c>
      <x:c r="E232" s="14" t="n">
        <x:f>C232*(1000-ROUND(D232*10,0))/1000</x:f>
        <x:v>9.03</x:v>
      </x:c>
      <x:c r="F232" s="14" t="n">
        <x:f>MAX(0,(ROUND(D232*100,0)-ROUND($B$3*100,0))/100)</x:f>
        <x:v>91.35</x:v>
      </x:c>
      <x:c r="G232" s="14" t="n">
        <x:f>MIN(100,(ROUND(D232*100,0)+ROUND($B$3*100,0))/100)</x:f>
        <x:v>91.45</x:v>
      </x:c>
      <x:c r="H232" s="40" t="n">
        <x:f>C232*(10000-ROUND(G232*100,0))/10000</x:f>
        <x:v>8.9775</x:v>
      </x:c>
      <x:c r="I232" s="40" t="n">
        <x:f>C232*(10000-ROUND(F232*100,0))/10000</x:f>
        <x:v>9.0825</x:v>
      </x:c>
      <x:c r="J232" s="13" t="str">
        <x:f>IF(COUNTIFS($D$17:$D$369,"&lt;"&amp;D232,$E$17:$E$369,"&gt;="&amp;E232)+COUNTIFS($D$17:$D$369,"="&amp;D232,$E$17:$E$369,"&gt;"&amp;E232)=0,"是","否")</x:f>
        <x:v>否</x:v>
      </x:c>
      <x:c r="K232" s="13" t="str">
        <x:f>IF(COUNTIFS($G$17:$G$369,"&lt;"&amp;F232,$H$17:$H$369,"&gt;="&amp;I232)+COUNTIFS($G$17:$G$369,"="&amp;F232,$H$17:$H$369,"&gt;"&amp;I232)=0,"是","否")</x:f>
        <x:v>否</x:v>
      </x:c>
      <x:c r="L232" s="13" t="str">
        <x:f>IF(COUNTIFS($F$17:$F$369,"&lt;"&amp;G232,$I$17:$I$369,"&gt;="&amp;H232)+COUNTIFS($F$17:$F$369,"="&amp;G232,$I$17:$I$369,"&gt;"&amp;H232)-IF(OR(G232&gt;F232,I232&gt;H232),1,0)=0,"是","否")</x:f>
        <x:v>否</x:v>
      </x:c>
      <x:c r="M232" s="13" t="n">
        <x:f>1+COUNTIF($H$17:$H$369,"&gt;"&amp;I232)</x:f>
        <x:v>244</x:v>
      </x:c>
      <x:c r="N232" s="13" t="n">
        <x:f>COUNTIF($I$17:$I$369,"&gt;="&amp;H232)</x:f>
        <x:v>256</x:v>
      </x:c>
      <x:c r="O232" s="13" t="str">
        <x:v>I04 Table_1!D4944/P4944/U4944</x:v>
      </x:c>
    </x:row>
    <x:row r="233" ht="24" customHeight="1">
      <x:c r="A233" s="13" t="str">
        <x:v>M87621</x:v>
      </x:c>
      <x:c r="B233" s="13" t="str">
        <x:v>QUA</x:v>
      </x:c>
      <x:c r="C233" s="13" t="n">
        <x:v>34</x:v>
      </x:c>
      <x:c r="D233" s="30" t="n">
        <x:v>82.4</x:v>
      </x:c>
      <x:c r="E233" s="14" t="n">
        <x:f>C233*(1000-ROUND(D233*10,0))/1000</x:f>
        <x:v>5.984</x:v>
      </x:c>
      <x:c r="F233" s="14" t="n">
        <x:f>MAX(0,(ROUND(D233*100,0)-ROUND($B$3*100,0))/100)</x:f>
        <x:v>82.35</x:v>
      </x:c>
      <x:c r="G233" s="14" t="n">
        <x:f>MIN(100,(ROUND(D233*100,0)+ROUND($B$3*100,0))/100)</x:f>
        <x:v>82.45</x:v>
      </x:c>
      <x:c r="H233" s="40" t="n">
        <x:f>C233*(10000-ROUND(G233*100,0))/10000</x:f>
        <x:v>5.967</x:v>
      </x:c>
      <x:c r="I233" s="40" t="n">
        <x:f>C233*(10000-ROUND(F233*100,0))/10000</x:f>
        <x:v>6.001</x:v>
      </x:c>
      <x:c r="J233" s="13" t="str">
        <x:f>IF(COUNTIFS($D$17:$D$369,"&lt;"&amp;D233,$E$17:$E$369,"&gt;="&amp;E233)+COUNTIFS($D$17:$D$369,"="&amp;D233,$E$17:$E$369,"&gt;"&amp;E233)=0,"是","否")</x:f>
        <x:v>否</x:v>
      </x:c>
      <x:c r="K233" s="13" t="str">
        <x:f>IF(COUNTIFS($G$17:$G$369,"&lt;"&amp;F233,$H$17:$H$369,"&gt;="&amp;I233)+COUNTIFS($G$17:$G$369,"="&amp;F233,$H$17:$H$369,"&gt;"&amp;I233)=0,"是","否")</x:f>
        <x:v>否</x:v>
      </x:c>
      <x:c r="L233" s="13" t="str">
        <x:f>IF(COUNTIFS($F$17:$F$369,"&lt;"&amp;G233,$I$17:$I$369,"&gt;="&amp;H233)+COUNTIFS($F$17:$F$369,"="&amp;G233,$I$17:$I$369,"&gt;"&amp;H233)-IF(OR(G233&gt;F233,I233&gt;H233),1,0)=0,"是","否")</x:f>
        <x:v>否</x:v>
      </x:c>
      <x:c r="M233" s="13" t="n">
        <x:f>1+COUNTIF($H$17:$H$369,"&gt;"&amp;I233)</x:f>
        <x:v>286</x:v>
      </x:c>
      <x:c r="N233" s="13" t="n">
        <x:f>COUNTIF($I$17:$I$369,"&gt;="&amp;H233)</x:f>
        <x:v>301</x:v>
      </x:c>
      <x:c r="O233" s="13" t="str">
        <x:v>I04 Table_1!D4945/P4945/U4945</x:v>
      </x:c>
    </x:row>
    <x:row r="234" ht="24" customHeight="1">
      <x:c r="A234" s="13" t="str">
        <x:v>M87623</x:v>
      </x:c>
      <x:c r="B234" s="13" t="str">
        <x:v>QUA</x:v>
      </x:c>
      <x:c r="C234" s="13" t="n">
        <x:v>44</x:v>
      </x:c>
      <x:c r="D234" s="30" t="n">
        <x:v>90.9</x:v>
      </x:c>
      <x:c r="E234" s="14" t="n">
        <x:f>C234*(1000-ROUND(D234*10,0))/1000</x:f>
        <x:v>4.004</x:v>
      </x:c>
      <x:c r="F234" s="14" t="n">
        <x:f>MAX(0,(ROUND(D234*100,0)-ROUND($B$3*100,0))/100)</x:f>
        <x:v>90.85</x:v>
      </x:c>
      <x:c r="G234" s="14" t="n">
        <x:f>MIN(100,(ROUND(D234*100,0)+ROUND($B$3*100,0))/100)</x:f>
        <x:v>90.95</x:v>
      </x:c>
      <x:c r="H234" s="40" t="n">
        <x:f>C234*(10000-ROUND(G234*100,0))/10000</x:f>
        <x:v>3.982</x:v>
      </x:c>
      <x:c r="I234" s="40" t="n">
        <x:f>C234*(10000-ROUND(F234*100,0))/10000</x:f>
        <x:v>4.026</x:v>
      </x:c>
      <x:c r="J234" s="13" t="str">
        <x:f>IF(COUNTIFS($D$17:$D$369,"&lt;"&amp;D234,$E$17:$E$369,"&gt;="&amp;E234)+COUNTIFS($D$17:$D$369,"="&amp;D234,$E$17:$E$369,"&gt;"&amp;E234)=0,"是","否")</x:f>
        <x:v>否</x:v>
      </x:c>
      <x:c r="K234" s="13" t="str">
        <x:f>IF(COUNTIFS($G$17:$G$369,"&lt;"&amp;F234,$H$17:$H$369,"&gt;="&amp;I234)+COUNTIFS($G$17:$G$369,"="&amp;F234,$H$17:$H$369,"&gt;"&amp;I234)=0,"是","否")</x:f>
        <x:v>否</x:v>
      </x:c>
      <x:c r="L234" s="13" t="str">
        <x:f>IF(COUNTIFS($F$17:$F$369,"&lt;"&amp;G234,$I$17:$I$369,"&gt;="&amp;H234)+COUNTIFS($F$17:$F$369,"="&amp;G234,$I$17:$I$369,"&gt;"&amp;H234)-IF(OR(G234&gt;F234,I234&gt;H234),1,0)=0,"是","否")</x:f>
        <x:v>否</x:v>
      </x:c>
      <x:c r="M234" s="13" t="n">
        <x:f>1+COUNTIF($H$17:$H$369,"&gt;"&amp;I234)</x:f>
        <x:v>320</x:v>
      </x:c>
      <x:c r="N234" s="13" t="n">
        <x:f>COUNTIF($I$17:$I$369,"&gt;="&amp;H234)</x:f>
        <x:v>330</x:v>
      </x:c>
      <x:c r="O234" s="13" t="str">
        <x:v>I04 Table_1!D4946/P4946/U4946</x:v>
      </x:c>
    </x:row>
    <x:row r="235" ht="24" customHeight="1">
      <x:c r="A235" s="13" t="str">
        <x:v>M87628</x:v>
      </x:c>
      <x:c r="B235" s="13" t="str">
        <x:v>QUA</x:v>
      </x:c>
      <x:c r="C235" s="13" t="n">
        <x:v>34</x:v>
      </x:c>
      <x:c r="D235" s="30" t="n">
        <x:v>70.6</x:v>
      </x:c>
      <x:c r="E235" s="14" t="n">
        <x:f>C235*(1000-ROUND(D235*10,0))/1000</x:f>
        <x:v>9.996</x:v>
      </x:c>
      <x:c r="F235" s="14" t="n">
        <x:f>MAX(0,(ROUND(D235*100,0)-ROUND($B$3*100,0))/100)</x:f>
        <x:v>70.55</x:v>
      </x:c>
      <x:c r="G235" s="14" t="n">
        <x:f>MIN(100,(ROUND(D235*100,0)+ROUND($B$3*100,0))/100)</x:f>
        <x:v>70.65</x:v>
      </x:c>
      <x:c r="H235" s="40" t="n">
        <x:f>C235*(10000-ROUND(G235*100,0))/10000</x:f>
        <x:v>9.979</x:v>
      </x:c>
      <x:c r="I235" s="40" t="n">
        <x:f>C235*(10000-ROUND(F235*100,0))/10000</x:f>
        <x:v>10.013</x:v>
      </x:c>
      <x:c r="J235" s="13" t="str">
        <x:f>IF(COUNTIFS($D$17:$D$369,"&lt;"&amp;D235,$E$17:$E$369,"&gt;="&amp;E235)+COUNTIFS($D$17:$D$369,"="&amp;D235,$E$17:$E$369,"&gt;"&amp;E235)=0,"是","否")</x:f>
        <x:v>否</x:v>
      </x:c>
      <x:c r="K235" s="13" t="str">
        <x:f>IF(COUNTIFS($G$17:$G$369,"&lt;"&amp;F235,$H$17:$H$369,"&gt;="&amp;I235)+COUNTIFS($G$17:$G$369,"="&amp;F235,$H$17:$H$369,"&gt;"&amp;I235)=0,"是","否")</x:f>
        <x:v>否</x:v>
      </x:c>
      <x:c r="L235" s="13" t="str">
        <x:f>IF(COUNTIFS($F$17:$F$369,"&lt;"&amp;G235,$I$17:$I$369,"&gt;="&amp;H235)+COUNTIFS($F$17:$F$369,"="&amp;G235,$I$17:$I$369,"&gt;"&amp;H235)-IF(OR(G235&gt;F235,I235&gt;H235),1,0)=0,"是","否")</x:f>
        <x:v>否</x:v>
      </x:c>
      <x:c r="M235" s="13" t="n">
        <x:f>1+COUNTIF($H$17:$H$369,"&gt;"&amp;I235)</x:f>
        <x:v>231</x:v>
      </x:c>
      <x:c r="N235" s="13" t="n">
        <x:f>COUNTIF($I$17:$I$369,"&gt;="&amp;H235)</x:f>
        <x:v>243</x:v>
      </x:c>
      <x:c r="O235" s="13" t="str">
        <x:v>I04 Table_1!D4947/P4947/U4947</x:v>
      </x:c>
    </x:row>
    <x:row r="236" ht="24" customHeight="1">
      <x:c r="A236" s="13" t="str">
        <x:v>M87638</x:v>
      </x:c>
      <x:c r="B236" s="13" t="str">
        <x:v>QUA</x:v>
      </x:c>
      <x:c r="C236" s="13" t="n">
        <x:v>40</x:v>
      </x:c>
      <x:c r="D236" s="30" t="n">
        <x:v>87.5</x:v>
      </x:c>
      <x:c r="E236" s="14" t="n">
        <x:f>C236*(1000-ROUND(D236*10,0))/1000</x:f>
        <x:v>5</x:v>
      </x:c>
      <x:c r="F236" s="14" t="n">
        <x:f>MAX(0,(ROUND(D236*100,0)-ROUND($B$3*100,0))/100)</x:f>
        <x:v>87.45</x:v>
      </x:c>
      <x:c r="G236" s="14" t="n">
        <x:f>MIN(100,(ROUND(D236*100,0)+ROUND($B$3*100,0))/100)</x:f>
        <x:v>87.55</x:v>
      </x:c>
      <x:c r="H236" s="40" t="n">
        <x:f>C236*(10000-ROUND(G236*100,0))/10000</x:f>
        <x:v>4.98</x:v>
      </x:c>
      <x:c r="I236" s="40" t="n">
        <x:f>C236*(10000-ROUND(F236*100,0))/10000</x:f>
        <x:v>5.02</x:v>
      </x:c>
      <x:c r="J236" s="13" t="str">
        <x:f>IF(COUNTIFS($D$17:$D$369,"&lt;"&amp;D236,$E$17:$E$369,"&gt;="&amp;E236)+COUNTIFS($D$17:$D$369,"="&amp;D236,$E$17:$E$369,"&gt;"&amp;E236)=0,"是","否")</x:f>
        <x:v>否</x:v>
      </x:c>
      <x:c r="K236" s="13" t="str">
        <x:f>IF(COUNTIFS($G$17:$G$369,"&lt;"&amp;F236,$H$17:$H$369,"&gt;="&amp;I236)+COUNTIFS($G$17:$G$369,"="&amp;F236,$H$17:$H$369,"&gt;"&amp;I236)=0,"是","否")</x:f>
        <x:v>否</x:v>
      </x:c>
      <x:c r="L236" s="13" t="str">
        <x:f>IF(COUNTIFS($F$17:$F$369,"&lt;"&amp;G236,$I$17:$I$369,"&gt;="&amp;H236)+COUNTIFS($F$17:$F$369,"="&amp;G236,$I$17:$I$369,"&gt;"&amp;H236)-IF(OR(G236&gt;F236,I236&gt;H236),1,0)=0,"是","否")</x:f>
        <x:v>否</x:v>
      </x:c>
      <x:c r="M236" s="13" t="n">
        <x:f>1+COUNTIF($H$17:$H$369,"&gt;"&amp;I236)</x:f>
        <x:v>302</x:v>
      </x:c>
      <x:c r="N236" s="13" t="n">
        <x:f>COUNTIF($I$17:$I$369,"&gt;="&amp;H236)</x:f>
        <x:v>319</x:v>
      </x:c>
      <x:c r="O236" s="13" t="str">
        <x:v>I04 Table_1!D4948/P4948/U4948</x:v>
      </x:c>
    </x:row>
    <x:row r="237" ht="24" customHeight="1">
      <x:c r="A237" s="13" t="str">
        <x:v>M88001</x:v>
      </x:c>
      <x:c r="B237" s="13" t="str">
        <x:v>QUA</x:v>
      </x:c>
      <x:c r="C237" s="13" t="n">
        <x:v>143</x:v>
      </x:c>
      <x:c r="D237" s="30" t="n">
        <x:v>76.2</x:v>
      </x:c>
      <x:c r="E237" s="14" t="n">
        <x:f>C237*(1000-ROUND(D237*10,0))/1000</x:f>
        <x:v>34.034</x:v>
      </x:c>
      <x:c r="F237" s="14" t="n">
        <x:f>MAX(0,(ROUND(D237*100,0)-ROUND($B$3*100,0))/100)</x:f>
        <x:v>76.15</x:v>
      </x:c>
      <x:c r="G237" s="14" t="n">
        <x:f>MIN(100,(ROUND(D237*100,0)+ROUND($B$3*100,0))/100)</x:f>
        <x:v>76.25</x:v>
      </x:c>
      <x:c r="H237" s="40" t="n">
        <x:f>C237*(10000-ROUND(G237*100,0))/10000</x:f>
        <x:v>33.9625</x:v>
      </x:c>
      <x:c r="I237" s="40" t="n">
        <x:f>C237*(10000-ROUND(F237*100,0))/10000</x:f>
        <x:v>34.1055</x:v>
      </x:c>
      <x:c r="J237" s="13" t="str">
        <x:f>IF(COUNTIFS($D$17:$D$369,"&lt;"&amp;D237,$E$17:$E$369,"&gt;="&amp;E237)+COUNTIFS($D$17:$D$369,"="&amp;D237,$E$17:$E$369,"&gt;"&amp;E237)=0,"是","否")</x:f>
        <x:v>否</x:v>
      </x:c>
      <x:c r="K237" s="13" t="str">
        <x:f>IF(COUNTIFS($G$17:$G$369,"&lt;"&amp;F237,$H$17:$H$369,"&gt;="&amp;I237)+COUNTIFS($G$17:$G$369,"="&amp;F237,$H$17:$H$369,"&gt;"&amp;I237)=0,"是","否")</x:f>
        <x:v>否</x:v>
      </x:c>
      <x:c r="L237" s="13" t="str">
        <x:f>IF(COUNTIFS($F$17:$F$369,"&lt;"&amp;G237,$I$17:$I$369,"&gt;="&amp;H237)+COUNTIFS($F$17:$F$369,"="&amp;G237,$I$17:$I$369,"&gt;"&amp;H237)-IF(OR(G237&gt;F237,I237&gt;H237),1,0)=0,"是","否")</x:f>
        <x:v>否</x:v>
      </x:c>
      <x:c r="M237" s="13" t="n">
        <x:f>1+COUNTIF($H$17:$H$369,"&gt;"&amp;I237)</x:f>
        <x:v>57</x:v>
      </x:c>
      <x:c r="N237" s="13" t="n">
        <x:f>COUNTIF($I$17:$I$369,"&gt;="&amp;H237)</x:f>
        <x:v>59</x:v>
      </x:c>
      <x:c r="O237" s="13" t="str">
        <x:v>I04 Table_1!D4949/P4949/U4949</x:v>
      </x:c>
    </x:row>
    <x:row r="238" ht="24" customHeight="1">
      <x:c r="A238" s="13" t="str">
        <x:v>M88002</x:v>
      </x:c>
      <x:c r="B238" s="13" t="str">
        <x:v>QUA</x:v>
      </x:c>
      <x:c r="C238" s="13" t="n">
        <x:v>116</x:v>
      </x:c>
      <x:c r="D238" s="30" t="n">
        <x:v>73.3</x:v>
      </x:c>
      <x:c r="E238" s="14" t="n">
        <x:f>C238*(1000-ROUND(D238*10,0))/1000</x:f>
        <x:v>30.972</x:v>
      </x:c>
      <x:c r="F238" s="14" t="n">
        <x:f>MAX(0,(ROUND(D238*100,0)-ROUND($B$3*100,0))/100)</x:f>
        <x:v>73.25</x:v>
      </x:c>
      <x:c r="G238" s="14" t="n">
        <x:f>MIN(100,(ROUND(D238*100,0)+ROUND($B$3*100,0))/100)</x:f>
        <x:v>73.35</x:v>
      </x:c>
      <x:c r="H238" s="40" t="n">
        <x:f>C238*(10000-ROUND(G238*100,0))/10000</x:f>
        <x:v>30.914</x:v>
      </x:c>
      <x:c r="I238" s="40" t="n">
        <x:f>C238*(10000-ROUND(F238*100,0))/10000</x:f>
        <x:v>31.03</x:v>
      </x:c>
      <x:c r="J238" s="13" t="str">
        <x:f>IF(COUNTIFS($D$17:$D$369,"&lt;"&amp;D238,$E$17:$E$369,"&gt;="&amp;E238)+COUNTIFS($D$17:$D$369,"="&amp;D238,$E$17:$E$369,"&gt;"&amp;E238)=0,"是","否")</x:f>
        <x:v>否</x:v>
      </x:c>
      <x:c r="K238" s="13" t="str">
        <x:f>IF(COUNTIFS($G$17:$G$369,"&lt;"&amp;F238,$H$17:$H$369,"&gt;="&amp;I238)+COUNTIFS($G$17:$G$369,"="&amp;F238,$H$17:$H$369,"&gt;"&amp;I238)=0,"是","否")</x:f>
        <x:v>否</x:v>
      </x:c>
      <x:c r="L238" s="13" t="str">
        <x:f>IF(COUNTIFS($F$17:$F$369,"&lt;"&amp;G238,$I$17:$I$369,"&gt;="&amp;H238)+COUNTIFS($F$17:$F$369,"="&amp;G238,$I$17:$I$369,"&gt;"&amp;H238)-IF(OR(G238&gt;F238,I238&gt;H238),1,0)=0,"是","否")</x:f>
        <x:v>否</x:v>
      </x:c>
      <x:c r="M238" s="13" t="n">
        <x:f>1+COUNTIF($H$17:$H$369,"&gt;"&amp;I238)</x:f>
        <x:v>74</x:v>
      </x:c>
      <x:c r="N238" s="13" t="n">
        <x:f>COUNTIF($I$17:$I$369,"&gt;="&amp;H238)</x:f>
        <x:v>79</x:v>
      </x:c>
      <x:c r="O238" s="13" t="str">
        <x:v>I04 Table_1!D4950/P4950/U4950</x:v>
      </x:c>
    </x:row>
    <x:row r="239" ht="24" customHeight="1">
      <x:c r="A239" s="13" t="str">
        <x:v>M88003</x:v>
      </x:c>
      <x:c r="B239" s="13" t="str">
        <x:v>QUA</x:v>
      </x:c>
      <x:c r="C239" s="13" t="n">
        <x:v>133</x:v>
      </x:c>
      <x:c r="D239" s="30" t="n">
        <x:v>76.7</x:v>
      </x:c>
      <x:c r="E239" s="14" t="n">
        <x:f>C239*(1000-ROUND(D239*10,0))/1000</x:f>
        <x:v>30.989</x:v>
      </x:c>
      <x:c r="F239" s="14" t="n">
        <x:f>MAX(0,(ROUND(D239*100,0)-ROUND($B$3*100,0))/100)</x:f>
        <x:v>76.65</x:v>
      </x:c>
      <x:c r="G239" s="14" t="n">
        <x:f>MIN(100,(ROUND(D239*100,0)+ROUND($B$3*100,0))/100)</x:f>
        <x:v>76.75</x:v>
      </x:c>
      <x:c r="H239" s="40" t="n">
        <x:f>C239*(10000-ROUND(G239*100,0))/10000</x:f>
        <x:v>30.9225</x:v>
      </x:c>
      <x:c r="I239" s="40" t="n">
        <x:f>C239*(10000-ROUND(F239*100,0))/10000</x:f>
        <x:v>31.0555</x:v>
      </x:c>
      <x:c r="J239" s="13" t="str">
        <x:f>IF(COUNTIFS($D$17:$D$369,"&lt;"&amp;D239,$E$17:$E$369,"&gt;="&amp;E239)+COUNTIFS($D$17:$D$369,"="&amp;D239,$E$17:$E$369,"&gt;"&amp;E239)=0,"是","否")</x:f>
        <x:v>否</x:v>
      </x:c>
      <x:c r="K239" s="13" t="str">
        <x:f>IF(COUNTIFS($G$17:$G$369,"&lt;"&amp;F239,$H$17:$H$369,"&gt;="&amp;I239)+COUNTIFS($G$17:$G$369,"="&amp;F239,$H$17:$H$369,"&gt;"&amp;I239)=0,"是","否")</x:f>
        <x:v>否</x:v>
      </x:c>
      <x:c r="L239" s="13" t="str">
        <x:f>IF(COUNTIFS($F$17:$F$369,"&lt;"&amp;G239,$I$17:$I$369,"&gt;="&amp;H239)+COUNTIFS($F$17:$F$369,"="&amp;G239,$I$17:$I$369,"&gt;"&amp;H239)-IF(OR(G239&gt;F239,I239&gt;H239),1,0)=0,"是","否")</x:f>
        <x:v>否</x:v>
      </x:c>
      <x:c r="M239" s="13" t="n">
        <x:f>1+COUNTIF($H$17:$H$369,"&gt;"&amp;I239)</x:f>
        <x:v>74</x:v>
      </x:c>
      <x:c r="N239" s="13" t="n">
        <x:f>COUNTIF($I$17:$I$369,"&gt;="&amp;H239)</x:f>
        <x:v>79</x:v>
      </x:c>
      <x:c r="O239" s="13" t="str">
        <x:v>I04 Table_1!D4951/P4951/U4951</x:v>
      </x:c>
    </x:row>
    <x:row r="240" ht="24" customHeight="1">
      <x:c r="A240" s="13" t="str">
        <x:v>M88004</x:v>
      </x:c>
      <x:c r="B240" s="13" t="str">
        <x:v>QUA</x:v>
      </x:c>
      <x:c r="C240" s="13" t="n">
        <x:v>520</x:v>
      </x:c>
      <x:c r="D240" s="30" t="n">
        <x:v>82.1</x:v>
      </x:c>
      <x:c r="E240" s="14" t="n">
        <x:f>C240*(1000-ROUND(D240*10,0))/1000</x:f>
        <x:v>93.08</x:v>
      </x:c>
      <x:c r="F240" s="14" t="n">
        <x:f>MAX(0,(ROUND(D240*100,0)-ROUND($B$3*100,0))/100)</x:f>
        <x:v>82.05</x:v>
      </x:c>
      <x:c r="G240" s="14" t="n">
        <x:f>MIN(100,(ROUND(D240*100,0)+ROUND($B$3*100,0))/100)</x:f>
        <x:v>82.15</x:v>
      </x:c>
      <x:c r="H240" s="40" t="n">
        <x:f>C240*(10000-ROUND(G240*100,0))/10000</x:f>
        <x:v>92.82</x:v>
      </x:c>
      <x:c r="I240" s="40" t="n">
        <x:f>C240*(10000-ROUND(F240*100,0))/10000</x:f>
        <x:v>93.34</x:v>
      </x:c>
      <x:c r="J240" s="13" t="str">
        <x:f>IF(COUNTIFS($D$17:$D$369,"&lt;"&amp;D240,$E$17:$E$369,"&gt;="&amp;E240)+COUNTIFS($D$17:$D$369,"="&amp;D240,$E$17:$E$369,"&gt;"&amp;E240)=0,"是","否")</x:f>
        <x:v>否</x:v>
      </x:c>
      <x:c r="K240" s="13" t="str">
        <x:f>IF(COUNTIFS($G$17:$G$369,"&lt;"&amp;F240,$H$17:$H$369,"&gt;="&amp;I240)+COUNTIFS($G$17:$G$369,"="&amp;F240,$H$17:$H$369,"&gt;"&amp;I240)=0,"是","否")</x:f>
        <x:v>否</x:v>
      </x:c>
      <x:c r="L240" s="13" t="str">
        <x:f>IF(COUNTIFS($F$17:$F$369,"&lt;"&amp;G240,$I$17:$I$369,"&gt;="&amp;H240)+COUNTIFS($F$17:$F$369,"="&amp;G240,$I$17:$I$369,"&gt;"&amp;H240)-IF(OR(G240&gt;F240,I240&gt;H240),1,0)=0,"是","否")</x:f>
        <x:v>否</x:v>
      </x:c>
      <x:c r="M240" s="13" t="n">
        <x:f>1+COUNTIF($H$17:$H$369,"&gt;"&amp;I240)</x:f>
        <x:v>7</x:v>
      </x:c>
      <x:c r="N240" s="13" t="n">
        <x:f>COUNTIF($I$17:$I$369,"&gt;="&amp;H240)</x:f>
        <x:v>7</x:v>
      </x:c>
      <x:c r="O240" s="13" t="str">
        <x:v>I04 Table_1!D4952/P4952/U4952</x:v>
      </x:c>
    </x:row>
    <x:row r="241" ht="24" customHeight="1">
      <x:c r="A241" s="13" t="str">
        <x:v>M88006</x:v>
      </x:c>
      <x:c r="B241" s="13" t="str">
        <x:v>QUA</x:v>
      </x:c>
      <x:c r="C241" s="13" t="n">
        <x:v>161</x:v>
      </x:c>
      <x:c r="D241" s="30" t="n">
        <x:v>85.1</x:v>
      </x:c>
      <x:c r="E241" s="14" t="n">
        <x:f>C241*(1000-ROUND(D241*10,0))/1000</x:f>
        <x:v>23.989</x:v>
      </x:c>
      <x:c r="F241" s="14" t="n">
        <x:f>MAX(0,(ROUND(D241*100,0)-ROUND($B$3*100,0))/100)</x:f>
        <x:v>85.05</x:v>
      </x:c>
      <x:c r="G241" s="14" t="n">
        <x:f>MIN(100,(ROUND(D241*100,0)+ROUND($B$3*100,0))/100)</x:f>
        <x:v>85.15</x:v>
      </x:c>
      <x:c r="H241" s="40" t="n">
        <x:f>C241*(10000-ROUND(G241*100,0))/10000</x:f>
        <x:v>23.9085</x:v>
      </x:c>
      <x:c r="I241" s="40" t="n">
        <x:f>C241*(10000-ROUND(F241*100,0))/10000</x:f>
        <x:v>24.0695</x:v>
      </x:c>
      <x:c r="J241" s="13" t="str">
        <x:f>IF(COUNTIFS($D$17:$D$369,"&lt;"&amp;D241,$E$17:$E$369,"&gt;="&amp;E241)+COUNTIFS($D$17:$D$369,"="&amp;D241,$E$17:$E$369,"&gt;"&amp;E241)=0,"是","否")</x:f>
        <x:v>否</x:v>
      </x:c>
      <x:c r="K241" s="13" t="str">
        <x:f>IF(COUNTIFS($G$17:$G$369,"&lt;"&amp;F241,$H$17:$H$369,"&gt;="&amp;I241)+COUNTIFS($G$17:$G$369,"="&amp;F241,$H$17:$H$369,"&gt;"&amp;I241)=0,"是","否")</x:f>
        <x:v>否</x:v>
      </x:c>
      <x:c r="L241" s="13" t="str">
        <x:f>IF(COUNTIFS($F$17:$F$369,"&lt;"&amp;G241,$I$17:$I$369,"&gt;="&amp;H241)+COUNTIFS($F$17:$F$369,"="&amp;G241,$I$17:$I$369,"&gt;"&amp;H241)-IF(OR(G241&gt;F241,I241&gt;H241),1,0)=0,"是","否")</x:f>
        <x:v>否</x:v>
      </x:c>
      <x:c r="M241" s="13" t="n">
        <x:f>1+COUNTIF($H$17:$H$369,"&gt;"&amp;I241)</x:f>
        <x:v>101</x:v>
      </x:c>
      <x:c r="N241" s="13" t="n">
        <x:f>COUNTIF($I$17:$I$369,"&gt;="&amp;H241)</x:f>
        <x:v>111</x:v>
      </x:c>
      <x:c r="O241" s="13" t="str">
        <x:v>I04 Table_1!D4953/P4953/U4953</x:v>
      </x:c>
    </x:row>
    <x:row r="242" ht="24" customHeight="1">
      <x:c r="A242" s="13" t="str">
        <x:v>M88007</x:v>
      </x:c>
      <x:c r="B242" s="13" t="str">
        <x:v>QUA</x:v>
      </x:c>
      <x:c r="C242" s="13" t="n">
        <x:v>118</x:v>
      </x:c>
      <x:c r="D242" s="30" t="n">
        <x:v>79.7</x:v>
      </x:c>
      <x:c r="E242" s="14" t="n">
        <x:f>C242*(1000-ROUND(D242*10,0))/1000</x:f>
        <x:v>23.954</x:v>
      </x:c>
      <x:c r="F242" s="14" t="n">
        <x:f>MAX(0,(ROUND(D242*100,0)-ROUND($B$3*100,0))/100)</x:f>
        <x:v>79.65</x:v>
      </x:c>
      <x:c r="G242" s="14" t="n">
        <x:f>MIN(100,(ROUND(D242*100,0)+ROUND($B$3*100,0))/100)</x:f>
        <x:v>79.75</x:v>
      </x:c>
      <x:c r="H242" s="40" t="n">
        <x:f>C242*(10000-ROUND(G242*100,0))/10000</x:f>
        <x:v>23.895</x:v>
      </x:c>
      <x:c r="I242" s="40" t="n">
        <x:f>C242*(10000-ROUND(F242*100,0))/10000</x:f>
        <x:v>24.013</x:v>
      </x:c>
      <x:c r="J242" s="13" t="str">
        <x:f>IF(COUNTIFS($D$17:$D$369,"&lt;"&amp;D242,$E$17:$E$369,"&gt;="&amp;E242)+COUNTIFS($D$17:$D$369,"="&amp;D242,$E$17:$E$369,"&gt;"&amp;E242)=0,"是","否")</x:f>
        <x:v>否</x:v>
      </x:c>
      <x:c r="K242" s="13" t="str">
        <x:f>IF(COUNTIFS($G$17:$G$369,"&lt;"&amp;F242,$H$17:$H$369,"&gt;="&amp;I242)+COUNTIFS($G$17:$G$369,"="&amp;F242,$H$17:$H$369,"&gt;"&amp;I242)=0,"是","否")</x:f>
        <x:v>否</x:v>
      </x:c>
      <x:c r="L242" s="13" t="str">
        <x:f>IF(COUNTIFS($F$17:$F$369,"&lt;"&amp;G242,$I$17:$I$369,"&gt;="&amp;H242)+COUNTIFS($F$17:$F$369,"="&amp;G242,$I$17:$I$369,"&gt;"&amp;H242)-IF(OR(G242&gt;F242,I242&gt;H242),1,0)=0,"是","否")</x:f>
        <x:v>否</x:v>
      </x:c>
      <x:c r="M242" s="13" t="n">
        <x:f>1+COUNTIF($H$17:$H$369,"&gt;"&amp;I242)</x:f>
        <x:v>101</x:v>
      </x:c>
      <x:c r="N242" s="13" t="n">
        <x:f>COUNTIF($I$17:$I$369,"&gt;="&amp;H242)</x:f>
        <x:v>111</x:v>
      </x:c>
      <x:c r="O242" s="13" t="str">
        <x:v>I04 Table_1!D4954/P4954/U4954</x:v>
      </x:c>
    </x:row>
    <x:row r="243" ht="24" customHeight="1">
      <x:c r="A243" s="13" t="str">
        <x:v>M88008</x:v>
      </x:c>
      <x:c r="B243" s="13" t="str">
        <x:v>QUA</x:v>
      </x:c>
      <x:c r="C243" s="13" t="n">
        <x:v>76</x:v>
      </x:c>
      <x:c r="D243" s="30" t="n">
        <x:v>86.8</x:v>
      </x:c>
      <x:c r="E243" s="14" t="n">
        <x:f>C243*(1000-ROUND(D243*10,0))/1000</x:f>
        <x:v>10.032</x:v>
      </x:c>
      <x:c r="F243" s="14" t="n">
        <x:f>MAX(0,(ROUND(D243*100,0)-ROUND($B$3*100,0))/100)</x:f>
        <x:v>86.75</x:v>
      </x:c>
      <x:c r="G243" s="14" t="n">
        <x:f>MIN(100,(ROUND(D243*100,0)+ROUND($B$3*100,0))/100)</x:f>
        <x:v>86.85</x:v>
      </x:c>
      <x:c r="H243" s="40" t="n">
        <x:f>C243*(10000-ROUND(G243*100,0))/10000</x:f>
        <x:v>9.994</x:v>
      </x:c>
      <x:c r="I243" s="40" t="n">
        <x:f>C243*(10000-ROUND(F243*100,0))/10000</x:f>
        <x:v>10.07</x:v>
      </x:c>
      <x:c r="J243" s="13" t="str">
        <x:f>IF(COUNTIFS($D$17:$D$369,"&lt;"&amp;D243,$E$17:$E$369,"&gt;="&amp;E243)+COUNTIFS($D$17:$D$369,"="&amp;D243,$E$17:$E$369,"&gt;"&amp;E243)=0,"是","否")</x:f>
        <x:v>否</x:v>
      </x:c>
      <x:c r="K243" s="13" t="str">
        <x:f>IF(COUNTIFS($G$17:$G$369,"&lt;"&amp;F243,$H$17:$H$369,"&gt;="&amp;I243)+COUNTIFS($G$17:$G$369,"="&amp;F243,$H$17:$H$369,"&gt;"&amp;I243)=0,"是","否")</x:f>
        <x:v>否</x:v>
      </x:c>
      <x:c r="L243" s="13" t="str">
        <x:f>IF(COUNTIFS($F$17:$F$369,"&lt;"&amp;G243,$I$17:$I$369,"&gt;="&amp;H243)+COUNTIFS($F$17:$F$369,"="&amp;G243,$I$17:$I$369,"&gt;"&amp;H243)-IF(OR(G243&gt;F243,I243&gt;H243),1,0)=0,"是","否")</x:f>
        <x:v>否</x:v>
      </x:c>
      <x:c r="M243" s="13" t="n">
        <x:f>1+COUNTIF($H$17:$H$369,"&gt;"&amp;I243)</x:f>
        <x:v>231</x:v>
      </x:c>
      <x:c r="N243" s="13" t="n">
        <x:f>COUNTIF($I$17:$I$369,"&gt;="&amp;H243)</x:f>
        <x:v>243</x:v>
      </x:c>
      <x:c r="O243" s="13" t="str">
        <x:v>I04 Table_1!D4955/P4955/U4955</x:v>
      </x:c>
    </x:row>
    <x:row r="244" ht="24" customHeight="1">
      <x:c r="A244" s="13" t="str">
        <x:v>M88009</x:v>
      </x:c>
      <x:c r="B244" s="13" t="str">
        <x:v>QUA</x:v>
      </x:c>
      <x:c r="C244" s="13" t="n">
        <x:v>117</x:v>
      </x:c>
      <x:c r="D244" s="30" t="n">
        <x:v>63.2</x:v>
      </x:c>
      <x:c r="E244" s="14" t="n">
        <x:f>C244*(1000-ROUND(D244*10,0))/1000</x:f>
        <x:v>43.056</x:v>
      </x:c>
      <x:c r="F244" s="14" t="n">
        <x:f>MAX(0,(ROUND(D244*100,0)-ROUND($B$3*100,0))/100)</x:f>
        <x:v>63.15</x:v>
      </x:c>
      <x:c r="G244" s="14" t="n">
        <x:f>MIN(100,(ROUND(D244*100,0)+ROUND($B$3*100,0))/100)</x:f>
        <x:v>63.25</x:v>
      </x:c>
      <x:c r="H244" s="40" t="n">
        <x:f>C244*(10000-ROUND(G244*100,0))/10000</x:f>
        <x:v>42.9975</x:v>
      </x:c>
      <x:c r="I244" s="40" t="n">
        <x:f>C244*(10000-ROUND(F244*100,0))/10000</x:f>
        <x:v>43.1145</x:v>
      </x:c>
      <x:c r="J244" s="13" t="str">
        <x:f>IF(COUNTIFS($D$17:$D$369,"&lt;"&amp;D244,$E$17:$E$369,"&gt;="&amp;E244)+COUNTIFS($D$17:$D$369,"="&amp;D244,$E$17:$E$369,"&gt;"&amp;E244)=0,"是","否")</x:f>
        <x:v>否</x:v>
      </x:c>
      <x:c r="K244" s="13" t="str">
        <x:f>IF(COUNTIFS($G$17:$G$369,"&lt;"&amp;F244,$H$17:$H$369,"&gt;="&amp;I244)+COUNTIFS($G$17:$G$369,"="&amp;F244,$H$17:$H$369,"&gt;"&amp;I244)=0,"是","否")</x:f>
        <x:v>否</x:v>
      </x:c>
      <x:c r="L244" s="13" t="str">
        <x:f>IF(COUNTIFS($F$17:$F$369,"&lt;"&amp;G244,$I$17:$I$369,"&gt;="&amp;H244)+COUNTIFS($F$17:$F$369,"="&amp;G244,$I$17:$I$369,"&gt;"&amp;H244)-IF(OR(G244&gt;F244,I244&gt;H244),1,0)=0,"是","否")</x:f>
        <x:v>否</x:v>
      </x:c>
      <x:c r="M244" s="13" t="n">
        <x:f>1+COUNTIF($H$17:$H$369,"&gt;"&amp;I244)</x:f>
        <x:v>30</x:v>
      </x:c>
      <x:c r="N244" s="13" t="n">
        <x:f>COUNTIF($I$17:$I$369,"&gt;="&amp;H244)</x:f>
        <x:v>30</x:v>
      </x:c>
      <x:c r="O244" s="13" t="str">
        <x:v>I04 Table_1!D4956/P4956/U4956</x:v>
      </x:c>
    </x:row>
    <x:row r="245" ht="24" customHeight="1">
      <x:c r="A245" s="13" t="str">
        <x:v>M88010</x:v>
      </x:c>
      <x:c r="B245" s="13" t="str">
        <x:v>QUA</x:v>
      </x:c>
      <x:c r="C245" s="13" t="n">
        <x:v>114</x:v>
      </x:c>
      <x:c r="D245" s="30" t="n">
        <x:v>86</x:v>
      </x:c>
      <x:c r="E245" s="14" t="n">
        <x:f>C245*(1000-ROUND(D245*10,0))/1000</x:f>
        <x:v>15.96</x:v>
      </x:c>
      <x:c r="F245" s="14" t="n">
        <x:f>MAX(0,(ROUND(D245*100,0)-ROUND($B$3*100,0))/100)</x:f>
        <x:v>85.95</x:v>
      </x:c>
      <x:c r="G245" s="14" t="n">
        <x:f>MIN(100,(ROUND(D245*100,0)+ROUND($B$3*100,0))/100)</x:f>
        <x:v>86.05</x:v>
      </x:c>
      <x:c r="H245" s="40" t="n">
        <x:f>C245*(10000-ROUND(G245*100,0))/10000</x:f>
        <x:v>15.903</x:v>
      </x:c>
      <x:c r="I245" s="40" t="n">
        <x:f>C245*(10000-ROUND(F245*100,0))/10000</x:f>
        <x:v>16.017</x:v>
      </x:c>
      <x:c r="J245" s="13" t="str">
        <x:f>IF(COUNTIFS($D$17:$D$369,"&lt;"&amp;D245,$E$17:$E$369,"&gt;="&amp;E245)+COUNTIFS($D$17:$D$369,"="&amp;D245,$E$17:$E$369,"&gt;"&amp;E245)=0,"是","否")</x:f>
        <x:v>否</x:v>
      </x:c>
      <x:c r="K245" s="13" t="str">
        <x:f>IF(COUNTIFS($G$17:$G$369,"&lt;"&amp;F245,$H$17:$H$369,"&gt;="&amp;I245)+COUNTIFS($G$17:$G$369,"="&amp;F245,$H$17:$H$369,"&gt;"&amp;I245)=0,"是","否")</x:f>
        <x:v>否</x:v>
      </x:c>
      <x:c r="L245" s="13" t="str">
        <x:f>IF(COUNTIFS($F$17:$F$369,"&lt;"&amp;G245,$I$17:$I$369,"&gt;="&amp;H245)+COUNTIFS($F$17:$F$369,"="&amp;G245,$I$17:$I$369,"&gt;"&amp;H245)-IF(OR(G245&gt;F245,I245&gt;H245),1,0)=0,"是","否")</x:f>
        <x:v>否</x:v>
      </x:c>
      <x:c r="M245" s="13" t="n">
        <x:f>1+COUNTIF($H$17:$H$369,"&gt;"&amp;I245)</x:f>
        <x:v>167</x:v>
      </x:c>
      <x:c r="N245" s="13" t="n">
        <x:f>COUNTIF($I$17:$I$369,"&gt;="&amp;H245)</x:f>
        <x:v>176</x:v>
      </x:c>
      <x:c r="O245" s="13" t="str">
        <x:v>I04 Table_1!D4957/P4957/U4957</x:v>
      </x:c>
    </x:row>
    <x:row r="246" ht="24" customHeight="1">
      <x:c r="A246" s="13" t="str">
        <x:v>M88013</x:v>
      </x:c>
      <x:c r="B246" s="13" t="str">
        <x:v>QUA</x:v>
      </x:c>
      <x:c r="C246" s="13" t="n">
        <x:v>173</x:v>
      </x:c>
      <x:c r="D246" s="30" t="n">
        <x:v>76.3</x:v>
      </x:c>
      <x:c r="E246" s="14" t="n">
        <x:f>C246*(1000-ROUND(D246*10,0))/1000</x:f>
        <x:v>41.001</x:v>
      </x:c>
      <x:c r="F246" s="14" t="n">
        <x:f>MAX(0,(ROUND(D246*100,0)-ROUND($B$3*100,0))/100)</x:f>
        <x:v>76.25</x:v>
      </x:c>
      <x:c r="G246" s="14" t="n">
        <x:f>MIN(100,(ROUND(D246*100,0)+ROUND($B$3*100,0))/100)</x:f>
        <x:v>76.35</x:v>
      </x:c>
      <x:c r="H246" s="40" t="n">
        <x:f>C246*(10000-ROUND(G246*100,0))/10000</x:f>
        <x:v>40.9145</x:v>
      </x:c>
      <x:c r="I246" s="40" t="n">
        <x:f>C246*(10000-ROUND(F246*100,0))/10000</x:f>
        <x:v>41.0875</x:v>
      </x:c>
      <x:c r="J246" s="13" t="str">
        <x:f>IF(COUNTIFS($D$17:$D$369,"&lt;"&amp;D246,$E$17:$E$369,"&gt;="&amp;E246)+COUNTIFS($D$17:$D$369,"="&amp;D246,$E$17:$E$369,"&gt;"&amp;E246)=0,"是","否")</x:f>
        <x:v>否</x:v>
      </x:c>
      <x:c r="K246" s="13" t="str">
        <x:f>IF(COUNTIFS($G$17:$G$369,"&lt;"&amp;F246,$H$17:$H$369,"&gt;="&amp;I246)+COUNTIFS($G$17:$G$369,"="&amp;F246,$H$17:$H$369,"&gt;"&amp;I246)=0,"是","否")</x:f>
        <x:v>否</x:v>
      </x:c>
      <x:c r="L246" s="13" t="str">
        <x:f>IF(COUNTIFS($F$17:$F$369,"&lt;"&amp;G246,$I$17:$I$369,"&gt;="&amp;H246)+COUNTIFS($F$17:$F$369,"="&amp;G246,$I$17:$I$369,"&gt;"&amp;H246)-IF(OR(G246&gt;F246,I246&gt;H246),1,0)=0,"是","否")</x:f>
        <x:v>否</x:v>
      </x:c>
      <x:c r="M246" s="13" t="n">
        <x:f>1+COUNTIF($H$17:$H$369,"&gt;"&amp;I246)</x:f>
        <x:v>31</x:v>
      </x:c>
      <x:c r="N246" s="13" t="n">
        <x:f>COUNTIF($I$17:$I$369,"&gt;="&amp;H246)</x:f>
        <x:v>34</x:v>
      </x:c>
      <x:c r="O246" s="13" t="str">
        <x:v>I04 Table_1!D4958/P4958/U4958</x:v>
      </x:c>
    </x:row>
    <x:row r="247" ht="24" customHeight="1">
      <x:c r="A247" s="13" t="str">
        <x:v>M88014</x:v>
      </x:c>
      <x:c r="B247" s="13" t="str">
        <x:v>QUA</x:v>
      </x:c>
      <x:c r="C247" s="13" t="n">
        <x:v>60</x:v>
      </x:c>
      <x:c r="D247" s="30" t="n">
        <x:v>80</x:v>
      </x:c>
      <x:c r="E247" s="14" t="n">
        <x:f>C247*(1000-ROUND(D247*10,0))/1000</x:f>
        <x:v>12</x:v>
      </x:c>
      <x:c r="F247" s="14" t="n">
        <x:f>MAX(0,(ROUND(D247*100,0)-ROUND($B$3*100,0))/100)</x:f>
        <x:v>79.95</x:v>
      </x:c>
      <x:c r="G247" s="14" t="n">
        <x:f>MIN(100,(ROUND(D247*100,0)+ROUND($B$3*100,0))/100)</x:f>
        <x:v>80.05</x:v>
      </x:c>
      <x:c r="H247" s="40" t="n">
        <x:f>C247*(10000-ROUND(G247*100,0))/10000</x:f>
        <x:v>11.97</x:v>
      </x:c>
      <x:c r="I247" s="40" t="n">
        <x:f>C247*(10000-ROUND(F247*100,0))/10000</x:f>
        <x:v>12.03</x:v>
      </x:c>
      <x:c r="J247" s="13" t="str">
        <x:f>IF(COUNTIFS($D$17:$D$369,"&lt;"&amp;D247,$E$17:$E$369,"&gt;="&amp;E247)+COUNTIFS($D$17:$D$369,"="&amp;D247,$E$17:$E$369,"&gt;"&amp;E247)=0,"是","否")</x:f>
        <x:v>否</x:v>
      </x:c>
      <x:c r="K247" s="13" t="str">
        <x:f>IF(COUNTIFS($G$17:$G$369,"&lt;"&amp;F247,$H$17:$H$369,"&gt;="&amp;I247)+COUNTIFS($G$17:$G$369,"="&amp;F247,$H$17:$H$369,"&gt;"&amp;I247)=0,"是","否")</x:f>
        <x:v>否</x:v>
      </x:c>
      <x:c r="L247" s="13" t="str">
        <x:f>IF(COUNTIFS($F$17:$F$369,"&lt;"&amp;G247,$I$17:$I$369,"&gt;="&amp;H247)+COUNTIFS($F$17:$F$369,"="&amp;G247,$I$17:$I$369,"&gt;"&amp;H247)-IF(OR(G247&gt;F247,I247&gt;H247),1,0)=0,"是","否")</x:f>
        <x:v>否</x:v>
      </x:c>
      <x:c r="M247" s="13" t="n">
        <x:f>1+COUNTIF($H$17:$H$369,"&gt;"&amp;I247)</x:f>
        <x:v>213</x:v>
      </x:c>
      <x:c r="N247" s="13" t="n">
        <x:f>COUNTIF($I$17:$I$369,"&gt;="&amp;H247)</x:f>
        <x:v>221</x:v>
      </x:c>
      <x:c r="O247" s="13" t="str">
        <x:v>I04 Table_1!D4959/P4959/U4959</x:v>
      </x:c>
    </x:row>
    <x:row r="248" ht="24" customHeight="1">
      <x:c r="A248" s="13" t="str">
        <x:v>M88015</x:v>
      </x:c>
      <x:c r="B248" s="13" t="str">
        <x:v>QUA</x:v>
      </x:c>
      <x:c r="C248" s="13" t="n">
        <x:v>145</x:v>
      </x:c>
      <x:c r="D248" s="30" t="n">
        <x:v>77.2</x:v>
      </x:c>
      <x:c r="E248" s="14" t="n">
        <x:f>C248*(1000-ROUND(D248*10,0))/1000</x:f>
        <x:v>33.06</x:v>
      </x:c>
      <x:c r="F248" s="14" t="n">
        <x:f>MAX(0,(ROUND(D248*100,0)-ROUND($B$3*100,0))/100)</x:f>
        <x:v>77.15</x:v>
      </x:c>
      <x:c r="G248" s="14" t="n">
        <x:f>MIN(100,(ROUND(D248*100,0)+ROUND($B$3*100,0))/100)</x:f>
        <x:v>77.25</x:v>
      </x:c>
      <x:c r="H248" s="40" t="n">
        <x:f>C248*(10000-ROUND(G248*100,0))/10000</x:f>
        <x:v>32.9875</x:v>
      </x:c>
      <x:c r="I248" s="40" t="n">
        <x:f>C248*(10000-ROUND(F248*100,0))/10000</x:f>
        <x:v>33.1325</x:v>
      </x:c>
      <x:c r="J248" s="13" t="str">
        <x:f>IF(COUNTIFS($D$17:$D$369,"&lt;"&amp;D248,$E$17:$E$369,"&gt;="&amp;E248)+COUNTIFS($D$17:$D$369,"="&amp;D248,$E$17:$E$369,"&gt;"&amp;E248)=0,"是","否")</x:f>
        <x:v>否</x:v>
      </x:c>
      <x:c r="K248" s="13" t="str">
        <x:f>IF(COUNTIFS($G$17:$G$369,"&lt;"&amp;F248,$H$17:$H$369,"&gt;="&amp;I248)+COUNTIFS($G$17:$G$369,"="&amp;F248,$H$17:$H$369,"&gt;"&amp;I248)=0,"是","否")</x:f>
        <x:v>否</x:v>
      </x:c>
      <x:c r="L248" s="13" t="str">
        <x:f>IF(COUNTIFS($F$17:$F$369,"&lt;"&amp;G248,$I$17:$I$369,"&gt;="&amp;H248)+COUNTIFS($F$17:$F$369,"="&amp;G248,$I$17:$I$369,"&gt;"&amp;H248)-IF(OR(G248&gt;F248,I248&gt;H248),1,0)=0,"是","否")</x:f>
        <x:v>否</x:v>
      </x:c>
      <x:c r="M248" s="13" t="n">
        <x:f>1+COUNTIF($H$17:$H$369,"&gt;"&amp;I248)</x:f>
        <x:v>60</x:v>
      </x:c>
      <x:c r="N248" s="13" t="n">
        <x:f>COUNTIF($I$17:$I$369,"&gt;="&amp;H248)</x:f>
        <x:v>63</x:v>
      </x:c>
      <x:c r="O248" s="13" t="str">
        <x:v>I04 Table_1!D4960/P4960/U4960</x:v>
      </x:c>
    </x:row>
    <x:row r="249" ht="24" customHeight="1">
      <x:c r="A249" s="13" t="str">
        <x:v>M88016</x:v>
      </x:c>
      <x:c r="B249" s="13" t="str">
        <x:v>QUA</x:v>
      </x:c>
      <x:c r="C249" s="13" t="n">
        <x:v>36</x:v>
      </x:c>
      <x:c r="D249" s="30" t="n">
        <x:v>75</x:v>
      </x:c>
      <x:c r="E249" s="14" t="n">
        <x:f>C249*(1000-ROUND(D249*10,0))/1000</x:f>
        <x:v>9</x:v>
      </x:c>
      <x:c r="F249" s="14" t="n">
        <x:f>MAX(0,(ROUND(D249*100,0)-ROUND($B$3*100,0))/100)</x:f>
        <x:v>74.95</x:v>
      </x:c>
      <x:c r="G249" s="14" t="n">
        <x:f>MIN(100,(ROUND(D249*100,0)+ROUND($B$3*100,0))/100)</x:f>
        <x:v>75.05</x:v>
      </x:c>
      <x:c r="H249" s="40" t="n">
        <x:f>C249*(10000-ROUND(G249*100,0))/10000</x:f>
        <x:v>8.982</x:v>
      </x:c>
      <x:c r="I249" s="40" t="n">
        <x:f>C249*(10000-ROUND(F249*100,0))/10000</x:f>
        <x:v>9.018</x:v>
      </x:c>
      <x:c r="J249" s="13" t="str">
        <x:f>IF(COUNTIFS($D$17:$D$369,"&lt;"&amp;D249,$E$17:$E$369,"&gt;="&amp;E249)+COUNTIFS($D$17:$D$369,"="&amp;D249,$E$17:$E$369,"&gt;"&amp;E249)=0,"是","否")</x:f>
        <x:v>否</x:v>
      </x:c>
      <x:c r="K249" s="13" t="str">
        <x:f>IF(COUNTIFS($G$17:$G$369,"&lt;"&amp;F249,$H$17:$H$369,"&gt;="&amp;I249)+COUNTIFS($G$17:$G$369,"="&amp;F249,$H$17:$H$369,"&gt;"&amp;I249)=0,"是","否")</x:f>
        <x:v>否</x:v>
      </x:c>
      <x:c r="L249" s="13" t="str">
        <x:f>IF(COUNTIFS($F$17:$F$369,"&lt;"&amp;G249,$I$17:$I$369,"&gt;="&amp;H249)+COUNTIFS($F$17:$F$369,"="&amp;G249,$I$17:$I$369,"&gt;"&amp;H249)-IF(OR(G249&gt;F249,I249&gt;H249),1,0)=0,"是","否")</x:f>
        <x:v>否</x:v>
      </x:c>
      <x:c r="M249" s="13" t="n">
        <x:f>1+COUNTIF($H$17:$H$369,"&gt;"&amp;I249)</x:f>
        <x:v>244</x:v>
      </x:c>
      <x:c r="N249" s="13" t="n">
        <x:f>COUNTIF($I$17:$I$369,"&gt;="&amp;H249)</x:f>
        <x:v>256</x:v>
      </x:c>
      <x:c r="O249" s="13" t="str">
        <x:v>I04 Table_1!D4961/P4961/U4961</x:v>
      </x:c>
    </x:row>
    <x:row r="250" ht="24" customHeight="1">
      <x:c r="A250" s="13" t="str">
        <x:v>M88018</x:v>
      </x:c>
      <x:c r="B250" s="13" t="str">
        <x:v>QUA</x:v>
      </x:c>
      <x:c r="C250" s="13" t="n">
        <x:v>264</x:v>
      </x:c>
      <x:c r="D250" s="30" t="n">
        <x:v>75</x:v>
      </x:c>
      <x:c r="E250" s="14" t="n">
        <x:f>C250*(1000-ROUND(D250*10,0))/1000</x:f>
        <x:v>66</x:v>
      </x:c>
      <x:c r="F250" s="14" t="n">
        <x:f>MAX(0,(ROUND(D250*100,0)-ROUND($B$3*100,0))/100)</x:f>
        <x:v>74.95</x:v>
      </x:c>
      <x:c r="G250" s="14" t="n">
        <x:f>MIN(100,(ROUND(D250*100,0)+ROUND($B$3*100,0))/100)</x:f>
        <x:v>75.05</x:v>
      </x:c>
      <x:c r="H250" s="40" t="n">
        <x:f>C250*(10000-ROUND(G250*100,0))/10000</x:f>
        <x:v>65.868</x:v>
      </x:c>
      <x:c r="I250" s="40" t="n">
        <x:f>C250*(10000-ROUND(F250*100,0))/10000</x:f>
        <x:v>66.132</x:v>
      </x:c>
      <x:c r="J250" s="13" t="str">
        <x:f>IF(COUNTIFS($D$17:$D$369,"&lt;"&amp;D250,$E$17:$E$369,"&gt;="&amp;E250)+COUNTIFS($D$17:$D$369,"="&amp;D250,$E$17:$E$369,"&gt;"&amp;E250)=0,"是","否")</x:f>
        <x:v>否</x:v>
      </x:c>
      <x:c r="K250" s="13" t="str">
        <x:f>IF(COUNTIFS($G$17:$G$369,"&lt;"&amp;F250,$H$17:$H$369,"&gt;="&amp;I250)+COUNTIFS($G$17:$G$369,"="&amp;F250,$H$17:$H$369,"&gt;"&amp;I250)=0,"是","否")</x:f>
        <x:v>否</x:v>
      </x:c>
      <x:c r="L250" s="13" t="str">
        <x:f>IF(COUNTIFS($F$17:$F$369,"&lt;"&amp;G250,$I$17:$I$369,"&gt;="&amp;H250)+COUNTIFS($F$17:$F$369,"="&amp;G250,$I$17:$I$369,"&gt;"&amp;H250)-IF(OR(G250&gt;F250,I250&gt;H250),1,0)=0,"是","否")</x:f>
        <x:v>否</x:v>
      </x:c>
      <x:c r="M250" s="13" t="n">
        <x:f>1+COUNTIF($H$17:$H$369,"&gt;"&amp;I250)</x:f>
        <x:v>13</x:v>
      </x:c>
      <x:c r="N250" s="13" t="n">
        <x:f>COUNTIF($I$17:$I$369,"&gt;="&amp;H250)</x:f>
        <x:v>13</x:v>
      </x:c>
      <x:c r="O250" s="13" t="str">
        <x:v>I04 Table_1!D4962/P4962/U4962</x:v>
      </x:c>
    </x:row>
    <x:row r="251" ht="24" customHeight="1">
      <x:c r="A251" s="13" t="str">
        <x:v>M88019</x:v>
      </x:c>
      <x:c r="B251" s="13" t="str">
        <x:v>QUA</x:v>
      </x:c>
      <x:c r="C251" s="13" t="n">
        <x:v>49</x:v>
      </x:c>
      <x:c r="D251" s="30" t="n">
        <x:v>61.2</x:v>
      </x:c>
      <x:c r="E251" s="14" t="n">
        <x:f>C251*(1000-ROUND(D251*10,0))/1000</x:f>
        <x:v>19.012</x:v>
      </x:c>
      <x:c r="F251" s="14" t="n">
        <x:f>MAX(0,(ROUND(D251*100,0)-ROUND($B$3*100,0))/100)</x:f>
        <x:v>61.15</x:v>
      </x:c>
      <x:c r="G251" s="14" t="n">
        <x:f>MIN(100,(ROUND(D251*100,0)+ROUND($B$3*100,0))/100)</x:f>
        <x:v>61.25</x:v>
      </x:c>
      <x:c r="H251" s="40" t="n">
        <x:f>C251*(10000-ROUND(G251*100,0))/10000</x:f>
        <x:v>18.9875</x:v>
      </x:c>
      <x:c r="I251" s="40" t="n">
        <x:f>C251*(10000-ROUND(F251*100,0))/10000</x:f>
        <x:v>19.0365</x:v>
      </x:c>
      <x:c r="J251" s="13" t="str">
        <x:f>IF(COUNTIFS($D$17:$D$369,"&lt;"&amp;D251,$E$17:$E$369,"&gt;="&amp;E251)+COUNTIFS($D$17:$D$369,"="&amp;D251,$E$17:$E$369,"&gt;"&amp;E251)=0,"是","否")</x:f>
        <x:v>否</x:v>
      </x:c>
      <x:c r="K251" s="13" t="str">
        <x:f>IF(COUNTIFS($G$17:$G$369,"&lt;"&amp;F251,$H$17:$H$369,"&gt;="&amp;I251)+COUNTIFS($G$17:$G$369,"="&amp;F251,$H$17:$H$369,"&gt;"&amp;I251)=0,"是","否")</x:f>
        <x:v>否</x:v>
      </x:c>
      <x:c r="L251" s="13" t="str">
        <x:f>IF(COUNTIFS($F$17:$F$369,"&lt;"&amp;G251,$I$17:$I$369,"&gt;="&amp;H251)+COUNTIFS($F$17:$F$369,"="&amp;G251,$I$17:$I$369,"&gt;"&amp;H251)-IF(OR(G251&gt;F251,I251&gt;H251),1,0)=0,"是","否")</x:f>
        <x:v>否</x:v>
      </x:c>
      <x:c r="M251" s="13" t="n">
        <x:f>1+COUNTIF($H$17:$H$369,"&gt;"&amp;I251)</x:f>
        <x:v>142</x:v>
      </x:c>
      <x:c r="N251" s="13" t="n">
        <x:f>COUNTIF($I$17:$I$369,"&gt;="&amp;H251)</x:f>
        <x:v>151</x:v>
      </x:c>
      <x:c r="O251" s="13" t="str">
        <x:v>I04 Table_1!D4963/P4963/U4963</x:v>
      </x:c>
    </x:row>
    <x:row r="252" ht="24" customHeight="1">
      <x:c r="A252" s="13" t="str">
        <x:v>M88021</x:v>
      </x:c>
      <x:c r="B252" s="13" t="str">
        <x:v>QUA</x:v>
      </x:c>
      <x:c r="C252" s="13" t="n">
        <x:v>125</x:v>
      </x:c>
      <x:c r="D252" s="30" t="n">
        <x:v>76</x:v>
      </x:c>
      <x:c r="E252" s="14" t="n">
        <x:f>C252*(1000-ROUND(D252*10,0))/1000</x:f>
        <x:v>30</x:v>
      </x:c>
      <x:c r="F252" s="14" t="n">
        <x:f>MAX(0,(ROUND(D252*100,0)-ROUND($B$3*100,0))/100)</x:f>
        <x:v>75.95</x:v>
      </x:c>
      <x:c r="G252" s="14" t="n">
        <x:f>MIN(100,(ROUND(D252*100,0)+ROUND($B$3*100,0))/100)</x:f>
        <x:v>76.05</x:v>
      </x:c>
      <x:c r="H252" s="40" t="n">
        <x:f>C252*(10000-ROUND(G252*100,0))/10000</x:f>
        <x:v>29.9375</x:v>
      </x:c>
      <x:c r="I252" s="40" t="n">
        <x:f>C252*(10000-ROUND(F252*100,0))/10000</x:f>
        <x:v>30.0625</x:v>
      </x:c>
      <x:c r="J252" s="13" t="str">
        <x:f>IF(COUNTIFS($D$17:$D$369,"&lt;"&amp;D252,$E$17:$E$369,"&gt;="&amp;E252)+COUNTIFS($D$17:$D$369,"="&amp;D252,$E$17:$E$369,"&gt;"&amp;E252)=0,"是","否")</x:f>
        <x:v>否</x:v>
      </x:c>
      <x:c r="K252" s="13" t="str">
        <x:f>IF(COUNTIFS($G$17:$G$369,"&lt;"&amp;F252,$H$17:$H$369,"&gt;="&amp;I252)+COUNTIFS($G$17:$G$369,"="&amp;F252,$H$17:$H$369,"&gt;"&amp;I252)=0,"是","否")</x:f>
        <x:v>否</x:v>
      </x:c>
      <x:c r="L252" s="13" t="str">
        <x:f>IF(COUNTIFS($F$17:$F$369,"&lt;"&amp;G252,$I$17:$I$369,"&gt;="&amp;H252)+COUNTIFS($F$17:$F$369,"="&amp;G252,$I$17:$I$369,"&gt;"&amp;H252)-IF(OR(G252&gt;F252,I252&gt;H252),1,0)=0,"是","否")</x:f>
        <x:v>否</x:v>
      </x:c>
      <x:c r="M252" s="13" t="n">
        <x:f>1+COUNTIF($H$17:$H$369,"&gt;"&amp;I252)</x:f>
        <x:v>80</x:v>
      </x:c>
      <x:c r="N252" s="13" t="n">
        <x:f>COUNTIF($I$17:$I$369,"&gt;="&amp;H252)</x:f>
        <x:v>82</x:v>
      </x:c>
      <x:c r="O252" s="13" t="str">
        <x:v>I04 Table_1!D4964/P4964/U4964</x:v>
      </x:c>
    </x:row>
    <x:row r="253" ht="24" customHeight="1">
      <x:c r="A253" s="13" t="str">
        <x:v>M88022</x:v>
      </x:c>
      <x:c r="B253" s="13" t="str">
        <x:v>QUA</x:v>
      </x:c>
      <x:c r="C253" s="13" t="n">
        <x:v>32</x:v>
      </x:c>
      <x:c r="D253" s="30" t="n">
        <x:v>90.6</x:v>
      </x:c>
      <x:c r="E253" s="14" t="n">
        <x:f>C253*(1000-ROUND(D253*10,0))/1000</x:f>
        <x:v>3.008</x:v>
      </x:c>
      <x:c r="F253" s="14" t="n">
        <x:f>MAX(0,(ROUND(D253*100,0)-ROUND($B$3*100,0))/100)</x:f>
        <x:v>90.55</x:v>
      </x:c>
      <x:c r="G253" s="14" t="n">
        <x:f>MIN(100,(ROUND(D253*100,0)+ROUND($B$3*100,0))/100)</x:f>
        <x:v>90.65</x:v>
      </x:c>
      <x:c r="H253" s="40" t="n">
        <x:f>C253*(10000-ROUND(G253*100,0))/10000</x:f>
        <x:v>2.992</x:v>
      </x:c>
      <x:c r="I253" s="40" t="n">
        <x:f>C253*(10000-ROUND(F253*100,0))/10000</x:f>
        <x:v>3.024</x:v>
      </x:c>
      <x:c r="J253" s="13" t="str">
        <x:f>IF(COUNTIFS($D$17:$D$369,"&lt;"&amp;D253,$E$17:$E$369,"&gt;="&amp;E253)+COUNTIFS($D$17:$D$369,"="&amp;D253,$E$17:$E$369,"&gt;"&amp;E253)=0,"是","否")</x:f>
        <x:v>否</x:v>
      </x:c>
      <x:c r="K253" s="13" t="str">
        <x:f>IF(COUNTIFS($G$17:$G$369,"&lt;"&amp;F253,$H$17:$H$369,"&gt;="&amp;I253)+COUNTIFS($G$17:$G$369,"="&amp;F253,$H$17:$H$369,"&gt;"&amp;I253)=0,"是","否")</x:f>
        <x:v>否</x:v>
      </x:c>
      <x:c r="L253" s="13" t="str">
        <x:f>IF(COUNTIFS($F$17:$F$369,"&lt;"&amp;G253,$I$17:$I$369,"&gt;="&amp;H253)+COUNTIFS($F$17:$F$369,"="&amp;G253,$I$17:$I$369,"&gt;"&amp;H253)-IF(OR(G253&gt;F253,I253&gt;H253),1,0)=0,"是","否")</x:f>
        <x:v>否</x:v>
      </x:c>
      <x:c r="M253" s="13" t="n">
        <x:f>1+COUNTIF($H$17:$H$369,"&gt;"&amp;I253)</x:f>
        <x:v>331</x:v>
      </x:c>
      <x:c r="N253" s="13" t="n">
        <x:f>COUNTIF($I$17:$I$369,"&gt;="&amp;H253)</x:f>
        <x:v>341</x:v>
      </x:c>
      <x:c r="O253" s="13" t="str">
        <x:v>I04 Table_1!D4965/P4965/U4965</x:v>
      </x:c>
    </x:row>
    <x:row r="254" ht="24" customHeight="1">
      <x:c r="A254" s="13" t="str">
        <x:v>M88023</x:v>
      </x:c>
      <x:c r="B254" s="13" t="str">
        <x:v>QUA</x:v>
      </x:c>
      <x:c r="C254" s="13" t="n">
        <x:v>82</x:v>
      </x:c>
      <x:c r="D254" s="30" t="n">
        <x:v>92.7</x:v>
      </x:c>
      <x:c r="E254" s="14" t="n">
        <x:f>C254*(1000-ROUND(D254*10,0))/1000</x:f>
        <x:v>5.986</x:v>
      </x:c>
      <x:c r="F254" s="14" t="n">
        <x:f>MAX(0,(ROUND(D254*100,0)-ROUND($B$3*100,0))/100)</x:f>
        <x:v>92.65</x:v>
      </x:c>
      <x:c r="G254" s="14" t="n">
        <x:f>MIN(100,(ROUND(D254*100,0)+ROUND($B$3*100,0))/100)</x:f>
        <x:v>92.75</x:v>
      </x:c>
      <x:c r="H254" s="40" t="n">
        <x:f>C254*(10000-ROUND(G254*100,0))/10000</x:f>
        <x:v>5.945</x:v>
      </x:c>
      <x:c r="I254" s="40" t="n">
        <x:f>C254*(10000-ROUND(F254*100,0))/10000</x:f>
        <x:v>6.027</x:v>
      </x:c>
      <x:c r="J254" s="13" t="str">
        <x:f>IF(COUNTIFS($D$17:$D$369,"&lt;"&amp;D254,$E$17:$E$369,"&gt;="&amp;E254)+COUNTIFS($D$17:$D$369,"="&amp;D254,$E$17:$E$369,"&gt;"&amp;E254)=0,"是","否")</x:f>
        <x:v>否</x:v>
      </x:c>
      <x:c r="K254" s="13" t="str">
        <x:f>IF(COUNTIFS($G$17:$G$369,"&lt;"&amp;F254,$H$17:$H$369,"&gt;="&amp;I254)+COUNTIFS($G$17:$G$369,"="&amp;F254,$H$17:$H$369,"&gt;"&amp;I254)=0,"是","否")</x:f>
        <x:v>否</x:v>
      </x:c>
      <x:c r="L254" s="13" t="str">
        <x:f>IF(COUNTIFS($F$17:$F$369,"&lt;"&amp;G254,$I$17:$I$369,"&gt;="&amp;H254)+COUNTIFS($F$17:$F$369,"="&amp;G254,$I$17:$I$369,"&gt;"&amp;H254)-IF(OR(G254&gt;F254,I254&gt;H254),1,0)=0,"是","否")</x:f>
        <x:v>否</x:v>
      </x:c>
      <x:c r="M254" s="13" t="n">
        <x:f>1+COUNTIF($H$17:$H$369,"&gt;"&amp;I254)</x:f>
        <x:v>286</x:v>
      </x:c>
      <x:c r="N254" s="13" t="n">
        <x:f>COUNTIF($I$17:$I$369,"&gt;="&amp;H254)</x:f>
        <x:v>301</x:v>
      </x:c>
      <x:c r="O254" s="13" t="str">
        <x:v>I04 Table_1!D4966/P4966/U4966</x:v>
      </x:c>
    </x:row>
    <x:row r="255" ht="24" customHeight="1">
      <x:c r="A255" s="13" t="str">
        <x:v>M88026</x:v>
      </x:c>
      <x:c r="B255" s="13" t="str">
        <x:v>QUA</x:v>
      </x:c>
      <x:c r="C255" s="13" t="n">
        <x:v>77</x:v>
      </x:c>
      <x:c r="D255" s="30" t="n">
        <x:v>84.4</x:v>
      </x:c>
      <x:c r="E255" s="14" t="n">
        <x:f>C255*(1000-ROUND(D255*10,0))/1000</x:f>
        <x:v>12.012</x:v>
      </x:c>
      <x:c r="F255" s="14" t="n">
        <x:f>MAX(0,(ROUND(D255*100,0)-ROUND($B$3*100,0))/100)</x:f>
        <x:v>84.35</x:v>
      </x:c>
      <x:c r="G255" s="14" t="n">
        <x:f>MIN(100,(ROUND(D255*100,0)+ROUND($B$3*100,0))/100)</x:f>
        <x:v>84.45</x:v>
      </x:c>
      <x:c r="H255" s="40" t="n">
        <x:f>C255*(10000-ROUND(G255*100,0))/10000</x:f>
        <x:v>11.9735</x:v>
      </x:c>
      <x:c r="I255" s="40" t="n">
        <x:f>C255*(10000-ROUND(F255*100,0))/10000</x:f>
        <x:v>12.0505</x:v>
      </x:c>
      <x:c r="J255" s="13" t="str">
        <x:f>IF(COUNTIFS($D$17:$D$369,"&lt;"&amp;D255,$E$17:$E$369,"&gt;="&amp;E255)+COUNTIFS($D$17:$D$369,"="&amp;D255,$E$17:$E$369,"&gt;"&amp;E255)=0,"是","否")</x:f>
        <x:v>否</x:v>
      </x:c>
      <x:c r="K255" s="13" t="str">
        <x:f>IF(COUNTIFS($G$17:$G$369,"&lt;"&amp;F255,$H$17:$H$369,"&gt;="&amp;I255)+COUNTIFS($G$17:$G$369,"="&amp;F255,$H$17:$H$369,"&gt;"&amp;I255)=0,"是","否")</x:f>
        <x:v>否</x:v>
      </x:c>
      <x:c r="L255" s="13" t="str">
        <x:f>IF(COUNTIFS($F$17:$F$369,"&lt;"&amp;G255,$I$17:$I$369,"&gt;="&amp;H255)+COUNTIFS($F$17:$F$369,"="&amp;G255,$I$17:$I$369,"&gt;"&amp;H255)-IF(OR(G255&gt;F255,I255&gt;H255),1,0)=0,"是","否")</x:f>
        <x:v>否</x:v>
      </x:c>
      <x:c r="M255" s="13" t="n">
        <x:f>1+COUNTIF($H$17:$H$369,"&gt;"&amp;I255)</x:f>
        <x:v>213</x:v>
      </x:c>
      <x:c r="N255" s="13" t="n">
        <x:f>COUNTIF($I$17:$I$369,"&gt;="&amp;H255)</x:f>
        <x:v>221</x:v>
      </x:c>
      <x:c r="O255" s="13" t="str">
        <x:v>I04 Table_1!D4967/P4967/U4967</x:v>
      </x:c>
    </x:row>
    <x:row r="256" ht="24" customHeight="1">
      <x:c r="A256" s="13" t="str">
        <x:v>M88030</x:v>
      </x:c>
      <x:c r="B256" s="13" t="str">
        <x:v>QUA</x:v>
      </x:c>
      <x:c r="C256" s="13" t="n">
        <x:v>62</x:v>
      </x:c>
      <x:c r="D256" s="30" t="n">
        <x:v>93.5</x:v>
      </x:c>
      <x:c r="E256" s="14" t="n">
        <x:f>C256*(1000-ROUND(D256*10,0))/1000</x:f>
        <x:v>4.03</x:v>
      </x:c>
      <x:c r="F256" s="14" t="n">
        <x:f>MAX(0,(ROUND(D256*100,0)-ROUND($B$3*100,0))/100)</x:f>
        <x:v>93.45</x:v>
      </x:c>
      <x:c r="G256" s="14" t="n">
        <x:f>MIN(100,(ROUND(D256*100,0)+ROUND($B$3*100,0))/100)</x:f>
        <x:v>93.55</x:v>
      </x:c>
      <x:c r="H256" s="40" t="n">
        <x:f>C256*(10000-ROUND(G256*100,0))/10000</x:f>
        <x:v>3.999</x:v>
      </x:c>
      <x:c r="I256" s="40" t="n">
        <x:f>C256*(10000-ROUND(F256*100,0))/10000</x:f>
        <x:v>4.061</x:v>
      </x:c>
      <x:c r="J256" s="13" t="str">
        <x:f>IF(COUNTIFS($D$17:$D$369,"&lt;"&amp;D256,$E$17:$E$369,"&gt;="&amp;E256)+COUNTIFS($D$17:$D$369,"="&amp;D256,$E$17:$E$369,"&gt;"&amp;E256)=0,"是","否")</x:f>
        <x:v>否</x:v>
      </x:c>
      <x:c r="K256" s="13" t="str">
        <x:f>IF(COUNTIFS($G$17:$G$369,"&lt;"&amp;F256,$H$17:$H$369,"&gt;="&amp;I256)+COUNTIFS($G$17:$G$369,"="&amp;F256,$H$17:$H$369,"&gt;"&amp;I256)=0,"是","否")</x:f>
        <x:v>否</x:v>
      </x:c>
      <x:c r="L256" s="13" t="str">
        <x:f>IF(COUNTIFS($F$17:$F$369,"&lt;"&amp;G256,$I$17:$I$369,"&gt;="&amp;H256)+COUNTIFS($F$17:$F$369,"="&amp;G256,$I$17:$I$369,"&gt;"&amp;H256)-IF(OR(G256&gt;F256,I256&gt;H256),1,0)=0,"是","否")</x:f>
        <x:v>否</x:v>
      </x:c>
      <x:c r="M256" s="13" t="n">
        <x:f>1+COUNTIF($H$17:$H$369,"&gt;"&amp;I256)</x:f>
        <x:v>320</x:v>
      </x:c>
      <x:c r="N256" s="13" t="n">
        <x:f>COUNTIF($I$17:$I$369,"&gt;="&amp;H256)</x:f>
        <x:v>330</x:v>
      </x:c>
      <x:c r="O256" s="13" t="str">
        <x:v>I04 Table_1!D4968/P4968/U4968</x:v>
      </x:c>
    </x:row>
    <x:row r="257" ht="24" customHeight="1">
      <x:c r="A257" s="13" t="str">
        <x:v>M88031</x:v>
      </x:c>
      <x:c r="B257" s="13" t="str">
        <x:v>QUA</x:v>
      </x:c>
      <x:c r="C257" s="13" t="n">
        <x:v>42</x:v>
      </x:c>
      <x:c r="D257" s="30" t="n">
        <x:v>85.7</x:v>
      </x:c>
      <x:c r="E257" s="14" t="n">
        <x:f>C257*(1000-ROUND(D257*10,0))/1000</x:f>
        <x:v>6.006</x:v>
      </x:c>
      <x:c r="F257" s="14" t="n">
        <x:f>MAX(0,(ROUND(D257*100,0)-ROUND($B$3*100,0))/100)</x:f>
        <x:v>85.65</x:v>
      </x:c>
      <x:c r="G257" s="14" t="n">
        <x:f>MIN(100,(ROUND(D257*100,0)+ROUND($B$3*100,0))/100)</x:f>
        <x:v>85.75</x:v>
      </x:c>
      <x:c r="H257" s="40" t="n">
        <x:f>C257*(10000-ROUND(G257*100,0))/10000</x:f>
        <x:v>5.985</x:v>
      </x:c>
      <x:c r="I257" s="40" t="n">
        <x:f>C257*(10000-ROUND(F257*100,0))/10000</x:f>
        <x:v>6.027</x:v>
      </x:c>
      <x:c r="J257" s="13" t="str">
        <x:f>IF(COUNTIFS($D$17:$D$369,"&lt;"&amp;D257,$E$17:$E$369,"&gt;="&amp;E257)+COUNTIFS($D$17:$D$369,"="&amp;D257,$E$17:$E$369,"&gt;"&amp;E257)=0,"是","否")</x:f>
        <x:v>否</x:v>
      </x:c>
      <x:c r="K257" s="13" t="str">
        <x:f>IF(COUNTIFS($G$17:$G$369,"&lt;"&amp;F257,$H$17:$H$369,"&gt;="&amp;I257)+COUNTIFS($G$17:$G$369,"="&amp;F257,$H$17:$H$369,"&gt;"&amp;I257)=0,"是","否")</x:f>
        <x:v>否</x:v>
      </x:c>
      <x:c r="L257" s="13" t="str">
        <x:f>IF(COUNTIFS($F$17:$F$369,"&lt;"&amp;G257,$I$17:$I$369,"&gt;="&amp;H257)+COUNTIFS($F$17:$F$369,"="&amp;G257,$I$17:$I$369,"&gt;"&amp;H257)-IF(OR(G257&gt;F257,I257&gt;H257),1,0)=0,"是","否")</x:f>
        <x:v>否</x:v>
      </x:c>
      <x:c r="M257" s="13" t="n">
        <x:f>1+COUNTIF($H$17:$H$369,"&gt;"&amp;I257)</x:f>
        <x:v>286</x:v>
      </x:c>
      <x:c r="N257" s="13" t="n">
        <x:f>COUNTIF($I$17:$I$369,"&gt;="&amp;H257)</x:f>
        <x:v>301</x:v>
      </x:c>
      <x:c r="O257" s="13" t="str">
        <x:v>I04 Table_1!D4969/P4969/U4969</x:v>
      </x:c>
    </x:row>
    <x:row r="258" ht="24" customHeight="1">
      <x:c r="A258" s="13" t="str">
        <x:v>M88035</x:v>
      </x:c>
      <x:c r="B258" s="13" t="str">
        <x:v>QUA</x:v>
      </x:c>
      <x:c r="C258" s="13" t="n">
        <x:v>45</x:v>
      </x:c>
      <x:c r="D258" s="30" t="n">
        <x:v>77.8</x:v>
      </x:c>
      <x:c r="E258" s="14" t="n">
        <x:f>C258*(1000-ROUND(D258*10,0))/1000</x:f>
        <x:v>9.99</x:v>
      </x:c>
      <x:c r="F258" s="14" t="n">
        <x:f>MAX(0,(ROUND(D258*100,0)-ROUND($B$3*100,0))/100)</x:f>
        <x:v>77.75</x:v>
      </x:c>
      <x:c r="G258" s="14" t="n">
        <x:f>MIN(100,(ROUND(D258*100,0)+ROUND($B$3*100,0))/100)</x:f>
        <x:v>77.85</x:v>
      </x:c>
      <x:c r="H258" s="40" t="n">
        <x:f>C258*(10000-ROUND(G258*100,0))/10000</x:f>
        <x:v>9.9675</x:v>
      </x:c>
      <x:c r="I258" s="40" t="n">
        <x:f>C258*(10000-ROUND(F258*100,0))/10000</x:f>
        <x:v>10.0125</x:v>
      </x:c>
      <x:c r="J258" s="13" t="str">
        <x:f>IF(COUNTIFS($D$17:$D$369,"&lt;"&amp;D258,$E$17:$E$369,"&gt;="&amp;E258)+COUNTIFS($D$17:$D$369,"="&amp;D258,$E$17:$E$369,"&gt;"&amp;E258)=0,"是","否")</x:f>
        <x:v>否</x:v>
      </x:c>
      <x:c r="K258" s="13" t="str">
        <x:f>IF(COUNTIFS($G$17:$G$369,"&lt;"&amp;F258,$H$17:$H$369,"&gt;="&amp;I258)+COUNTIFS($G$17:$G$369,"="&amp;F258,$H$17:$H$369,"&gt;"&amp;I258)=0,"是","否")</x:f>
        <x:v>否</x:v>
      </x:c>
      <x:c r="L258" s="13" t="str">
        <x:f>IF(COUNTIFS($F$17:$F$369,"&lt;"&amp;G258,$I$17:$I$369,"&gt;="&amp;H258)+COUNTIFS($F$17:$F$369,"="&amp;G258,$I$17:$I$369,"&gt;"&amp;H258)-IF(OR(G258&gt;F258,I258&gt;H258),1,0)=0,"是","否")</x:f>
        <x:v>否</x:v>
      </x:c>
      <x:c r="M258" s="13" t="n">
        <x:f>1+COUNTIF($H$17:$H$369,"&gt;"&amp;I258)</x:f>
        <x:v>231</x:v>
      </x:c>
      <x:c r="N258" s="13" t="n">
        <x:f>COUNTIF($I$17:$I$369,"&gt;="&amp;H258)</x:f>
        <x:v>243</x:v>
      </x:c>
      <x:c r="O258" s="13" t="str">
        <x:v>I04 Table_1!D4970/P4970/U4970</x:v>
      </x:c>
    </x:row>
    <x:row r="259" ht="24" customHeight="1">
      <x:c r="A259" s="13" t="str">
        <x:v>M88038</x:v>
      </x:c>
      <x:c r="B259" s="13" t="str">
        <x:v>QUA</x:v>
      </x:c>
      <x:c r="C259" s="13" t="n">
        <x:v>151</x:v>
      </x:c>
      <x:c r="D259" s="30" t="n">
        <x:v>75.5</x:v>
      </x:c>
      <x:c r="E259" s="14" t="n">
        <x:f>C259*(1000-ROUND(D259*10,0))/1000</x:f>
        <x:v>36.995</x:v>
      </x:c>
      <x:c r="F259" s="14" t="n">
        <x:f>MAX(0,(ROUND(D259*100,0)-ROUND($B$3*100,0))/100)</x:f>
        <x:v>75.45</x:v>
      </x:c>
      <x:c r="G259" s="14" t="n">
        <x:f>MIN(100,(ROUND(D259*100,0)+ROUND($B$3*100,0))/100)</x:f>
        <x:v>75.55</x:v>
      </x:c>
      <x:c r="H259" s="40" t="n">
        <x:f>C259*(10000-ROUND(G259*100,0))/10000</x:f>
        <x:v>36.9195</x:v>
      </x:c>
      <x:c r="I259" s="40" t="n">
        <x:f>C259*(10000-ROUND(F259*100,0))/10000</x:f>
        <x:v>37.0705</x:v>
      </x:c>
      <x:c r="J259" s="13" t="str">
        <x:f>IF(COUNTIFS($D$17:$D$369,"&lt;"&amp;D259,$E$17:$E$369,"&gt;="&amp;E259)+COUNTIFS($D$17:$D$369,"="&amp;D259,$E$17:$E$369,"&gt;"&amp;E259)=0,"是","否")</x:f>
        <x:v>否</x:v>
      </x:c>
      <x:c r="K259" s="13" t="str">
        <x:f>IF(COUNTIFS($G$17:$G$369,"&lt;"&amp;F259,$H$17:$H$369,"&gt;="&amp;I259)+COUNTIFS($G$17:$G$369,"="&amp;F259,$H$17:$H$369,"&gt;"&amp;I259)=0,"是","否")</x:f>
        <x:v>否</x:v>
      </x:c>
      <x:c r="L259" s="13" t="str">
        <x:f>IF(COUNTIFS($F$17:$F$369,"&lt;"&amp;G259,$I$17:$I$369,"&gt;="&amp;H259)+COUNTIFS($F$17:$F$369,"="&amp;G259,$I$17:$I$369,"&gt;"&amp;H259)-IF(OR(G259&gt;F259,I259&gt;H259),1,0)=0,"是","否")</x:f>
        <x:v>否</x:v>
      </x:c>
      <x:c r="M259" s="13" t="n">
        <x:f>1+COUNTIF($H$17:$H$369,"&gt;"&amp;I259)</x:f>
        <x:v>47</x:v>
      </x:c>
      <x:c r="N259" s="13" t="n">
        <x:f>COUNTIF($I$17:$I$369,"&gt;="&amp;H259)</x:f>
        <x:v>51</x:v>
      </x:c>
      <x:c r="O259" s="13" t="str">
        <x:v>I04 Table_1!D4971/P4971/U4971</x:v>
      </x:c>
    </x:row>
    <x:row r="260" ht="24" customHeight="1">
      <x:c r="A260" s="13" t="str">
        <x:v>M88040</x:v>
      </x:c>
      <x:c r="B260" s="13" t="str">
        <x:v>QUA</x:v>
      </x:c>
      <x:c r="C260" s="13" t="n">
        <x:v>77</x:v>
      </x:c>
      <x:c r="D260" s="30" t="n">
        <x:v>75.3</x:v>
      </x:c>
      <x:c r="E260" s="14" t="n">
        <x:f>C260*(1000-ROUND(D260*10,0))/1000</x:f>
        <x:v>19.019</x:v>
      </x:c>
      <x:c r="F260" s="14" t="n">
        <x:f>MAX(0,(ROUND(D260*100,0)-ROUND($B$3*100,0))/100)</x:f>
        <x:v>75.25</x:v>
      </x:c>
      <x:c r="G260" s="14" t="n">
        <x:f>MIN(100,(ROUND(D260*100,0)+ROUND($B$3*100,0))/100)</x:f>
        <x:v>75.35</x:v>
      </x:c>
      <x:c r="H260" s="40" t="n">
        <x:f>C260*(10000-ROUND(G260*100,0))/10000</x:f>
        <x:v>18.9805</x:v>
      </x:c>
      <x:c r="I260" s="40" t="n">
        <x:f>C260*(10000-ROUND(F260*100,0))/10000</x:f>
        <x:v>19.0575</x:v>
      </x:c>
      <x:c r="J260" s="13" t="str">
        <x:f>IF(COUNTIFS($D$17:$D$369,"&lt;"&amp;D260,$E$17:$E$369,"&gt;="&amp;E260)+COUNTIFS($D$17:$D$369,"="&amp;D260,$E$17:$E$369,"&gt;"&amp;E260)=0,"是","否")</x:f>
        <x:v>否</x:v>
      </x:c>
      <x:c r="K260" s="13" t="str">
        <x:f>IF(COUNTIFS($G$17:$G$369,"&lt;"&amp;F260,$H$17:$H$369,"&gt;="&amp;I260)+COUNTIFS($G$17:$G$369,"="&amp;F260,$H$17:$H$369,"&gt;"&amp;I260)=0,"是","否")</x:f>
        <x:v>否</x:v>
      </x:c>
      <x:c r="L260" s="13" t="str">
        <x:f>IF(COUNTIFS($F$17:$F$369,"&lt;"&amp;G260,$I$17:$I$369,"&gt;="&amp;H260)+COUNTIFS($F$17:$F$369,"="&amp;G260,$I$17:$I$369,"&gt;"&amp;H260)-IF(OR(G260&gt;F260,I260&gt;H260),1,0)=0,"是","否")</x:f>
        <x:v>否</x:v>
      </x:c>
      <x:c r="M260" s="13" t="n">
        <x:f>1+COUNTIF($H$17:$H$369,"&gt;"&amp;I260)</x:f>
        <x:v>142</x:v>
      </x:c>
      <x:c r="N260" s="13" t="n">
        <x:f>COUNTIF($I$17:$I$369,"&gt;="&amp;H260)</x:f>
        <x:v>151</x:v>
      </x:c>
      <x:c r="O260" s="13" t="str">
        <x:v>I04 Table_1!D4972/P4972/U4972</x:v>
      </x:c>
    </x:row>
    <x:row r="261" ht="24" customHeight="1">
      <x:c r="A261" s="13" t="str">
        <x:v>M88041</x:v>
      </x:c>
      <x:c r="B261" s="13" t="str">
        <x:v>QUA</x:v>
      </x:c>
      <x:c r="C261" s="13" t="n">
        <x:v>46</x:v>
      </x:c>
      <x:c r="D261" s="30" t="n">
        <x:v>91.3</x:v>
      </x:c>
      <x:c r="E261" s="14" t="n">
        <x:f>C261*(1000-ROUND(D261*10,0))/1000</x:f>
        <x:v>4.002</x:v>
      </x:c>
      <x:c r="F261" s="14" t="n">
        <x:f>MAX(0,(ROUND(D261*100,0)-ROUND($B$3*100,0))/100)</x:f>
        <x:v>91.25</x:v>
      </x:c>
      <x:c r="G261" s="14" t="n">
        <x:f>MIN(100,(ROUND(D261*100,0)+ROUND($B$3*100,0))/100)</x:f>
        <x:v>91.35</x:v>
      </x:c>
      <x:c r="H261" s="40" t="n">
        <x:f>C261*(10000-ROUND(G261*100,0))/10000</x:f>
        <x:v>3.979</x:v>
      </x:c>
      <x:c r="I261" s="40" t="n">
        <x:f>C261*(10000-ROUND(F261*100,0))/10000</x:f>
        <x:v>4.025</x:v>
      </x:c>
      <x:c r="J261" s="13" t="str">
        <x:f>IF(COUNTIFS($D$17:$D$369,"&lt;"&amp;D261,$E$17:$E$369,"&gt;="&amp;E261)+COUNTIFS($D$17:$D$369,"="&amp;D261,$E$17:$E$369,"&gt;"&amp;E261)=0,"是","否")</x:f>
        <x:v>否</x:v>
      </x:c>
      <x:c r="K261" s="13" t="str">
        <x:f>IF(COUNTIFS($G$17:$G$369,"&lt;"&amp;F261,$H$17:$H$369,"&gt;="&amp;I261)+COUNTIFS($G$17:$G$369,"="&amp;F261,$H$17:$H$369,"&gt;"&amp;I261)=0,"是","否")</x:f>
        <x:v>否</x:v>
      </x:c>
      <x:c r="L261" s="13" t="str">
        <x:f>IF(COUNTIFS($F$17:$F$369,"&lt;"&amp;G261,$I$17:$I$369,"&gt;="&amp;H261)+COUNTIFS($F$17:$F$369,"="&amp;G261,$I$17:$I$369,"&gt;"&amp;H261)-IF(OR(G261&gt;F261,I261&gt;H261),1,0)=0,"是","否")</x:f>
        <x:v>否</x:v>
      </x:c>
      <x:c r="M261" s="13" t="n">
        <x:f>1+COUNTIF($H$17:$H$369,"&gt;"&amp;I261)</x:f>
        <x:v>320</x:v>
      </x:c>
      <x:c r="N261" s="13" t="n">
        <x:f>COUNTIF($I$17:$I$369,"&gt;="&amp;H261)</x:f>
        <x:v>330</x:v>
      </x:c>
      <x:c r="O261" s="13" t="str">
        <x:v>I04 Table_1!D4973/P4973/U4973</x:v>
      </x:c>
    </x:row>
    <x:row r="262" ht="24" customHeight="1">
      <x:c r="A262" s="13" t="str">
        <x:v>M88042</x:v>
      </x:c>
      <x:c r="B262" s="13" t="str">
        <x:v>QUA</x:v>
      </x:c>
      <x:c r="C262" s="13" t="n">
        <x:v>68</x:v>
      </x:c>
      <x:c r="D262" s="30" t="n">
        <x:v>77.9</x:v>
      </x:c>
      <x:c r="E262" s="14" t="n">
        <x:f>C262*(1000-ROUND(D262*10,0))/1000</x:f>
        <x:v>15.028</x:v>
      </x:c>
      <x:c r="F262" s="14" t="n">
        <x:f>MAX(0,(ROUND(D262*100,0)-ROUND($B$3*100,0))/100)</x:f>
        <x:v>77.85</x:v>
      </x:c>
      <x:c r="G262" s="14" t="n">
        <x:f>MIN(100,(ROUND(D262*100,0)+ROUND($B$3*100,0))/100)</x:f>
        <x:v>77.95</x:v>
      </x:c>
      <x:c r="H262" s="40" t="n">
        <x:f>C262*(10000-ROUND(G262*100,0))/10000</x:f>
        <x:v>14.994</x:v>
      </x:c>
      <x:c r="I262" s="40" t="n">
        <x:f>C262*(10000-ROUND(F262*100,0))/10000</x:f>
        <x:v>15.062</x:v>
      </x:c>
      <x:c r="J262" s="13" t="str">
        <x:f>IF(COUNTIFS($D$17:$D$369,"&lt;"&amp;D262,$E$17:$E$369,"&gt;="&amp;E262)+COUNTIFS($D$17:$D$369,"="&amp;D262,$E$17:$E$369,"&gt;"&amp;E262)=0,"是","否")</x:f>
        <x:v>否</x:v>
      </x:c>
      <x:c r="K262" s="13" t="str">
        <x:f>IF(COUNTIFS($G$17:$G$369,"&lt;"&amp;F262,$H$17:$H$369,"&gt;="&amp;I262)+COUNTIFS($G$17:$G$369,"="&amp;F262,$H$17:$H$369,"&gt;"&amp;I262)=0,"是","否")</x:f>
        <x:v>否</x:v>
      </x:c>
      <x:c r="L262" s="13" t="str">
        <x:f>IF(COUNTIFS($F$17:$F$369,"&lt;"&amp;G262,$I$17:$I$369,"&gt;="&amp;H262)+COUNTIFS($F$17:$F$369,"="&amp;G262,$I$17:$I$369,"&gt;"&amp;H262)-IF(OR(G262&gt;F262,I262&gt;H262),1,0)=0,"是","否")</x:f>
        <x:v>否</x:v>
      </x:c>
      <x:c r="M262" s="13" t="n">
        <x:f>1+COUNTIF($H$17:$H$369,"&gt;"&amp;I262)</x:f>
        <x:v>177</x:v>
      </x:c>
      <x:c r="N262" s="13" t="n">
        <x:f>COUNTIF($I$17:$I$369,"&gt;="&amp;H262)</x:f>
        <x:v>189</x:v>
      </x:c>
      <x:c r="O262" s="13" t="str">
        <x:v>I04 Table_1!D4974/P4974/U4974</x:v>
      </x:c>
    </x:row>
    <x:row r="263" ht="24" customHeight="1">
      <x:c r="A263" s="13" t="str">
        <x:v>M88043</x:v>
      </x:c>
      <x:c r="B263" s="13" t="str">
        <x:v>QUA</x:v>
      </x:c>
      <x:c r="C263" s="13" t="n">
        <x:v>115</x:v>
      </x:c>
      <x:c r="D263" s="30" t="n">
        <x:v>87</x:v>
      </x:c>
      <x:c r="E263" s="14" t="n">
        <x:f>C263*(1000-ROUND(D263*10,0))/1000</x:f>
        <x:v>14.95</x:v>
      </x:c>
      <x:c r="F263" s="14" t="n">
        <x:f>MAX(0,(ROUND(D263*100,0)-ROUND($B$3*100,0))/100)</x:f>
        <x:v>86.95</x:v>
      </x:c>
      <x:c r="G263" s="14" t="n">
        <x:f>MIN(100,(ROUND(D263*100,0)+ROUND($B$3*100,0))/100)</x:f>
        <x:v>87.05</x:v>
      </x:c>
      <x:c r="H263" s="40" t="n">
        <x:f>C263*(10000-ROUND(G263*100,0))/10000</x:f>
        <x:v>14.8925</x:v>
      </x:c>
      <x:c r="I263" s="40" t="n">
        <x:f>C263*(10000-ROUND(F263*100,0))/10000</x:f>
        <x:v>15.0075</x:v>
      </x:c>
      <x:c r="J263" s="13" t="str">
        <x:f>IF(COUNTIFS($D$17:$D$369,"&lt;"&amp;D263,$E$17:$E$369,"&gt;="&amp;E263)+COUNTIFS($D$17:$D$369,"="&amp;D263,$E$17:$E$369,"&gt;"&amp;E263)=0,"是","否")</x:f>
        <x:v>否</x:v>
      </x:c>
      <x:c r="K263" s="13" t="str">
        <x:f>IF(COUNTIFS($G$17:$G$369,"&lt;"&amp;F263,$H$17:$H$369,"&gt;="&amp;I263)+COUNTIFS($G$17:$G$369,"="&amp;F263,$H$17:$H$369,"&gt;"&amp;I263)=0,"是","否")</x:f>
        <x:v>否</x:v>
      </x:c>
      <x:c r="L263" s="13" t="str">
        <x:f>IF(COUNTIFS($F$17:$F$369,"&lt;"&amp;G263,$I$17:$I$369,"&gt;="&amp;H263)+COUNTIFS($F$17:$F$369,"="&amp;G263,$I$17:$I$369,"&gt;"&amp;H263)-IF(OR(G263&gt;F263,I263&gt;H263),1,0)=0,"是","否")</x:f>
        <x:v>否</x:v>
      </x:c>
      <x:c r="M263" s="13" t="n">
        <x:f>1+COUNTIF($H$17:$H$369,"&gt;"&amp;I263)</x:f>
        <x:v>177</x:v>
      </x:c>
      <x:c r="N263" s="13" t="n">
        <x:f>COUNTIF($I$17:$I$369,"&gt;="&amp;H263)</x:f>
        <x:v>189</x:v>
      </x:c>
      <x:c r="O263" s="13" t="str">
        <x:v>I04 Table_1!D4975/P4975/U4975</x:v>
      </x:c>
    </x:row>
    <x:row r="264" ht="24" customHeight="1">
      <x:c r="A264" s="13" t="str">
        <x:v>M88600</x:v>
      </x:c>
      <x:c r="B264" s="13" t="str">
        <x:v>QUA</x:v>
      </x:c>
      <x:c r="C264" s="13" t="n">
        <x:v>66</x:v>
      </x:c>
      <x:c r="D264" s="30" t="n">
        <x:v>84.8</x:v>
      </x:c>
      <x:c r="E264" s="14" t="n">
        <x:f>C264*(1000-ROUND(D264*10,0))/1000</x:f>
        <x:v>10.032</x:v>
      </x:c>
      <x:c r="F264" s="14" t="n">
        <x:f>MAX(0,(ROUND(D264*100,0)-ROUND($B$3*100,0))/100)</x:f>
        <x:v>84.75</x:v>
      </x:c>
      <x:c r="G264" s="14" t="n">
        <x:f>MIN(100,(ROUND(D264*100,0)+ROUND($B$3*100,0))/100)</x:f>
        <x:v>84.85</x:v>
      </x:c>
      <x:c r="H264" s="40" t="n">
        <x:f>C264*(10000-ROUND(G264*100,0))/10000</x:f>
        <x:v>9.999</x:v>
      </x:c>
      <x:c r="I264" s="40" t="n">
        <x:f>C264*(10000-ROUND(F264*100,0))/10000</x:f>
        <x:v>10.065</x:v>
      </x:c>
      <x:c r="J264" s="13" t="str">
        <x:f>IF(COUNTIFS($D$17:$D$369,"&lt;"&amp;D264,$E$17:$E$369,"&gt;="&amp;E264)+COUNTIFS($D$17:$D$369,"="&amp;D264,$E$17:$E$369,"&gt;"&amp;E264)=0,"是","否")</x:f>
        <x:v>否</x:v>
      </x:c>
      <x:c r="K264" s="13" t="str">
        <x:f>IF(COUNTIFS($G$17:$G$369,"&lt;"&amp;F264,$H$17:$H$369,"&gt;="&amp;I264)+COUNTIFS($G$17:$G$369,"="&amp;F264,$H$17:$H$369,"&gt;"&amp;I264)=0,"是","否")</x:f>
        <x:v>否</x:v>
      </x:c>
      <x:c r="L264" s="13" t="str">
        <x:f>IF(COUNTIFS($F$17:$F$369,"&lt;"&amp;G264,$I$17:$I$369,"&gt;="&amp;H264)+COUNTIFS($F$17:$F$369,"="&amp;G264,$I$17:$I$369,"&gt;"&amp;H264)-IF(OR(G264&gt;F264,I264&gt;H264),1,0)=0,"是","否")</x:f>
        <x:v>否</x:v>
      </x:c>
      <x:c r="M264" s="13" t="n">
        <x:f>1+COUNTIF($H$17:$H$369,"&gt;"&amp;I264)</x:f>
        <x:v>231</x:v>
      </x:c>
      <x:c r="N264" s="13" t="n">
        <x:f>COUNTIF($I$17:$I$369,"&gt;="&amp;H264)</x:f>
        <x:v>243</x:v>
      </x:c>
      <x:c r="O264" s="13" t="str">
        <x:v>I04 Table_1!D4976/P4976/U4976</x:v>
      </x:c>
    </x:row>
    <x:row r="265" ht="24" customHeight="1">
      <x:c r="A265" s="13" t="str">
        <x:v>M88610</x:v>
      </x:c>
      <x:c r="B265" s="13" t="str">
        <x:v>QUA</x:v>
      </x:c>
      <x:c r="C265" s="13" t="n">
        <x:v>73</x:v>
      </x:c>
      <x:c r="D265" s="30" t="n">
        <x:v>79.5</x:v>
      </x:c>
      <x:c r="E265" s="14" t="n">
        <x:f>C265*(1000-ROUND(D265*10,0))/1000</x:f>
        <x:v>14.965</x:v>
      </x:c>
      <x:c r="F265" s="14" t="n">
        <x:f>MAX(0,(ROUND(D265*100,0)-ROUND($B$3*100,0))/100)</x:f>
        <x:v>79.45</x:v>
      </x:c>
      <x:c r="G265" s="14" t="n">
        <x:f>MIN(100,(ROUND(D265*100,0)+ROUND($B$3*100,0))/100)</x:f>
        <x:v>79.55</x:v>
      </x:c>
      <x:c r="H265" s="40" t="n">
        <x:f>C265*(10000-ROUND(G265*100,0))/10000</x:f>
        <x:v>14.9285</x:v>
      </x:c>
      <x:c r="I265" s="40" t="n">
        <x:f>C265*(10000-ROUND(F265*100,0))/10000</x:f>
        <x:v>15.0015</x:v>
      </x:c>
      <x:c r="J265" s="13" t="str">
        <x:f>IF(COUNTIFS($D$17:$D$369,"&lt;"&amp;D265,$E$17:$E$369,"&gt;="&amp;E265)+COUNTIFS($D$17:$D$369,"="&amp;D265,$E$17:$E$369,"&gt;"&amp;E265)=0,"是","否")</x:f>
        <x:v>否</x:v>
      </x:c>
      <x:c r="K265" s="13" t="str">
        <x:f>IF(COUNTIFS($G$17:$G$369,"&lt;"&amp;F265,$H$17:$H$369,"&gt;="&amp;I265)+COUNTIFS($G$17:$G$369,"="&amp;F265,$H$17:$H$369,"&gt;"&amp;I265)=0,"是","否")</x:f>
        <x:v>否</x:v>
      </x:c>
      <x:c r="L265" s="13" t="str">
        <x:f>IF(COUNTIFS($F$17:$F$369,"&lt;"&amp;G265,$I$17:$I$369,"&gt;="&amp;H265)+COUNTIFS($F$17:$F$369,"="&amp;G265,$I$17:$I$369,"&gt;"&amp;H265)-IF(OR(G265&gt;F265,I265&gt;H265),1,0)=0,"是","否")</x:f>
        <x:v>否</x:v>
      </x:c>
      <x:c r="M265" s="13" t="n">
        <x:f>1+COUNTIF($H$17:$H$369,"&gt;"&amp;I265)</x:f>
        <x:v>177</x:v>
      </x:c>
      <x:c r="N265" s="13" t="n">
        <x:f>COUNTIF($I$17:$I$369,"&gt;="&amp;H265)</x:f>
        <x:v>189</x:v>
      </x:c>
      <x:c r="O265" s="13" t="str">
        <x:v>I04 Table_1!D4977/P4977/U4977</x:v>
      </x:c>
    </x:row>
    <x:row r="266" ht="24" customHeight="1">
      <x:c r="A266" s="13" t="str">
        <x:v>M88612</x:v>
      </x:c>
      <x:c r="B266" s="13" t="str">
        <x:v>QUA</x:v>
      </x:c>
      <x:c r="C266" s="13" t="n">
        <x:v>42</x:v>
      </x:c>
      <x:c r="D266" s="30" t="n">
        <x:v>83.3</x:v>
      </x:c>
      <x:c r="E266" s="14" t="n">
        <x:f>C266*(1000-ROUND(D266*10,0))/1000</x:f>
        <x:v>7.014</x:v>
      </x:c>
      <x:c r="F266" s="14" t="n">
        <x:f>MAX(0,(ROUND(D266*100,0)-ROUND($B$3*100,0))/100)</x:f>
        <x:v>83.25</x:v>
      </x:c>
      <x:c r="G266" s="14" t="n">
        <x:f>MIN(100,(ROUND(D266*100,0)+ROUND($B$3*100,0))/100)</x:f>
        <x:v>83.35</x:v>
      </x:c>
      <x:c r="H266" s="40" t="n">
        <x:f>C266*(10000-ROUND(G266*100,0))/10000</x:f>
        <x:v>6.993</x:v>
      </x:c>
      <x:c r="I266" s="40" t="n">
        <x:f>C266*(10000-ROUND(F266*100,0))/10000</x:f>
        <x:v>7.035</x:v>
      </x:c>
      <x:c r="J266" s="13" t="str">
        <x:f>IF(COUNTIFS($D$17:$D$369,"&lt;"&amp;D266,$E$17:$E$369,"&gt;="&amp;E266)+COUNTIFS($D$17:$D$369,"="&amp;D266,$E$17:$E$369,"&gt;"&amp;E266)=0,"是","否")</x:f>
        <x:v>否</x:v>
      </x:c>
      <x:c r="K266" s="13" t="str">
        <x:f>IF(COUNTIFS($G$17:$G$369,"&lt;"&amp;F266,$H$17:$H$369,"&gt;="&amp;I266)+COUNTIFS($G$17:$G$369,"="&amp;F266,$H$17:$H$369,"&gt;"&amp;I266)=0,"是","否")</x:f>
        <x:v>否</x:v>
      </x:c>
      <x:c r="L266" s="13" t="str">
        <x:f>IF(COUNTIFS($F$17:$F$369,"&lt;"&amp;G266,$I$17:$I$369,"&gt;="&amp;H266)+COUNTIFS($F$17:$F$369,"="&amp;G266,$I$17:$I$369,"&gt;"&amp;H266)-IF(OR(G266&gt;F266,I266&gt;H266),1,0)=0,"是","否")</x:f>
        <x:v>否</x:v>
      </x:c>
      <x:c r="M266" s="13" t="n">
        <x:f>1+COUNTIF($H$17:$H$369,"&gt;"&amp;I266)</x:f>
        <x:v>272</x:v>
      </x:c>
      <x:c r="N266" s="13" t="n">
        <x:f>COUNTIF($I$17:$I$369,"&gt;="&amp;H266)</x:f>
        <x:v>285</x:v>
      </x:c>
      <x:c r="O266" s="13" t="str">
        <x:v>I04 Table_1!D4978/P4978/U4978</x:v>
      </x:c>
    </x:row>
    <x:row r="267" ht="24" customHeight="1">
      <x:c r="A267" s="13" t="str">
        <x:v>M88616</x:v>
      </x:c>
      <x:c r="B267" s="13" t="str">
        <x:v>QUA</x:v>
      </x:c>
      <x:c r="C267" s="13" t="n">
        <x:v>203</x:v>
      </x:c>
      <x:c r="D267" s="30" t="n">
        <x:v>74.9</x:v>
      </x:c>
      <x:c r="E267" s="14" t="n">
        <x:f>C267*(1000-ROUND(D267*10,0))/1000</x:f>
        <x:v>50.953</x:v>
      </x:c>
      <x:c r="F267" s="14" t="n">
        <x:f>MAX(0,(ROUND(D267*100,0)-ROUND($B$3*100,0))/100)</x:f>
        <x:v>74.85</x:v>
      </x:c>
      <x:c r="G267" s="14" t="n">
        <x:f>MIN(100,(ROUND(D267*100,0)+ROUND($B$3*100,0))/100)</x:f>
        <x:v>74.95</x:v>
      </x:c>
      <x:c r="H267" s="40" t="n">
        <x:f>C267*(10000-ROUND(G267*100,0))/10000</x:f>
        <x:v>50.8515</x:v>
      </x:c>
      <x:c r="I267" s="40" t="n">
        <x:f>C267*(10000-ROUND(F267*100,0))/10000</x:f>
        <x:v>51.0545</x:v>
      </x:c>
      <x:c r="J267" s="13" t="str">
        <x:f>IF(COUNTIFS($D$17:$D$369,"&lt;"&amp;D267,$E$17:$E$369,"&gt;="&amp;E267)+COUNTIFS($D$17:$D$369,"="&amp;D267,$E$17:$E$369,"&gt;"&amp;E267)=0,"是","否")</x:f>
        <x:v>否</x:v>
      </x:c>
      <x:c r="K267" s="13" t="str">
        <x:f>IF(COUNTIFS($G$17:$G$369,"&lt;"&amp;F267,$H$17:$H$369,"&gt;="&amp;I267)+COUNTIFS($G$17:$G$369,"="&amp;F267,$H$17:$H$369,"&gt;"&amp;I267)=0,"是","否")</x:f>
        <x:v>否</x:v>
      </x:c>
      <x:c r="L267" s="13" t="str">
        <x:f>IF(COUNTIFS($F$17:$F$369,"&lt;"&amp;G267,$I$17:$I$369,"&gt;="&amp;H267)+COUNTIFS($F$17:$F$369,"="&amp;G267,$I$17:$I$369,"&gt;"&amp;H267)-IF(OR(G267&gt;F267,I267&gt;H267),1,0)=0,"是","否")</x:f>
        <x:v>否</x:v>
      </x:c>
      <x:c r="M267" s="13" t="n">
        <x:f>1+COUNTIF($H$17:$H$369,"&gt;"&amp;I267)</x:f>
        <x:v>22</x:v>
      </x:c>
      <x:c r="N267" s="13" t="n">
        <x:f>COUNTIF($I$17:$I$369,"&gt;="&amp;H267)</x:f>
        <x:v>22</x:v>
      </x:c>
      <x:c r="O267" s="13" t="str">
        <x:v>I04 Table_1!D4979/P4979/U4979</x:v>
      </x:c>
    </x:row>
    <x:row r="268" ht="24" customHeight="1">
      <x:c r="A268" s="13" t="str">
        <x:v>M88618</x:v>
      </x:c>
      <x:c r="B268" s="13" t="str">
        <x:v>QUA</x:v>
      </x:c>
      <x:c r="C268" s="13" t="n">
        <x:v>26</x:v>
      </x:c>
      <x:c r="D268" s="30" t="n">
        <x:v>88.5</x:v>
      </x:c>
      <x:c r="E268" s="14" t="n">
        <x:f>C268*(1000-ROUND(D268*10,0))/1000</x:f>
        <x:v>2.99</x:v>
      </x:c>
      <x:c r="F268" s="14" t="n">
        <x:f>MAX(0,(ROUND(D268*100,0)-ROUND($B$3*100,0))/100)</x:f>
        <x:v>88.45</x:v>
      </x:c>
      <x:c r="G268" s="14" t="n">
        <x:f>MIN(100,(ROUND(D268*100,0)+ROUND($B$3*100,0))/100)</x:f>
        <x:v>88.55</x:v>
      </x:c>
      <x:c r="H268" s="40" t="n">
        <x:f>C268*(10000-ROUND(G268*100,0))/10000</x:f>
        <x:v>2.977</x:v>
      </x:c>
      <x:c r="I268" s="40" t="n">
        <x:f>C268*(10000-ROUND(F268*100,0))/10000</x:f>
        <x:v>3.003</x:v>
      </x:c>
      <x:c r="J268" s="13" t="str">
        <x:f>IF(COUNTIFS($D$17:$D$369,"&lt;"&amp;D268,$E$17:$E$369,"&gt;="&amp;E268)+COUNTIFS($D$17:$D$369,"="&amp;D268,$E$17:$E$369,"&gt;"&amp;E268)=0,"是","否")</x:f>
        <x:v>否</x:v>
      </x:c>
      <x:c r="K268" s="13" t="str">
        <x:f>IF(COUNTIFS($G$17:$G$369,"&lt;"&amp;F268,$H$17:$H$369,"&gt;="&amp;I268)+COUNTIFS($G$17:$G$369,"="&amp;F268,$H$17:$H$369,"&gt;"&amp;I268)=0,"是","否")</x:f>
        <x:v>否</x:v>
      </x:c>
      <x:c r="L268" s="13" t="str">
        <x:f>IF(COUNTIFS($F$17:$F$369,"&lt;"&amp;G268,$I$17:$I$369,"&gt;="&amp;H268)+COUNTIFS($F$17:$F$369,"="&amp;G268,$I$17:$I$369,"&gt;"&amp;H268)-IF(OR(G268&gt;F268,I268&gt;H268),1,0)=0,"是","否")</x:f>
        <x:v>否</x:v>
      </x:c>
      <x:c r="M268" s="13" t="n">
        <x:f>1+COUNTIF($H$17:$H$369,"&gt;"&amp;I268)</x:f>
        <x:v>331</x:v>
      </x:c>
      <x:c r="N268" s="13" t="n">
        <x:f>COUNTIF($I$17:$I$369,"&gt;="&amp;H268)</x:f>
        <x:v>341</x:v>
      </x:c>
      <x:c r="O268" s="13" t="str">
        <x:v>I04 Table_1!D4980/P4980/U4980</x:v>
      </x:c>
    </x:row>
    <x:row r="269" ht="24" customHeight="1">
      <x:c r="A269" s="13" t="str">
        <x:v>M88619</x:v>
      </x:c>
      <x:c r="B269" s="13" t="str">
        <x:v>QUA</x:v>
      </x:c>
      <x:c r="C269" s="13" t="n">
        <x:v>137</x:v>
      </x:c>
      <x:c r="D269" s="30" t="n">
        <x:v>82.5</x:v>
      </x:c>
      <x:c r="E269" s="14" t="n">
        <x:f>C269*(1000-ROUND(D269*10,0))/1000</x:f>
        <x:v>23.975</x:v>
      </x:c>
      <x:c r="F269" s="14" t="n">
        <x:f>MAX(0,(ROUND(D269*100,0)-ROUND($B$3*100,0))/100)</x:f>
        <x:v>82.45</x:v>
      </x:c>
      <x:c r="G269" s="14" t="n">
        <x:f>MIN(100,(ROUND(D269*100,0)+ROUND($B$3*100,0))/100)</x:f>
        <x:v>82.55</x:v>
      </x:c>
      <x:c r="H269" s="40" t="n">
        <x:f>C269*(10000-ROUND(G269*100,0))/10000</x:f>
        <x:v>23.9065</x:v>
      </x:c>
      <x:c r="I269" s="40" t="n">
        <x:f>C269*(10000-ROUND(F269*100,0))/10000</x:f>
        <x:v>24.0435</x:v>
      </x:c>
      <x:c r="J269" s="13" t="str">
        <x:f>IF(COUNTIFS($D$17:$D$369,"&lt;"&amp;D269,$E$17:$E$369,"&gt;="&amp;E269)+COUNTIFS($D$17:$D$369,"="&amp;D269,$E$17:$E$369,"&gt;"&amp;E269)=0,"是","否")</x:f>
        <x:v>否</x:v>
      </x:c>
      <x:c r="K269" s="13" t="str">
        <x:f>IF(COUNTIFS($G$17:$G$369,"&lt;"&amp;F269,$H$17:$H$369,"&gt;="&amp;I269)+COUNTIFS($G$17:$G$369,"="&amp;F269,$H$17:$H$369,"&gt;"&amp;I269)=0,"是","否")</x:f>
        <x:v>否</x:v>
      </x:c>
      <x:c r="L269" s="13" t="str">
        <x:f>IF(COUNTIFS($F$17:$F$369,"&lt;"&amp;G269,$I$17:$I$369,"&gt;="&amp;H269)+COUNTIFS($F$17:$F$369,"="&amp;G269,$I$17:$I$369,"&gt;"&amp;H269)-IF(OR(G269&gt;F269,I269&gt;H269),1,0)=0,"是","否")</x:f>
        <x:v>否</x:v>
      </x:c>
      <x:c r="M269" s="13" t="n">
        <x:f>1+COUNTIF($H$17:$H$369,"&gt;"&amp;I269)</x:f>
        <x:v>101</x:v>
      </x:c>
      <x:c r="N269" s="13" t="n">
        <x:f>COUNTIF($I$17:$I$369,"&gt;="&amp;H269)</x:f>
        <x:v>111</x:v>
      </x:c>
      <x:c r="O269" s="13" t="str">
        <x:v>I04 Table_1!D4981/P4981/U4981</x:v>
      </x:c>
    </x:row>
    <x:row r="270" ht="24" customHeight="1">
      <x:c r="A270" s="13" t="str">
        <x:v>M88620</x:v>
      </x:c>
      <x:c r="B270" s="13" t="str">
        <x:v>QUA</x:v>
      </x:c>
      <x:c r="C270" s="13" t="n">
        <x:v>40</x:v>
      </x:c>
      <x:c r="D270" s="30" t="n">
        <x:v>82.5</x:v>
      </x:c>
      <x:c r="E270" s="14" t="n">
        <x:f>C270*(1000-ROUND(D270*10,0))/1000</x:f>
        <x:v>7</x:v>
      </x:c>
      <x:c r="F270" s="14" t="n">
        <x:f>MAX(0,(ROUND(D270*100,0)-ROUND($B$3*100,0))/100)</x:f>
        <x:v>82.45</x:v>
      </x:c>
      <x:c r="G270" s="14" t="n">
        <x:f>MIN(100,(ROUND(D270*100,0)+ROUND($B$3*100,0))/100)</x:f>
        <x:v>82.55</x:v>
      </x:c>
      <x:c r="H270" s="40" t="n">
        <x:f>C270*(10000-ROUND(G270*100,0))/10000</x:f>
        <x:v>6.98</x:v>
      </x:c>
      <x:c r="I270" s="40" t="n">
        <x:f>C270*(10000-ROUND(F270*100,0))/10000</x:f>
        <x:v>7.02</x:v>
      </x:c>
      <x:c r="J270" s="13" t="str">
        <x:f>IF(COUNTIFS($D$17:$D$369,"&lt;"&amp;D270,$E$17:$E$369,"&gt;="&amp;E270)+COUNTIFS($D$17:$D$369,"="&amp;D270,$E$17:$E$369,"&gt;"&amp;E270)=0,"是","否")</x:f>
        <x:v>否</x:v>
      </x:c>
      <x:c r="K270" s="13" t="str">
        <x:f>IF(COUNTIFS($G$17:$G$369,"&lt;"&amp;F270,$H$17:$H$369,"&gt;="&amp;I270)+COUNTIFS($G$17:$G$369,"="&amp;F270,$H$17:$H$369,"&gt;"&amp;I270)=0,"是","否")</x:f>
        <x:v>否</x:v>
      </x:c>
      <x:c r="L270" s="13" t="str">
        <x:f>IF(COUNTIFS($F$17:$F$369,"&lt;"&amp;G270,$I$17:$I$369,"&gt;="&amp;H270)+COUNTIFS($F$17:$F$369,"="&amp;G270,$I$17:$I$369,"&gt;"&amp;H270)-IF(OR(G270&gt;F270,I270&gt;H270),1,0)=0,"是","否")</x:f>
        <x:v>否</x:v>
      </x:c>
      <x:c r="M270" s="13" t="n">
        <x:f>1+COUNTIF($H$17:$H$369,"&gt;"&amp;I270)</x:f>
        <x:v>272</x:v>
      </x:c>
      <x:c r="N270" s="13" t="n">
        <x:f>COUNTIF($I$17:$I$369,"&gt;="&amp;H270)</x:f>
        <x:v>285</x:v>
      </x:c>
      <x:c r="O270" s="13" t="str">
        <x:v>I04 Table_1!D4982/P4982/U4982</x:v>
      </x:c>
    </x:row>
    <x:row r="271" ht="24" customHeight="1">
      <x:c r="A271" s="13" t="str">
        <x:v>M88625</x:v>
      </x:c>
      <x:c r="B271" s="13" t="str">
        <x:v>QUA</x:v>
      </x:c>
      <x:c r="C271" s="13" t="n">
        <x:v>46</x:v>
      </x:c>
      <x:c r="D271" s="30" t="n">
        <x:v>69.6</x:v>
      </x:c>
      <x:c r="E271" s="14" t="n">
        <x:f>C271*(1000-ROUND(D271*10,0))/1000</x:f>
        <x:v>13.984</x:v>
      </x:c>
      <x:c r="F271" s="14" t="n">
        <x:f>MAX(0,(ROUND(D271*100,0)-ROUND($B$3*100,0))/100)</x:f>
        <x:v>69.55</x:v>
      </x:c>
      <x:c r="G271" s="14" t="n">
        <x:f>MIN(100,(ROUND(D271*100,0)+ROUND($B$3*100,0))/100)</x:f>
        <x:v>69.65</x:v>
      </x:c>
      <x:c r="H271" s="40" t="n">
        <x:f>C271*(10000-ROUND(G271*100,0))/10000</x:f>
        <x:v>13.961</x:v>
      </x:c>
      <x:c r="I271" s="40" t="n">
        <x:f>C271*(10000-ROUND(F271*100,0))/10000</x:f>
        <x:v>14.007</x:v>
      </x:c>
      <x:c r="J271" s="13" t="str">
        <x:f>IF(COUNTIFS($D$17:$D$369,"&lt;"&amp;D271,$E$17:$E$369,"&gt;="&amp;E271)+COUNTIFS($D$17:$D$369,"="&amp;D271,$E$17:$E$369,"&gt;"&amp;E271)=0,"是","否")</x:f>
        <x:v>否</x:v>
      </x:c>
      <x:c r="K271" s="13" t="str">
        <x:f>IF(COUNTIFS($G$17:$G$369,"&lt;"&amp;F271,$H$17:$H$369,"&gt;="&amp;I271)+COUNTIFS($G$17:$G$369,"="&amp;F271,$H$17:$H$369,"&gt;"&amp;I271)=0,"是","否")</x:f>
        <x:v>否</x:v>
      </x:c>
      <x:c r="L271" s="13" t="str">
        <x:f>IF(COUNTIFS($F$17:$F$369,"&lt;"&amp;G271,$I$17:$I$369,"&gt;="&amp;H271)+COUNTIFS($F$17:$F$369,"="&amp;G271,$I$17:$I$369,"&gt;"&amp;H271)-IF(OR(G271&gt;F271,I271&gt;H271),1,0)=0,"是","否")</x:f>
        <x:v>否</x:v>
      </x:c>
      <x:c r="M271" s="13" t="n">
        <x:f>1+COUNTIF($H$17:$H$369,"&gt;"&amp;I271)</x:f>
        <x:v>190</x:v>
      </x:c>
      <x:c r="N271" s="13" t="n">
        <x:f>COUNTIF($I$17:$I$369,"&gt;="&amp;H271)</x:f>
        <x:v>199</x:v>
      </x:c>
      <x:c r="O271" s="13" t="str">
        <x:v>I04 Table_1!D4983/P4983/U4983</x:v>
      </x:c>
    </x:row>
    <x:row r="272" ht="24" customHeight="1">
      <x:c r="A272" s="13" t="str">
        <x:v>M88626</x:v>
      </x:c>
      <x:c r="B272" s="13" t="str">
        <x:v>QUA</x:v>
      </x:c>
      <x:c r="C272" s="13" t="n">
        <x:v>32</x:v>
      </x:c>
      <x:c r="D272" s="30" t="n">
        <x:v>62.5</x:v>
      </x:c>
      <x:c r="E272" s="14" t="n">
        <x:f>C272*(1000-ROUND(D272*10,0))/1000</x:f>
        <x:v>12</x:v>
      </x:c>
      <x:c r="F272" s="14" t="n">
        <x:f>MAX(0,(ROUND(D272*100,0)-ROUND($B$3*100,0))/100)</x:f>
        <x:v>62.45</x:v>
      </x:c>
      <x:c r="G272" s="14" t="n">
        <x:f>MIN(100,(ROUND(D272*100,0)+ROUND($B$3*100,0))/100)</x:f>
        <x:v>62.55</x:v>
      </x:c>
      <x:c r="H272" s="40" t="n">
        <x:f>C272*(10000-ROUND(G272*100,0))/10000</x:f>
        <x:v>11.984</x:v>
      </x:c>
      <x:c r="I272" s="40" t="n">
        <x:f>C272*(10000-ROUND(F272*100,0))/10000</x:f>
        <x:v>12.016</x:v>
      </x:c>
      <x:c r="J272" s="13" t="str">
        <x:f>IF(COUNTIFS($D$17:$D$369,"&lt;"&amp;D272,$E$17:$E$369,"&gt;="&amp;E272)+COUNTIFS($D$17:$D$369,"="&amp;D272,$E$17:$E$369,"&gt;"&amp;E272)=0,"是","否")</x:f>
        <x:v>否</x:v>
      </x:c>
      <x:c r="K272" s="13" t="str">
        <x:f>IF(COUNTIFS($G$17:$G$369,"&lt;"&amp;F272,$H$17:$H$369,"&gt;="&amp;I272)+COUNTIFS($G$17:$G$369,"="&amp;F272,$H$17:$H$369,"&gt;"&amp;I272)=0,"是","否")</x:f>
        <x:v>否</x:v>
      </x:c>
      <x:c r="L272" s="13" t="str">
        <x:f>IF(COUNTIFS($F$17:$F$369,"&lt;"&amp;G272,$I$17:$I$369,"&gt;="&amp;H272)+COUNTIFS($F$17:$F$369,"="&amp;G272,$I$17:$I$369,"&gt;"&amp;H272)-IF(OR(G272&gt;F272,I272&gt;H272),1,0)=0,"是","否")</x:f>
        <x:v>否</x:v>
      </x:c>
      <x:c r="M272" s="13" t="n">
        <x:f>1+COUNTIF($H$17:$H$369,"&gt;"&amp;I272)</x:f>
        <x:v>213</x:v>
      </x:c>
      <x:c r="N272" s="13" t="n">
        <x:f>COUNTIF($I$17:$I$369,"&gt;="&amp;H272)</x:f>
        <x:v>221</x:v>
      </x:c>
      <x:c r="O272" s="13" t="str">
        <x:v>I04 Table_1!D4984/P4984/U4984</x:v>
      </x:c>
    </x:row>
    <x:row r="273" ht="24" customHeight="1">
      <x:c r="A273" s="13" t="str">
        <x:v>M88628</x:v>
      </x:c>
      <x:c r="B273" s="13" t="str">
        <x:v>QUA</x:v>
      </x:c>
      <x:c r="C273" s="13" t="n">
        <x:v>32</x:v>
      </x:c>
      <x:c r="D273" s="30" t="n">
        <x:v>84.4</x:v>
      </x:c>
      <x:c r="E273" s="14" t="n">
        <x:f>C273*(1000-ROUND(D273*10,0))/1000</x:f>
        <x:v>4.992</x:v>
      </x:c>
      <x:c r="F273" s="14" t="n">
        <x:f>MAX(0,(ROUND(D273*100,0)-ROUND($B$3*100,0))/100)</x:f>
        <x:v>84.35</x:v>
      </x:c>
      <x:c r="G273" s="14" t="n">
        <x:f>MIN(100,(ROUND(D273*100,0)+ROUND($B$3*100,0))/100)</x:f>
        <x:v>84.45</x:v>
      </x:c>
      <x:c r="H273" s="40" t="n">
        <x:f>C273*(10000-ROUND(G273*100,0))/10000</x:f>
        <x:v>4.976</x:v>
      </x:c>
      <x:c r="I273" s="40" t="n">
        <x:f>C273*(10000-ROUND(F273*100,0))/10000</x:f>
        <x:v>5.008</x:v>
      </x:c>
      <x:c r="J273" s="13" t="str">
        <x:f>IF(COUNTIFS($D$17:$D$369,"&lt;"&amp;D273,$E$17:$E$369,"&gt;="&amp;E273)+COUNTIFS($D$17:$D$369,"="&amp;D273,$E$17:$E$369,"&gt;"&amp;E273)=0,"是","否")</x:f>
        <x:v>否</x:v>
      </x:c>
      <x:c r="K273" s="13" t="str">
        <x:f>IF(COUNTIFS($G$17:$G$369,"&lt;"&amp;F273,$H$17:$H$369,"&gt;="&amp;I273)+COUNTIFS($G$17:$G$369,"="&amp;F273,$H$17:$H$369,"&gt;"&amp;I273)=0,"是","否")</x:f>
        <x:v>否</x:v>
      </x:c>
      <x:c r="L273" s="13" t="str">
        <x:f>IF(COUNTIFS($F$17:$F$369,"&lt;"&amp;G273,$I$17:$I$369,"&gt;="&amp;H273)+COUNTIFS($F$17:$F$369,"="&amp;G273,$I$17:$I$369,"&gt;"&amp;H273)-IF(OR(G273&gt;F273,I273&gt;H273),1,0)=0,"是","否")</x:f>
        <x:v>否</x:v>
      </x:c>
      <x:c r="M273" s="13" t="n">
        <x:f>1+COUNTIF($H$17:$H$369,"&gt;"&amp;I273)</x:f>
        <x:v>302</x:v>
      </x:c>
      <x:c r="N273" s="13" t="n">
        <x:f>COUNTIF($I$17:$I$369,"&gt;="&amp;H273)</x:f>
        <x:v>319</x:v>
      </x:c>
      <x:c r="O273" s="13" t="str">
        <x:v>I04 Table_1!D4985/P4985/U4985</x:v>
      </x:c>
    </x:row>
    <x:row r="274" ht="24" customHeight="1">
      <x:c r="A274" s="13" t="str">
        <x:v>M88630</x:v>
      </x:c>
      <x:c r="B274" s="13" t="str">
        <x:v>QUA</x:v>
      </x:c>
      <x:c r="C274" s="13" t="n">
        <x:v>58</x:v>
      </x:c>
      <x:c r="D274" s="30" t="n">
        <x:v>74.1</x:v>
      </x:c>
      <x:c r="E274" s="14" t="n">
        <x:f>C274*(1000-ROUND(D274*10,0))/1000</x:f>
        <x:v>15.022</x:v>
      </x:c>
      <x:c r="F274" s="14" t="n">
        <x:f>MAX(0,(ROUND(D274*100,0)-ROUND($B$3*100,0))/100)</x:f>
        <x:v>74.05</x:v>
      </x:c>
      <x:c r="G274" s="14" t="n">
        <x:f>MIN(100,(ROUND(D274*100,0)+ROUND($B$3*100,0))/100)</x:f>
        <x:v>74.15</x:v>
      </x:c>
      <x:c r="H274" s="40" t="n">
        <x:f>C274*(10000-ROUND(G274*100,0))/10000</x:f>
        <x:v>14.993</x:v>
      </x:c>
      <x:c r="I274" s="40" t="n">
        <x:f>C274*(10000-ROUND(F274*100,0))/10000</x:f>
        <x:v>15.051</x:v>
      </x:c>
      <x:c r="J274" s="13" t="str">
        <x:f>IF(COUNTIFS($D$17:$D$369,"&lt;"&amp;D274,$E$17:$E$369,"&gt;="&amp;E274)+COUNTIFS($D$17:$D$369,"="&amp;D274,$E$17:$E$369,"&gt;"&amp;E274)=0,"是","否")</x:f>
        <x:v>否</x:v>
      </x:c>
      <x:c r="K274" s="13" t="str">
        <x:f>IF(COUNTIFS($G$17:$G$369,"&lt;"&amp;F274,$H$17:$H$369,"&gt;="&amp;I274)+COUNTIFS($G$17:$G$369,"="&amp;F274,$H$17:$H$369,"&gt;"&amp;I274)=0,"是","否")</x:f>
        <x:v>否</x:v>
      </x:c>
      <x:c r="L274" s="13" t="str">
        <x:f>IF(COUNTIFS($F$17:$F$369,"&lt;"&amp;G274,$I$17:$I$369,"&gt;="&amp;H274)+COUNTIFS($F$17:$F$369,"="&amp;G274,$I$17:$I$369,"&gt;"&amp;H274)-IF(OR(G274&gt;F274,I274&gt;H274),1,0)=0,"是","否")</x:f>
        <x:v>否</x:v>
      </x:c>
      <x:c r="M274" s="13" t="n">
        <x:f>1+COUNTIF($H$17:$H$369,"&gt;"&amp;I274)</x:f>
        <x:v>177</x:v>
      </x:c>
      <x:c r="N274" s="13" t="n">
        <x:f>COUNTIF($I$17:$I$369,"&gt;="&amp;H274)</x:f>
        <x:v>189</x:v>
      </x:c>
      <x:c r="O274" s="13" t="str">
        <x:v>I04 Table_1!D4986/P4986/U4986</x:v>
      </x:c>
    </x:row>
    <x:row r="275" ht="24" customHeight="1">
      <x:c r="A275" s="13" t="str">
        <x:v>M88633</x:v>
      </x:c>
      <x:c r="B275" s="13" t="str">
        <x:v>QUA</x:v>
      </x:c>
      <x:c r="C275" s="13" t="n">
        <x:v>84</x:v>
      </x:c>
      <x:c r="D275" s="30" t="n">
        <x:v>86.9</x:v>
      </x:c>
      <x:c r="E275" s="14" t="n">
        <x:f>C275*(1000-ROUND(D275*10,0))/1000</x:f>
        <x:v>11.004</x:v>
      </x:c>
      <x:c r="F275" s="14" t="n">
        <x:f>MAX(0,(ROUND(D275*100,0)-ROUND($B$3*100,0))/100)</x:f>
        <x:v>86.85</x:v>
      </x:c>
      <x:c r="G275" s="14" t="n">
        <x:f>MIN(100,(ROUND(D275*100,0)+ROUND($B$3*100,0))/100)</x:f>
        <x:v>86.95</x:v>
      </x:c>
      <x:c r="H275" s="40" t="n">
        <x:f>C275*(10000-ROUND(G275*100,0))/10000</x:f>
        <x:v>10.962</x:v>
      </x:c>
      <x:c r="I275" s="40" t="n">
        <x:f>C275*(10000-ROUND(F275*100,0))/10000</x:f>
        <x:v>11.046</x:v>
      </x:c>
      <x:c r="J275" s="13" t="str">
        <x:f>IF(COUNTIFS($D$17:$D$369,"&lt;"&amp;D275,$E$17:$E$369,"&gt;="&amp;E275)+COUNTIFS($D$17:$D$369,"="&amp;D275,$E$17:$E$369,"&gt;"&amp;E275)=0,"是","否")</x:f>
        <x:v>否</x:v>
      </x:c>
      <x:c r="K275" s="13" t="str">
        <x:f>IF(COUNTIFS($G$17:$G$369,"&lt;"&amp;F275,$H$17:$H$369,"&gt;="&amp;I275)+COUNTIFS($G$17:$G$369,"="&amp;F275,$H$17:$H$369,"&gt;"&amp;I275)=0,"是","否")</x:f>
        <x:v>否</x:v>
      </x:c>
      <x:c r="L275" s="13" t="str">
        <x:f>IF(COUNTIFS($F$17:$F$369,"&lt;"&amp;G275,$I$17:$I$369,"&gt;="&amp;H275)+COUNTIFS($F$17:$F$369,"="&amp;G275,$I$17:$I$369,"&gt;"&amp;H275)-IF(OR(G275&gt;F275,I275&gt;H275),1,0)=0,"是","否")</x:f>
        <x:v>否</x:v>
      </x:c>
      <x:c r="M275" s="13" t="n">
        <x:f>1+COUNTIF($H$17:$H$369,"&gt;"&amp;I275)</x:f>
        <x:v>222</x:v>
      </x:c>
      <x:c r="N275" s="13" t="n">
        <x:f>COUNTIF($I$17:$I$369,"&gt;="&amp;H275)</x:f>
        <x:v>230</x:v>
      </x:c>
      <x:c r="O275" s="13" t="str">
        <x:v>I04 Table_1!D4987/P4987/U4987</x:v>
      </x:c>
    </x:row>
    <x:row r="276" ht="24" customHeight="1">
      <x:c r="A276" s="13" t="str">
        <x:v>M88635</x:v>
      </x:c>
      <x:c r="B276" s="13" t="str">
        <x:v>QUA</x:v>
      </x:c>
      <x:c r="C276" s="13" t="n">
        <x:v>26</x:v>
      </x:c>
      <x:c r="D276" s="30" t="n">
        <x:v>96.2</x:v>
      </x:c>
      <x:c r="E276" s="14" t="n">
        <x:f>C276*(1000-ROUND(D276*10,0))/1000</x:f>
        <x:v>0.988</x:v>
      </x:c>
      <x:c r="F276" s="14" t="n">
        <x:f>MAX(0,(ROUND(D276*100,0)-ROUND($B$3*100,0))/100)</x:f>
        <x:v>96.15</x:v>
      </x:c>
      <x:c r="G276" s="14" t="n">
        <x:f>MIN(100,(ROUND(D276*100,0)+ROUND($B$3*100,0))/100)</x:f>
        <x:v>96.25</x:v>
      </x:c>
      <x:c r="H276" s="40" t="n">
        <x:f>C276*(10000-ROUND(G276*100,0))/10000</x:f>
        <x:v>0.975</x:v>
      </x:c>
      <x:c r="I276" s="40" t="n">
        <x:f>C276*(10000-ROUND(F276*100,0))/10000</x:f>
        <x:v>1.001</x:v>
      </x:c>
      <x:c r="J276" s="13" t="str">
        <x:f>IF(COUNTIFS($D$17:$D$369,"&lt;"&amp;D276,$E$17:$E$369,"&gt;="&amp;E276)+COUNTIFS($D$17:$D$369,"="&amp;D276,$E$17:$E$369,"&gt;"&amp;E276)=0,"是","否")</x:f>
        <x:v>否</x:v>
      </x:c>
      <x:c r="K276" s="13" t="str">
        <x:f>IF(COUNTIFS($G$17:$G$369,"&lt;"&amp;F276,$H$17:$H$369,"&gt;="&amp;I276)+COUNTIFS($G$17:$G$369,"="&amp;F276,$H$17:$H$369,"&gt;"&amp;I276)=0,"是","否")</x:f>
        <x:v>否</x:v>
      </x:c>
      <x:c r="L276" s="13" t="str">
        <x:f>IF(COUNTIFS($F$17:$F$369,"&lt;"&amp;G276,$I$17:$I$369,"&gt;="&amp;H276)+COUNTIFS($F$17:$F$369,"="&amp;G276,$I$17:$I$369,"&gt;"&amp;H276)-IF(OR(G276&gt;F276,I276&gt;H276),1,0)=0,"是","否")</x:f>
        <x:v>否</x:v>
      </x:c>
      <x:c r="M276" s="13" t="n">
        <x:f>1+COUNTIF($H$17:$H$369,"&gt;"&amp;I276)</x:f>
        <x:v>351</x:v>
      </x:c>
      <x:c r="N276" s="13" t="n">
        <x:f>COUNTIF($I$17:$I$369,"&gt;="&amp;H276)</x:f>
        <x:v>352</x:v>
      </x:c>
      <x:c r="O276" s="13" t="str">
        <x:v>I04 Table_1!D4988/P4988/U4988</x:v>
      </x:c>
    </x:row>
    <x:row r="277" ht="24" customHeight="1">
      <x:c r="A277" s="13" t="str">
        <x:v>M88639</x:v>
      </x:c>
      <x:c r="B277" s="13" t="str">
        <x:v>QUA</x:v>
      </x:c>
      <x:c r="C277" s="13" t="n">
        <x:v>43</x:v>
      </x:c>
      <x:c r="D277" s="30" t="n">
        <x:v>83.7</x:v>
      </x:c>
      <x:c r="E277" s="14" t="n">
        <x:f>C277*(1000-ROUND(D277*10,0))/1000</x:f>
        <x:v>7.009</x:v>
      </x:c>
      <x:c r="F277" s="14" t="n">
        <x:f>MAX(0,(ROUND(D277*100,0)-ROUND($B$3*100,0))/100)</x:f>
        <x:v>83.65</x:v>
      </x:c>
      <x:c r="G277" s="14" t="n">
        <x:f>MIN(100,(ROUND(D277*100,0)+ROUND($B$3*100,0))/100)</x:f>
        <x:v>83.75</x:v>
      </x:c>
      <x:c r="H277" s="40" t="n">
        <x:f>C277*(10000-ROUND(G277*100,0))/10000</x:f>
        <x:v>6.9875</x:v>
      </x:c>
      <x:c r="I277" s="40" t="n">
        <x:f>C277*(10000-ROUND(F277*100,0))/10000</x:f>
        <x:v>7.0305</x:v>
      </x:c>
      <x:c r="J277" s="13" t="str">
        <x:f>IF(COUNTIFS($D$17:$D$369,"&lt;"&amp;D277,$E$17:$E$369,"&gt;="&amp;E277)+COUNTIFS($D$17:$D$369,"="&amp;D277,$E$17:$E$369,"&gt;"&amp;E277)=0,"是","否")</x:f>
        <x:v>否</x:v>
      </x:c>
      <x:c r="K277" s="13" t="str">
        <x:f>IF(COUNTIFS($G$17:$G$369,"&lt;"&amp;F277,$H$17:$H$369,"&gt;="&amp;I277)+COUNTIFS($G$17:$G$369,"="&amp;F277,$H$17:$H$369,"&gt;"&amp;I277)=0,"是","否")</x:f>
        <x:v>否</x:v>
      </x:c>
      <x:c r="L277" s="13" t="str">
        <x:f>IF(COUNTIFS($F$17:$F$369,"&lt;"&amp;G277,$I$17:$I$369,"&gt;="&amp;H277)+COUNTIFS($F$17:$F$369,"="&amp;G277,$I$17:$I$369,"&gt;"&amp;H277)-IF(OR(G277&gt;F277,I277&gt;H277),1,0)=0,"是","否")</x:f>
        <x:v>否</x:v>
      </x:c>
      <x:c r="M277" s="13" t="n">
        <x:f>1+COUNTIF($H$17:$H$369,"&gt;"&amp;I277)</x:f>
        <x:v>272</x:v>
      </x:c>
      <x:c r="N277" s="13" t="n">
        <x:f>COUNTIF($I$17:$I$369,"&gt;="&amp;H277)</x:f>
        <x:v>285</x:v>
      </x:c>
      <x:c r="O277" s="13" t="str">
        <x:v>I04 Table_1!D4989/P4989/U4989</x:v>
      </x:c>
    </x:row>
    <x:row r="278" ht="24" customHeight="1">
      <x:c r="A278" s="13" t="str">
        <x:v>M88640</x:v>
      </x:c>
      <x:c r="B278" s="13" t="str">
        <x:v>QUA</x:v>
      </x:c>
      <x:c r="C278" s="13" t="n">
        <x:v>33</x:v>
      </x:c>
      <x:c r="D278" s="30" t="n">
        <x:v>54.5</x:v>
      </x:c>
      <x:c r="E278" s="14" t="n">
        <x:f>C278*(1000-ROUND(D278*10,0))/1000</x:f>
        <x:v>15.015</x:v>
      </x:c>
      <x:c r="F278" s="14" t="n">
        <x:f>MAX(0,(ROUND(D278*100,0)-ROUND($B$3*100,0))/100)</x:f>
        <x:v>54.45</x:v>
      </x:c>
      <x:c r="G278" s="14" t="n">
        <x:f>MIN(100,(ROUND(D278*100,0)+ROUND($B$3*100,0))/100)</x:f>
        <x:v>54.55</x:v>
      </x:c>
      <x:c r="H278" s="40" t="n">
        <x:f>C278*(10000-ROUND(G278*100,0))/10000</x:f>
        <x:v>14.9985</x:v>
      </x:c>
      <x:c r="I278" s="40" t="n">
        <x:f>C278*(10000-ROUND(F278*100,0))/10000</x:f>
        <x:v>15.0315</x:v>
      </x:c>
      <x:c r="J278" s="13" t="str">
        <x:f>IF(COUNTIFS($D$17:$D$369,"&lt;"&amp;D278,$E$17:$E$369,"&gt;="&amp;E278)+COUNTIFS($D$17:$D$369,"="&amp;D278,$E$17:$E$369,"&gt;"&amp;E278)=0,"是","否")</x:f>
        <x:v>否</x:v>
      </x:c>
      <x:c r="K278" s="13" t="str">
        <x:f>IF(COUNTIFS($G$17:$G$369,"&lt;"&amp;F278,$H$17:$H$369,"&gt;="&amp;I278)+COUNTIFS($G$17:$G$369,"="&amp;F278,$H$17:$H$369,"&gt;"&amp;I278)=0,"是","否")</x:f>
        <x:v>否</x:v>
      </x:c>
      <x:c r="L278" s="13" t="str">
        <x:f>IF(COUNTIFS($F$17:$F$369,"&lt;"&amp;G278,$I$17:$I$369,"&gt;="&amp;H278)+COUNTIFS($F$17:$F$369,"="&amp;G278,$I$17:$I$369,"&gt;"&amp;H278)-IF(OR(G278&gt;F278,I278&gt;H278),1,0)=0,"是","否")</x:f>
        <x:v>否</x:v>
      </x:c>
      <x:c r="M278" s="13" t="n">
        <x:f>1+COUNTIF($H$17:$H$369,"&gt;"&amp;I278)</x:f>
        <x:v>177</x:v>
      </x:c>
      <x:c r="N278" s="13" t="n">
        <x:f>COUNTIF($I$17:$I$369,"&gt;="&amp;H278)</x:f>
        <x:v>189</x:v>
      </x:c>
      <x:c r="O278" s="13" t="str">
        <x:v>I04 Table_1!D4990/P4990/U4990</x:v>
      </x:c>
    </x:row>
    <x:row r="279" ht="24" customHeight="1">
      <x:c r="A279" s="13" t="str">
        <x:v>M88643</x:v>
      </x:c>
      <x:c r="B279" s="13" t="str">
        <x:v>QUA</x:v>
      </x:c>
      <x:c r="C279" s="13" t="n">
        <x:v>73</x:v>
      </x:c>
      <x:c r="D279" s="30" t="n">
        <x:v>78.1</x:v>
      </x:c>
      <x:c r="E279" s="14" t="n">
        <x:f>C279*(1000-ROUND(D279*10,0))/1000</x:f>
        <x:v>15.987</x:v>
      </x:c>
      <x:c r="F279" s="14" t="n">
        <x:f>MAX(0,(ROUND(D279*100,0)-ROUND($B$3*100,0))/100)</x:f>
        <x:v>78.05</x:v>
      </x:c>
      <x:c r="G279" s="14" t="n">
        <x:f>MIN(100,(ROUND(D279*100,0)+ROUND($B$3*100,0))/100)</x:f>
        <x:v>78.15</x:v>
      </x:c>
      <x:c r="H279" s="40" t="n">
        <x:f>C279*(10000-ROUND(G279*100,0))/10000</x:f>
        <x:v>15.9505</x:v>
      </x:c>
      <x:c r="I279" s="40" t="n">
        <x:f>C279*(10000-ROUND(F279*100,0))/10000</x:f>
        <x:v>16.0235</x:v>
      </x:c>
      <x:c r="J279" s="13" t="str">
        <x:f>IF(COUNTIFS($D$17:$D$369,"&lt;"&amp;D279,$E$17:$E$369,"&gt;="&amp;E279)+COUNTIFS($D$17:$D$369,"="&amp;D279,$E$17:$E$369,"&gt;"&amp;E279)=0,"是","否")</x:f>
        <x:v>否</x:v>
      </x:c>
      <x:c r="K279" s="13" t="str">
        <x:f>IF(COUNTIFS($G$17:$G$369,"&lt;"&amp;F279,$H$17:$H$369,"&gt;="&amp;I279)+COUNTIFS($G$17:$G$369,"="&amp;F279,$H$17:$H$369,"&gt;"&amp;I279)=0,"是","否")</x:f>
        <x:v>否</x:v>
      </x:c>
      <x:c r="L279" s="13" t="str">
        <x:f>IF(COUNTIFS($F$17:$F$369,"&lt;"&amp;G279,$I$17:$I$369,"&gt;="&amp;H279)+COUNTIFS($F$17:$F$369,"="&amp;G279,$I$17:$I$369,"&gt;"&amp;H279)-IF(OR(G279&gt;F279,I279&gt;H279),1,0)=0,"是","否")</x:f>
        <x:v>否</x:v>
      </x:c>
      <x:c r="M279" s="13" t="n">
        <x:f>1+COUNTIF($H$17:$H$369,"&gt;"&amp;I279)</x:f>
        <x:v>167</x:v>
      </x:c>
      <x:c r="N279" s="13" t="n">
        <x:f>COUNTIF($I$17:$I$369,"&gt;="&amp;H279)</x:f>
        <x:v>176</x:v>
      </x:c>
      <x:c r="O279" s="13" t="str">
        <x:v>I04 Table_1!D4991/P4991/U4991</x:v>
      </x:c>
    </x:row>
    <x:row r="280" ht="24" customHeight="1">
      <x:c r="A280" s="13" t="str">
        <x:v>M88645</x:v>
      </x:c>
      <x:c r="B280" s="13" t="str">
        <x:v>QUA</x:v>
      </x:c>
      <x:c r="C280" s="13" t="n">
        <x:v>107</x:v>
      </x:c>
      <x:c r="D280" s="30" t="n">
        <x:v>72</x:v>
      </x:c>
      <x:c r="E280" s="14" t="n">
        <x:f>C280*(1000-ROUND(D280*10,0))/1000</x:f>
        <x:v>29.96</x:v>
      </x:c>
      <x:c r="F280" s="14" t="n">
        <x:f>MAX(0,(ROUND(D280*100,0)-ROUND($B$3*100,0))/100)</x:f>
        <x:v>71.95</x:v>
      </x:c>
      <x:c r="G280" s="14" t="n">
        <x:f>MIN(100,(ROUND(D280*100,0)+ROUND($B$3*100,0))/100)</x:f>
        <x:v>72.05</x:v>
      </x:c>
      <x:c r="H280" s="40" t="n">
        <x:f>C280*(10000-ROUND(G280*100,0))/10000</x:f>
        <x:v>29.9065</x:v>
      </x:c>
      <x:c r="I280" s="40" t="n">
        <x:f>C280*(10000-ROUND(F280*100,0))/10000</x:f>
        <x:v>30.0135</x:v>
      </x:c>
      <x:c r="J280" s="13" t="str">
        <x:f>IF(COUNTIFS($D$17:$D$369,"&lt;"&amp;D280,$E$17:$E$369,"&gt;="&amp;E280)+COUNTIFS($D$17:$D$369,"="&amp;D280,$E$17:$E$369,"&gt;"&amp;E280)=0,"是","否")</x:f>
        <x:v>否</x:v>
      </x:c>
      <x:c r="K280" s="13" t="str">
        <x:f>IF(COUNTIFS($G$17:$G$369,"&lt;"&amp;F280,$H$17:$H$369,"&gt;="&amp;I280)+COUNTIFS($G$17:$G$369,"="&amp;F280,$H$17:$H$369,"&gt;"&amp;I280)=0,"是","否")</x:f>
        <x:v>否</x:v>
      </x:c>
      <x:c r="L280" s="13" t="str">
        <x:f>IF(COUNTIFS($F$17:$F$369,"&lt;"&amp;G280,$I$17:$I$369,"&gt;="&amp;H280)+COUNTIFS($F$17:$F$369,"="&amp;G280,$I$17:$I$369,"&gt;"&amp;H280)-IF(OR(G280&gt;F280,I280&gt;H280),1,0)=0,"是","否")</x:f>
        <x:v>否</x:v>
      </x:c>
      <x:c r="M280" s="13" t="n">
        <x:f>1+COUNTIF($H$17:$H$369,"&gt;"&amp;I280)</x:f>
        <x:v>80</x:v>
      </x:c>
      <x:c r="N280" s="13" t="n">
        <x:f>COUNTIF($I$17:$I$369,"&gt;="&amp;H280)</x:f>
        <x:v>82</x:v>
      </x:c>
      <x:c r="O280" s="13" t="str">
        <x:v>I04 Table_1!D4992/P4992/U4992</x:v>
      </x:c>
    </x:row>
    <x:row r="281" ht="24" customHeight="1">
      <x:c r="A281" s="13" t="str">
        <x:v>M88646</x:v>
      </x:c>
      <x:c r="B281" s="13" t="str">
        <x:v>QUA</x:v>
      </x:c>
      <x:c r="C281" s="13" t="n">
        <x:v>30</x:v>
      </x:c>
      <x:c r="D281" s="30" t="n">
        <x:v>90</x:v>
      </x:c>
      <x:c r="E281" s="14" t="n">
        <x:f>C281*(1000-ROUND(D281*10,0))/1000</x:f>
        <x:v>3</x:v>
      </x:c>
      <x:c r="F281" s="14" t="n">
        <x:f>MAX(0,(ROUND(D281*100,0)-ROUND($B$3*100,0))/100)</x:f>
        <x:v>89.95</x:v>
      </x:c>
      <x:c r="G281" s="14" t="n">
        <x:f>MIN(100,(ROUND(D281*100,0)+ROUND($B$3*100,0))/100)</x:f>
        <x:v>90.05</x:v>
      </x:c>
      <x:c r="H281" s="40" t="n">
        <x:f>C281*(10000-ROUND(G281*100,0))/10000</x:f>
        <x:v>2.985</x:v>
      </x:c>
      <x:c r="I281" s="40" t="n">
        <x:f>C281*(10000-ROUND(F281*100,0))/10000</x:f>
        <x:v>3.015</x:v>
      </x:c>
      <x:c r="J281" s="13" t="str">
        <x:f>IF(COUNTIFS($D$17:$D$369,"&lt;"&amp;D281,$E$17:$E$369,"&gt;="&amp;E281)+COUNTIFS($D$17:$D$369,"="&amp;D281,$E$17:$E$369,"&gt;"&amp;E281)=0,"是","否")</x:f>
        <x:v>否</x:v>
      </x:c>
      <x:c r="K281" s="13" t="str">
        <x:f>IF(COUNTIFS($G$17:$G$369,"&lt;"&amp;F281,$H$17:$H$369,"&gt;="&amp;I281)+COUNTIFS($G$17:$G$369,"="&amp;F281,$H$17:$H$369,"&gt;"&amp;I281)=0,"是","否")</x:f>
        <x:v>否</x:v>
      </x:c>
      <x:c r="L281" s="13" t="str">
        <x:f>IF(COUNTIFS($F$17:$F$369,"&lt;"&amp;G281,$I$17:$I$369,"&gt;="&amp;H281)+COUNTIFS($F$17:$F$369,"="&amp;G281,$I$17:$I$369,"&gt;"&amp;H281)-IF(OR(G281&gt;F281,I281&gt;H281),1,0)=0,"是","否")</x:f>
        <x:v>否</x:v>
      </x:c>
      <x:c r="M281" s="13" t="n">
        <x:f>1+COUNTIF($H$17:$H$369,"&gt;"&amp;I281)</x:f>
        <x:v>331</x:v>
      </x:c>
      <x:c r="N281" s="13" t="n">
        <x:f>COUNTIF($I$17:$I$369,"&gt;="&amp;H281)</x:f>
        <x:v>341</x:v>
      </x:c>
      <x:c r="O281" s="13" t="str">
        <x:v>I04 Table_1!D4993/P4993/U4993</x:v>
      </x:c>
    </x:row>
    <x:row r="282" ht="24" customHeight="1">
      <x:c r="A282" s="13" t="str">
        <x:v>M88647</x:v>
      </x:c>
      <x:c r="B282" s="13" t="str">
        <x:v>QUA</x:v>
      </x:c>
      <x:c r="C282" s="13" t="n">
        <x:v>92</x:v>
      </x:c>
      <x:c r="D282" s="30" t="n">
        <x:v>83.7</x:v>
      </x:c>
      <x:c r="E282" s="14" t="n">
        <x:f>C282*(1000-ROUND(D282*10,0))/1000</x:f>
        <x:v>14.996</x:v>
      </x:c>
      <x:c r="F282" s="14" t="n">
        <x:f>MAX(0,(ROUND(D282*100,0)-ROUND($B$3*100,0))/100)</x:f>
        <x:v>83.65</x:v>
      </x:c>
      <x:c r="G282" s="14" t="n">
        <x:f>MIN(100,(ROUND(D282*100,0)+ROUND($B$3*100,0))/100)</x:f>
        <x:v>83.75</x:v>
      </x:c>
      <x:c r="H282" s="40" t="n">
        <x:f>C282*(10000-ROUND(G282*100,0))/10000</x:f>
        <x:v>14.95</x:v>
      </x:c>
      <x:c r="I282" s="40" t="n">
        <x:f>C282*(10000-ROUND(F282*100,0))/10000</x:f>
        <x:v>15.042</x:v>
      </x:c>
      <x:c r="J282" s="13" t="str">
        <x:f>IF(COUNTIFS($D$17:$D$369,"&lt;"&amp;D282,$E$17:$E$369,"&gt;="&amp;E282)+COUNTIFS($D$17:$D$369,"="&amp;D282,$E$17:$E$369,"&gt;"&amp;E282)=0,"是","否")</x:f>
        <x:v>否</x:v>
      </x:c>
      <x:c r="K282" s="13" t="str">
        <x:f>IF(COUNTIFS($G$17:$G$369,"&lt;"&amp;F282,$H$17:$H$369,"&gt;="&amp;I282)+COUNTIFS($G$17:$G$369,"="&amp;F282,$H$17:$H$369,"&gt;"&amp;I282)=0,"是","否")</x:f>
        <x:v>否</x:v>
      </x:c>
      <x:c r="L282" s="13" t="str">
        <x:f>IF(COUNTIFS($F$17:$F$369,"&lt;"&amp;G282,$I$17:$I$369,"&gt;="&amp;H282)+COUNTIFS($F$17:$F$369,"="&amp;G282,$I$17:$I$369,"&gt;"&amp;H282)-IF(OR(G282&gt;F282,I282&gt;H282),1,0)=0,"是","否")</x:f>
        <x:v>否</x:v>
      </x:c>
      <x:c r="M282" s="13" t="n">
        <x:f>1+COUNTIF($H$17:$H$369,"&gt;"&amp;I282)</x:f>
        <x:v>177</x:v>
      </x:c>
      <x:c r="N282" s="13" t="n">
        <x:f>COUNTIF($I$17:$I$369,"&gt;="&amp;H282)</x:f>
        <x:v>189</x:v>
      </x:c>
      <x:c r="O282" s="13" t="str">
        <x:v>I04 Table_1!D4994/P4994/U4994</x:v>
      </x:c>
    </x:row>
    <x:row r="283" ht="24" customHeight="1">
      <x:c r="A283" s="13" t="str">
        <x:v>M91003</x:v>
      </x:c>
      <x:c r="B283" s="13" t="str">
        <x:v>QUA</x:v>
      </x:c>
      <x:c r="C283" s="13" t="n">
        <x:v>94</x:v>
      </x:c>
      <x:c r="D283" s="30" t="n">
        <x:v>94.7</x:v>
      </x:c>
      <x:c r="E283" s="14" t="n">
        <x:f>C283*(1000-ROUND(D283*10,0))/1000</x:f>
        <x:v>4.982</x:v>
      </x:c>
      <x:c r="F283" s="14" t="n">
        <x:f>MAX(0,(ROUND(D283*100,0)-ROUND($B$3*100,0))/100)</x:f>
        <x:v>94.65</x:v>
      </x:c>
      <x:c r="G283" s="14" t="n">
        <x:f>MIN(100,(ROUND(D283*100,0)+ROUND($B$3*100,0))/100)</x:f>
        <x:v>94.75</x:v>
      </x:c>
      <x:c r="H283" s="40" t="n">
        <x:f>C283*(10000-ROUND(G283*100,0))/10000</x:f>
        <x:v>4.935</x:v>
      </x:c>
      <x:c r="I283" s="40" t="n">
        <x:f>C283*(10000-ROUND(F283*100,0))/10000</x:f>
        <x:v>5.029</x:v>
      </x:c>
      <x:c r="J283" s="13" t="str">
        <x:f>IF(COUNTIFS($D$17:$D$369,"&lt;"&amp;D283,$E$17:$E$369,"&gt;="&amp;E283)+COUNTIFS($D$17:$D$369,"="&amp;D283,$E$17:$E$369,"&gt;"&amp;E283)=0,"是","否")</x:f>
        <x:v>否</x:v>
      </x:c>
      <x:c r="K283" s="13" t="str">
        <x:f>IF(COUNTIFS($G$17:$G$369,"&lt;"&amp;F283,$H$17:$H$369,"&gt;="&amp;I283)+COUNTIFS($G$17:$G$369,"="&amp;F283,$H$17:$H$369,"&gt;"&amp;I283)=0,"是","否")</x:f>
        <x:v>否</x:v>
      </x:c>
      <x:c r="L283" s="13" t="str">
        <x:f>IF(COUNTIFS($F$17:$F$369,"&lt;"&amp;G283,$I$17:$I$369,"&gt;="&amp;H283)+COUNTIFS($F$17:$F$369,"="&amp;G283,$I$17:$I$369,"&gt;"&amp;H283)-IF(OR(G283&gt;F283,I283&gt;H283),1,0)=0,"是","否")</x:f>
        <x:v>否</x:v>
      </x:c>
      <x:c r="M283" s="13" t="n">
        <x:f>1+COUNTIF($H$17:$H$369,"&gt;"&amp;I283)</x:f>
        <x:v>302</x:v>
      </x:c>
      <x:c r="N283" s="13" t="n">
        <x:f>COUNTIF($I$17:$I$369,"&gt;="&amp;H283)</x:f>
        <x:v>319</x:v>
      </x:c>
      <x:c r="O283" s="13" t="str">
        <x:v>I04 Table_1!D4995/P4995/U4995</x:v>
      </x:c>
    </x:row>
    <x:row r="284" ht="24" customHeight="1">
      <x:c r="A284" s="13" t="str">
        <x:v>M91004</x:v>
      </x:c>
      <x:c r="B284" s="13" t="str">
        <x:v>QUA</x:v>
      </x:c>
      <x:c r="C284" s="13" t="n">
        <x:v>144</x:v>
      </x:c>
      <x:c r="D284" s="30" t="n">
        <x:v>77.1</x:v>
      </x:c>
      <x:c r="E284" s="14" t="n">
        <x:f>C284*(1000-ROUND(D284*10,0))/1000</x:f>
        <x:v>32.976</x:v>
      </x:c>
      <x:c r="F284" s="14" t="n">
        <x:f>MAX(0,(ROUND(D284*100,0)-ROUND($B$3*100,0))/100)</x:f>
        <x:v>77.05</x:v>
      </x:c>
      <x:c r="G284" s="14" t="n">
        <x:f>MIN(100,(ROUND(D284*100,0)+ROUND($B$3*100,0))/100)</x:f>
        <x:v>77.15</x:v>
      </x:c>
      <x:c r="H284" s="40" t="n">
        <x:f>C284*(10000-ROUND(G284*100,0))/10000</x:f>
        <x:v>32.904</x:v>
      </x:c>
      <x:c r="I284" s="40" t="n">
        <x:f>C284*(10000-ROUND(F284*100,0))/10000</x:f>
        <x:v>33.048</x:v>
      </x:c>
      <x:c r="J284" s="13" t="str">
        <x:f>IF(COUNTIFS($D$17:$D$369,"&lt;"&amp;D284,$E$17:$E$369,"&gt;="&amp;E284)+COUNTIFS($D$17:$D$369,"="&amp;D284,$E$17:$E$369,"&gt;"&amp;E284)=0,"是","否")</x:f>
        <x:v>否</x:v>
      </x:c>
      <x:c r="K284" s="13" t="str">
        <x:f>IF(COUNTIFS($G$17:$G$369,"&lt;"&amp;F284,$H$17:$H$369,"&gt;="&amp;I284)+COUNTIFS($G$17:$G$369,"="&amp;F284,$H$17:$H$369,"&gt;"&amp;I284)=0,"是","否")</x:f>
        <x:v>否</x:v>
      </x:c>
      <x:c r="L284" s="13" t="str">
        <x:f>IF(COUNTIFS($F$17:$F$369,"&lt;"&amp;G284,$I$17:$I$369,"&gt;="&amp;H284)+COUNTIFS($F$17:$F$369,"="&amp;G284,$I$17:$I$369,"&gt;"&amp;H284)-IF(OR(G284&gt;F284,I284&gt;H284),1,0)=0,"是","否")</x:f>
        <x:v>否</x:v>
      </x:c>
      <x:c r="M284" s="13" t="n">
        <x:f>1+COUNTIF($H$17:$H$369,"&gt;"&amp;I284)</x:f>
        <x:v>60</x:v>
      </x:c>
      <x:c r="N284" s="13" t="n">
        <x:f>COUNTIF($I$17:$I$369,"&gt;="&amp;H284)</x:f>
        <x:v>63</x:v>
      </x:c>
      <x:c r="O284" s="13" t="str">
        <x:v>I04 Table_1!D4996/P4996/U4996</x:v>
      </x:c>
    </x:row>
    <x:row r="285" ht="24" customHeight="1">
      <x:c r="A285" s="13" t="str">
        <x:v>M91006</x:v>
      </x:c>
      <x:c r="B285" s="13" t="str">
        <x:v>QUA</x:v>
      </x:c>
      <x:c r="C285" s="13" t="n">
        <x:v>52</x:v>
      </x:c>
      <x:c r="D285" s="30" t="n">
        <x:v>90.4</x:v>
      </x:c>
      <x:c r="E285" s="14" t="n">
        <x:f>C285*(1000-ROUND(D285*10,0))/1000</x:f>
        <x:v>4.992</x:v>
      </x:c>
      <x:c r="F285" s="14" t="n">
        <x:f>MAX(0,(ROUND(D285*100,0)-ROUND($B$3*100,0))/100)</x:f>
        <x:v>90.35</x:v>
      </x:c>
      <x:c r="G285" s="14" t="n">
        <x:f>MIN(100,(ROUND(D285*100,0)+ROUND($B$3*100,0))/100)</x:f>
        <x:v>90.45</x:v>
      </x:c>
      <x:c r="H285" s="40" t="n">
        <x:f>C285*(10000-ROUND(G285*100,0))/10000</x:f>
        <x:v>4.966</x:v>
      </x:c>
      <x:c r="I285" s="40" t="n">
        <x:f>C285*(10000-ROUND(F285*100,0))/10000</x:f>
        <x:v>5.018</x:v>
      </x:c>
      <x:c r="J285" s="13" t="str">
        <x:f>IF(COUNTIFS($D$17:$D$369,"&lt;"&amp;D285,$E$17:$E$369,"&gt;="&amp;E285)+COUNTIFS($D$17:$D$369,"="&amp;D285,$E$17:$E$369,"&gt;"&amp;E285)=0,"是","否")</x:f>
        <x:v>否</x:v>
      </x:c>
      <x:c r="K285" s="13" t="str">
        <x:f>IF(COUNTIFS($G$17:$G$369,"&lt;"&amp;F285,$H$17:$H$369,"&gt;="&amp;I285)+COUNTIFS($G$17:$G$369,"="&amp;F285,$H$17:$H$369,"&gt;"&amp;I285)=0,"是","否")</x:f>
        <x:v>否</x:v>
      </x:c>
      <x:c r="L285" s="13" t="str">
        <x:f>IF(COUNTIFS($F$17:$F$369,"&lt;"&amp;G285,$I$17:$I$369,"&gt;="&amp;H285)+COUNTIFS($F$17:$F$369,"="&amp;G285,$I$17:$I$369,"&gt;"&amp;H285)-IF(OR(G285&gt;F285,I285&gt;H285),1,0)=0,"是","否")</x:f>
        <x:v>否</x:v>
      </x:c>
      <x:c r="M285" s="13" t="n">
        <x:f>1+COUNTIF($H$17:$H$369,"&gt;"&amp;I285)</x:f>
        <x:v>302</x:v>
      </x:c>
      <x:c r="N285" s="13" t="n">
        <x:f>COUNTIF($I$17:$I$369,"&gt;="&amp;H285)</x:f>
        <x:v>319</x:v>
      </x:c>
      <x:c r="O285" s="13" t="str">
        <x:v>I04 Table_1!D4997/P4997/U4997</x:v>
      </x:c>
    </x:row>
    <x:row r="286" ht="24" customHeight="1">
      <x:c r="A286" s="13" t="str">
        <x:v>M91007</x:v>
      </x:c>
      <x:c r="B286" s="13" t="str">
        <x:v>QUA</x:v>
      </x:c>
      <x:c r="C286" s="13" t="n">
        <x:v>68</x:v>
      </x:c>
      <x:c r="D286" s="30" t="n">
        <x:v>95.6</x:v>
      </x:c>
      <x:c r="E286" s="14" t="n">
        <x:f>C286*(1000-ROUND(D286*10,0))/1000</x:f>
        <x:v>2.992</x:v>
      </x:c>
      <x:c r="F286" s="14" t="n">
        <x:f>MAX(0,(ROUND(D286*100,0)-ROUND($B$3*100,0))/100)</x:f>
        <x:v>95.55</x:v>
      </x:c>
      <x:c r="G286" s="14" t="n">
        <x:f>MIN(100,(ROUND(D286*100,0)+ROUND($B$3*100,0))/100)</x:f>
        <x:v>95.65</x:v>
      </x:c>
      <x:c r="H286" s="40" t="n">
        <x:f>C286*(10000-ROUND(G286*100,0))/10000</x:f>
        <x:v>2.958</x:v>
      </x:c>
      <x:c r="I286" s="40" t="n">
        <x:f>C286*(10000-ROUND(F286*100,0))/10000</x:f>
        <x:v>3.026</x:v>
      </x:c>
      <x:c r="J286" s="13" t="str">
        <x:f>IF(COUNTIFS($D$17:$D$369,"&lt;"&amp;D286,$E$17:$E$369,"&gt;="&amp;E286)+COUNTIFS($D$17:$D$369,"="&amp;D286,$E$17:$E$369,"&gt;"&amp;E286)=0,"是","否")</x:f>
        <x:v>否</x:v>
      </x:c>
      <x:c r="K286" s="13" t="str">
        <x:f>IF(COUNTIFS($G$17:$G$369,"&lt;"&amp;F286,$H$17:$H$369,"&gt;="&amp;I286)+COUNTIFS($G$17:$G$369,"="&amp;F286,$H$17:$H$369,"&gt;"&amp;I286)=0,"是","否")</x:f>
        <x:v>否</x:v>
      </x:c>
      <x:c r="L286" s="13" t="str">
        <x:f>IF(COUNTIFS($F$17:$F$369,"&lt;"&amp;G286,$I$17:$I$369,"&gt;="&amp;H286)+COUNTIFS($F$17:$F$369,"="&amp;G286,$I$17:$I$369,"&gt;"&amp;H286)-IF(OR(G286&gt;F286,I286&gt;H286),1,0)=0,"是","否")</x:f>
        <x:v>否</x:v>
      </x:c>
      <x:c r="M286" s="13" t="n">
        <x:f>1+COUNTIF($H$17:$H$369,"&gt;"&amp;I286)</x:f>
        <x:v>331</x:v>
      </x:c>
      <x:c r="N286" s="13" t="n">
        <x:f>COUNTIF($I$17:$I$369,"&gt;="&amp;H286)</x:f>
        <x:v>341</x:v>
      </x:c>
      <x:c r="O286" s="13" t="str">
        <x:v>I04 Table_1!D4998/P4998/U4998</x:v>
      </x:c>
    </x:row>
    <x:row r="287" ht="24" customHeight="1">
      <x:c r="A287" s="13" t="str">
        <x:v>M91008</x:v>
      </x:c>
      <x:c r="B287" s="13" t="str">
        <x:v>QUA</x:v>
      </x:c>
      <x:c r="C287" s="13" t="n">
        <x:v>133</x:v>
      </x:c>
      <x:c r="D287" s="30" t="n">
        <x:v>70.7</x:v>
      </x:c>
      <x:c r="E287" s="14" t="n">
        <x:f>C287*(1000-ROUND(D287*10,0))/1000</x:f>
        <x:v>38.969</x:v>
      </x:c>
      <x:c r="F287" s="14" t="n">
        <x:f>MAX(0,(ROUND(D287*100,0)-ROUND($B$3*100,0))/100)</x:f>
        <x:v>70.65</x:v>
      </x:c>
      <x:c r="G287" s="14" t="n">
        <x:f>MIN(100,(ROUND(D287*100,0)+ROUND($B$3*100,0))/100)</x:f>
        <x:v>70.75</x:v>
      </x:c>
      <x:c r="H287" s="40" t="n">
        <x:f>C287*(10000-ROUND(G287*100,0))/10000</x:f>
        <x:v>38.9025</x:v>
      </x:c>
      <x:c r="I287" s="40" t="n">
        <x:f>C287*(10000-ROUND(F287*100,0))/10000</x:f>
        <x:v>39.0355</x:v>
      </x:c>
      <x:c r="J287" s="13" t="str">
        <x:f>IF(COUNTIFS($D$17:$D$369,"&lt;"&amp;D287,$E$17:$E$369,"&gt;="&amp;E287)+COUNTIFS($D$17:$D$369,"="&amp;D287,$E$17:$E$369,"&gt;"&amp;E287)=0,"是","否")</x:f>
        <x:v>否</x:v>
      </x:c>
      <x:c r="K287" s="13" t="str">
        <x:f>IF(COUNTIFS($G$17:$G$369,"&lt;"&amp;F287,$H$17:$H$369,"&gt;="&amp;I287)+COUNTIFS($G$17:$G$369,"="&amp;F287,$H$17:$H$369,"&gt;"&amp;I287)=0,"是","否")</x:f>
        <x:v>否</x:v>
      </x:c>
      <x:c r="L287" s="13" t="str">
        <x:f>IF(COUNTIFS($F$17:$F$369,"&lt;"&amp;G287,$I$17:$I$369,"&gt;="&amp;H287)+COUNTIFS($F$17:$F$369,"="&amp;G287,$I$17:$I$369,"&gt;"&amp;H287)-IF(OR(G287&gt;F287,I287&gt;H287),1,0)=0,"是","否")</x:f>
        <x:v>否</x:v>
      </x:c>
      <x:c r="M287" s="13" t="n">
        <x:f>1+COUNTIF($H$17:$H$369,"&gt;"&amp;I287)</x:f>
        <x:v>39</x:v>
      </x:c>
      <x:c r="N287" s="13" t="n">
        <x:f>COUNTIF($I$17:$I$369,"&gt;="&amp;H287)</x:f>
        <x:v>41</x:v>
      </x:c>
      <x:c r="O287" s="13" t="str">
        <x:v>I04 Table_1!D4999/P4999/U4999</x:v>
      </x:c>
    </x:row>
    <x:row r="288" ht="24" customHeight="1">
      <x:c r="A288" s="13" t="str">
        <x:v>M91009</x:v>
      </x:c>
      <x:c r="B288" s="13" t="str">
        <x:v>QUA</x:v>
      </x:c>
      <x:c r="C288" s="13" t="n">
        <x:v>52</x:v>
      </x:c>
      <x:c r="D288" s="30" t="n">
        <x:v>92.3</x:v>
      </x:c>
      <x:c r="E288" s="14" t="n">
        <x:f>C288*(1000-ROUND(D288*10,0))/1000</x:f>
        <x:v>4.004</x:v>
      </x:c>
      <x:c r="F288" s="14" t="n">
        <x:f>MAX(0,(ROUND(D288*100,0)-ROUND($B$3*100,0))/100)</x:f>
        <x:v>92.25</x:v>
      </x:c>
      <x:c r="G288" s="14" t="n">
        <x:f>MIN(100,(ROUND(D288*100,0)+ROUND($B$3*100,0))/100)</x:f>
        <x:v>92.35</x:v>
      </x:c>
      <x:c r="H288" s="40" t="n">
        <x:f>C288*(10000-ROUND(G288*100,0))/10000</x:f>
        <x:v>3.978</x:v>
      </x:c>
      <x:c r="I288" s="40" t="n">
        <x:f>C288*(10000-ROUND(F288*100,0))/10000</x:f>
        <x:v>4.03</x:v>
      </x:c>
      <x:c r="J288" s="13" t="str">
        <x:f>IF(COUNTIFS($D$17:$D$369,"&lt;"&amp;D288,$E$17:$E$369,"&gt;="&amp;E288)+COUNTIFS($D$17:$D$369,"="&amp;D288,$E$17:$E$369,"&gt;"&amp;E288)=0,"是","否")</x:f>
        <x:v>否</x:v>
      </x:c>
      <x:c r="K288" s="13" t="str">
        <x:f>IF(COUNTIFS($G$17:$G$369,"&lt;"&amp;F288,$H$17:$H$369,"&gt;="&amp;I288)+COUNTIFS($G$17:$G$369,"="&amp;F288,$H$17:$H$369,"&gt;"&amp;I288)=0,"是","否")</x:f>
        <x:v>否</x:v>
      </x:c>
      <x:c r="L288" s="13" t="str">
        <x:f>IF(COUNTIFS($F$17:$F$369,"&lt;"&amp;G288,$I$17:$I$369,"&gt;="&amp;H288)+COUNTIFS($F$17:$F$369,"="&amp;G288,$I$17:$I$369,"&gt;"&amp;H288)-IF(OR(G288&gt;F288,I288&gt;H288),1,0)=0,"是","否")</x:f>
        <x:v>否</x:v>
      </x:c>
      <x:c r="M288" s="13" t="n">
        <x:f>1+COUNTIF($H$17:$H$369,"&gt;"&amp;I288)</x:f>
        <x:v>320</x:v>
      </x:c>
      <x:c r="N288" s="13" t="n">
        <x:f>COUNTIF($I$17:$I$369,"&gt;="&amp;H288)</x:f>
        <x:v>330</x:v>
      </x:c>
      <x:c r="O288" s="13" t="str">
        <x:v>I04 Table_1!D5000/P5000/U5000</x:v>
      </x:c>
    </x:row>
    <x:row r="289" ht="24" customHeight="1">
      <x:c r="A289" s="13" t="str">
        <x:v>M91010</x:v>
      </x:c>
      <x:c r="B289" s="13" t="str">
        <x:v>QUA</x:v>
      </x:c>
      <x:c r="C289" s="13" t="n">
        <x:v>99</x:v>
      </x:c>
      <x:c r="D289" s="30" t="n">
        <x:v>98</x:v>
      </x:c>
      <x:c r="E289" s="14" t="n">
        <x:f>C289*(1000-ROUND(D289*10,0))/1000</x:f>
        <x:v>1.98</x:v>
      </x:c>
      <x:c r="F289" s="14" t="n">
        <x:f>MAX(0,(ROUND(D289*100,0)-ROUND($B$3*100,0))/100)</x:f>
        <x:v>97.95</x:v>
      </x:c>
      <x:c r="G289" s="14" t="n">
        <x:f>MIN(100,(ROUND(D289*100,0)+ROUND($B$3*100,0))/100)</x:f>
        <x:v>98.05</x:v>
      </x:c>
      <x:c r="H289" s="40" t="n">
        <x:f>C289*(10000-ROUND(G289*100,0))/10000</x:f>
        <x:v>1.9305</x:v>
      </x:c>
      <x:c r="I289" s="40" t="n">
        <x:f>C289*(10000-ROUND(F289*100,0))/10000</x:f>
        <x:v>2.0295</x:v>
      </x:c>
      <x:c r="J289" s="13" t="str">
        <x:f>IF(COUNTIFS($D$17:$D$369,"&lt;"&amp;D289,$E$17:$E$369,"&gt;="&amp;E289)+COUNTIFS($D$17:$D$369,"="&amp;D289,$E$17:$E$369,"&gt;"&amp;E289)=0,"是","否")</x:f>
        <x:v>否</x:v>
      </x:c>
      <x:c r="K289" s="13" t="str">
        <x:f>IF(COUNTIFS($G$17:$G$369,"&lt;"&amp;F289,$H$17:$H$369,"&gt;="&amp;I289)+COUNTIFS($G$17:$G$369,"="&amp;F289,$H$17:$H$369,"&gt;"&amp;I289)=0,"是","否")</x:f>
        <x:v>否</x:v>
      </x:c>
      <x:c r="L289" s="13" t="str">
        <x:f>IF(COUNTIFS($F$17:$F$369,"&lt;"&amp;G289,$I$17:$I$369,"&gt;="&amp;H289)+COUNTIFS($F$17:$F$369,"="&amp;G289,$I$17:$I$369,"&gt;"&amp;H289)-IF(OR(G289&gt;F289,I289&gt;H289),1,0)=0,"是","否")</x:f>
        <x:v>否</x:v>
      </x:c>
      <x:c r="M289" s="13" t="n">
        <x:f>1+COUNTIF($H$17:$H$369,"&gt;"&amp;I289)</x:f>
        <x:v>342</x:v>
      </x:c>
      <x:c r="N289" s="13" t="n">
        <x:f>COUNTIF($I$17:$I$369,"&gt;="&amp;H289)</x:f>
        <x:v>350</x:v>
      </x:c>
      <x:c r="O289" s="13" t="str">
        <x:v>I04 Table_1!D5001/P5001/U5001</x:v>
      </x:c>
    </x:row>
    <x:row r="290" ht="24" customHeight="1">
      <x:c r="A290" s="13" t="str">
        <x:v>M91013</x:v>
      </x:c>
      <x:c r="B290" s="13" t="str">
        <x:v>QUA</x:v>
      </x:c>
      <x:c r="C290" s="13" t="n">
        <x:v>101</x:v>
      </x:c>
      <x:c r="D290" s="30" t="n">
        <x:v>81.2</x:v>
      </x:c>
      <x:c r="E290" s="14" t="n">
        <x:f>C290*(1000-ROUND(D290*10,0))/1000</x:f>
        <x:v>18.988</x:v>
      </x:c>
      <x:c r="F290" s="14" t="n">
        <x:f>MAX(0,(ROUND(D290*100,0)-ROUND($B$3*100,0))/100)</x:f>
        <x:v>81.15</x:v>
      </x:c>
      <x:c r="G290" s="14" t="n">
        <x:f>MIN(100,(ROUND(D290*100,0)+ROUND($B$3*100,0))/100)</x:f>
        <x:v>81.25</x:v>
      </x:c>
      <x:c r="H290" s="40" t="n">
        <x:f>C290*(10000-ROUND(G290*100,0))/10000</x:f>
        <x:v>18.9375</x:v>
      </x:c>
      <x:c r="I290" s="40" t="n">
        <x:f>C290*(10000-ROUND(F290*100,0))/10000</x:f>
        <x:v>19.0385</x:v>
      </x:c>
      <x:c r="J290" s="13" t="str">
        <x:f>IF(COUNTIFS($D$17:$D$369,"&lt;"&amp;D290,$E$17:$E$369,"&gt;="&amp;E290)+COUNTIFS($D$17:$D$369,"="&amp;D290,$E$17:$E$369,"&gt;"&amp;E290)=0,"是","否")</x:f>
        <x:v>否</x:v>
      </x:c>
      <x:c r="K290" s="13" t="str">
        <x:f>IF(COUNTIFS($G$17:$G$369,"&lt;"&amp;F290,$H$17:$H$369,"&gt;="&amp;I290)+COUNTIFS($G$17:$G$369,"="&amp;F290,$H$17:$H$369,"&gt;"&amp;I290)=0,"是","否")</x:f>
        <x:v>否</x:v>
      </x:c>
      <x:c r="L290" s="13" t="str">
        <x:f>IF(COUNTIFS($F$17:$F$369,"&lt;"&amp;G290,$I$17:$I$369,"&gt;="&amp;H290)+COUNTIFS($F$17:$F$369,"="&amp;G290,$I$17:$I$369,"&gt;"&amp;H290)-IF(OR(G290&gt;F290,I290&gt;H290),1,0)=0,"是","否")</x:f>
        <x:v>否</x:v>
      </x:c>
      <x:c r="M290" s="13" t="n">
        <x:f>1+COUNTIF($H$17:$H$369,"&gt;"&amp;I290)</x:f>
        <x:v>142</x:v>
      </x:c>
      <x:c r="N290" s="13" t="n">
        <x:f>COUNTIF($I$17:$I$369,"&gt;="&amp;H290)</x:f>
        <x:v>151</x:v>
      </x:c>
      <x:c r="O290" s="13" t="str">
        <x:v>I04 Table_1!D5003/P5003/U5003</x:v>
      </x:c>
    </x:row>
    <x:row r="291" ht="24" customHeight="1">
      <x:c r="A291" s="13" t="str">
        <x:v>M91014</x:v>
      </x:c>
      <x:c r="B291" s="13" t="str">
        <x:v>QUA</x:v>
      </x:c>
      <x:c r="C291" s="13" t="n">
        <x:v>36</x:v>
      </x:c>
      <x:c r="D291" s="30" t="n">
        <x:v>75</x:v>
      </x:c>
      <x:c r="E291" s="14" t="n">
        <x:f>C291*(1000-ROUND(D291*10,0))/1000</x:f>
        <x:v>9</x:v>
      </x:c>
      <x:c r="F291" s="14" t="n">
        <x:f>MAX(0,(ROUND(D291*100,0)-ROUND($B$3*100,0))/100)</x:f>
        <x:v>74.95</x:v>
      </x:c>
      <x:c r="G291" s="14" t="n">
        <x:f>MIN(100,(ROUND(D291*100,0)+ROUND($B$3*100,0))/100)</x:f>
        <x:v>75.05</x:v>
      </x:c>
      <x:c r="H291" s="40" t="n">
        <x:f>C291*(10000-ROUND(G291*100,0))/10000</x:f>
        <x:v>8.982</x:v>
      </x:c>
      <x:c r="I291" s="40" t="n">
        <x:f>C291*(10000-ROUND(F291*100,0))/10000</x:f>
        <x:v>9.018</x:v>
      </x:c>
      <x:c r="J291" s="13" t="str">
        <x:f>IF(COUNTIFS($D$17:$D$369,"&lt;"&amp;D291,$E$17:$E$369,"&gt;="&amp;E291)+COUNTIFS($D$17:$D$369,"="&amp;D291,$E$17:$E$369,"&gt;"&amp;E291)=0,"是","否")</x:f>
        <x:v>否</x:v>
      </x:c>
      <x:c r="K291" s="13" t="str">
        <x:f>IF(COUNTIFS($G$17:$G$369,"&lt;"&amp;F291,$H$17:$H$369,"&gt;="&amp;I291)+COUNTIFS($G$17:$G$369,"="&amp;F291,$H$17:$H$369,"&gt;"&amp;I291)=0,"是","否")</x:f>
        <x:v>否</x:v>
      </x:c>
      <x:c r="L291" s="13" t="str">
        <x:f>IF(COUNTIFS($F$17:$F$369,"&lt;"&amp;G291,$I$17:$I$369,"&gt;="&amp;H291)+COUNTIFS($F$17:$F$369,"="&amp;G291,$I$17:$I$369,"&gt;"&amp;H291)-IF(OR(G291&gt;F291,I291&gt;H291),1,0)=0,"是","否")</x:f>
        <x:v>否</x:v>
      </x:c>
      <x:c r="M291" s="13" t="n">
        <x:f>1+COUNTIF($H$17:$H$369,"&gt;"&amp;I291)</x:f>
        <x:v>244</x:v>
      </x:c>
      <x:c r="N291" s="13" t="n">
        <x:f>COUNTIF($I$17:$I$369,"&gt;="&amp;H291)</x:f>
        <x:v>256</x:v>
      </x:c>
      <x:c r="O291" s="13" t="str">
        <x:v>I04 Table_1!D5004/P5004/U5004</x:v>
      </x:c>
    </x:row>
    <x:row r="292" ht="24" customHeight="1">
      <x:c r="A292" s="13" t="str">
        <x:v>M91015</x:v>
      </x:c>
      <x:c r="B292" s="13" t="str">
        <x:v>QUA</x:v>
      </x:c>
      <x:c r="C292" s="13" t="n">
        <x:v>270</x:v>
      </x:c>
      <x:c r="D292" s="30" t="n">
        <x:v>85.9</x:v>
      </x:c>
      <x:c r="E292" s="14" t="n">
        <x:f>C292*(1000-ROUND(D292*10,0))/1000</x:f>
        <x:v>38.07</x:v>
      </x:c>
      <x:c r="F292" s="14" t="n">
        <x:f>MAX(0,(ROUND(D292*100,0)-ROUND($B$3*100,0))/100)</x:f>
        <x:v>85.85</x:v>
      </x:c>
      <x:c r="G292" s="14" t="n">
        <x:f>MIN(100,(ROUND(D292*100,0)+ROUND($B$3*100,0))/100)</x:f>
        <x:v>85.95</x:v>
      </x:c>
      <x:c r="H292" s="40" t="n">
        <x:f>C292*(10000-ROUND(G292*100,0))/10000</x:f>
        <x:v>37.935</x:v>
      </x:c>
      <x:c r="I292" s="40" t="n">
        <x:f>C292*(10000-ROUND(F292*100,0))/10000</x:f>
        <x:v>38.205</x:v>
      </x:c>
      <x:c r="J292" s="13" t="str">
        <x:f>IF(COUNTIFS($D$17:$D$369,"&lt;"&amp;D292,$E$17:$E$369,"&gt;="&amp;E292)+COUNTIFS($D$17:$D$369,"="&amp;D292,$E$17:$E$369,"&gt;"&amp;E292)=0,"是","否")</x:f>
        <x:v>否</x:v>
      </x:c>
      <x:c r="K292" s="13" t="str">
        <x:f>IF(COUNTIFS($G$17:$G$369,"&lt;"&amp;F292,$H$17:$H$369,"&gt;="&amp;I292)+COUNTIFS($G$17:$G$369,"="&amp;F292,$H$17:$H$369,"&gt;"&amp;I292)=0,"是","否")</x:f>
        <x:v>否</x:v>
      </x:c>
      <x:c r="L292" s="13" t="str">
        <x:f>IF(COUNTIFS($F$17:$F$369,"&lt;"&amp;G292,$I$17:$I$369,"&gt;="&amp;H292)+COUNTIFS($F$17:$F$369,"="&amp;G292,$I$17:$I$369,"&gt;"&amp;H292)-IF(OR(G292&gt;F292,I292&gt;H292),1,0)=0,"是","否")</x:f>
        <x:v>否</x:v>
      </x:c>
      <x:c r="M292" s="13" t="n">
        <x:f>1+COUNTIF($H$17:$H$369,"&gt;"&amp;I292)</x:f>
        <x:v>42</x:v>
      </x:c>
      <x:c r="N292" s="13" t="n">
        <x:f>COUNTIF($I$17:$I$369,"&gt;="&amp;H292)</x:f>
        <x:v>46</x:v>
      </x:c>
      <x:c r="O292" s="13" t="str">
        <x:v>I04 Table_1!D5005/P5005/U5005</x:v>
      </x:c>
    </x:row>
    <x:row r="293" ht="24" customHeight="1">
      <x:c r="A293" s="13" t="str">
        <x:v>M91016</x:v>
      </x:c>
      <x:c r="B293" s="13" t="str">
        <x:v>QUA</x:v>
      </x:c>
      <x:c r="C293" s="13" t="n">
        <x:v>91</x:v>
      </x:c>
      <x:c r="D293" s="30" t="n">
        <x:v>90.1</x:v>
      </x:c>
      <x:c r="E293" s="14" t="n">
        <x:f>C293*(1000-ROUND(D293*10,0))/1000</x:f>
        <x:v>9.009</x:v>
      </x:c>
      <x:c r="F293" s="14" t="n">
        <x:f>MAX(0,(ROUND(D293*100,0)-ROUND($B$3*100,0))/100)</x:f>
        <x:v>90.05</x:v>
      </x:c>
      <x:c r="G293" s="14" t="n">
        <x:f>MIN(100,(ROUND(D293*100,0)+ROUND($B$3*100,0))/100)</x:f>
        <x:v>90.15</x:v>
      </x:c>
      <x:c r="H293" s="40" t="n">
        <x:f>C293*(10000-ROUND(G293*100,0))/10000</x:f>
        <x:v>8.9635</x:v>
      </x:c>
      <x:c r="I293" s="40" t="n">
        <x:f>C293*(10000-ROUND(F293*100,0))/10000</x:f>
        <x:v>9.0545</x:v>
      </x:c>
      <x:c r="J293" s="13" t="str">
        <x:f>IF(COUNTIFS($D$17:$D$369,"&lt;"&amp;D293,$E$17:$E$369,"&gt;="&amp;E293)+COUNTIFS($D$17:$D$369,"="&amp;D293,$E$17:$E$369,"&gt;"&amp;E293)=0,"是","否")</x:f>
        <x:v>否</x:v>
      </x:c>
      <x:c r="K293" s="13" t="str">
        <x:f>IF(COUNTIFS($G$17:$G$369,"&lt;"&amp;F293,$H$17:$H$369,"&gt;="&amp;I293)+COUNTIFS($G$17:$G$369,"="&amp;F293,$H$17:$H$369,"&gt;"&amp;I293)=0,"是","否")</x:f>
        <x:v>否</x:v>
      </x:c>
      <x:c r="L293" s="13" t="str">
        <x:f>IF(COUNTIFS($F$17:$F$369,"&lt;"&amp;G293,$I$17:$I$369,"&gt;="&amp;H293)+COUNTIFS($F$17:$F$369,"="&amp;G293,$I$17:$I$369,"&gt;"&amp;H293)-IF(OR(G293&gt;F293,I293&gt;H293),1,0)=0,"是","否")</x:f>
        <x:v>否</x:v>
      </x:c>
      <x:c r="M293" s="13" t="n">
        <x:f>1+COUNTIF($H$17:$H$369,"&gt;"&amp;I293)</x:f>
        <x:v>244</x:v>
      </x:c>
      <x:c r="N293" s="13" t="n">
        <x:f>COUNTIF($I$17:$I$369,"&gt;="&amp;H293)</x:f>
        <x:v>256</x:v>
      </x:c>
      <x:c r="O293" s="13" t="str">
        <x:v>I04 Table_1!D5006/P5006/U5006</x:v>
      </x:c>
    </x:row>
    <x:row r="294" ht="24" customHeight="1">
      <x:c r="A294" s="13" t="str">
        <x:v>M91017</x:v>
      </x:c>
      <x:c r="B294" s="13" t="str">
        <x:v>QUA</x:v>
      </x:c>
      <x:c r="C294" s="13" t="n">
        <x:v>91</x:v>
      </x:c>
      <x:c r="D294" s="30" t="n">
        <x:v>95.6</x:v>
      </x:c>
      <x:c r="E294" s="14" t="n">
        <x:f>C294*(1000-ROUND(D294*10,0))/1000</x:f>
        <x:v>4.004</x:v>
      </x:c>
      <x:c r="F294" s="14" t="n">
        <x:f>MAX(0,(ROUND(D294*100,0)-ROUND($B$3*100,0))/100)</x:f>
        <x:v>95.55</x:v>
      </x:c>
      <x:c r="G294" s="14" t="n">
        <x:f>MIN(100,(ROUND(D294*100,0)+ROUND($B$3*100,0))/100)</x:f>
        <x:v>95.65</x:v>
      </x:c>
      <x:c r="H294" s="40" t="n">
        <x:f>C294*(10000-ROUND(G294*100,0))/10000</x:f>
        <x:v>3.9585</x:v>
      </x:c>
      <x:c r="I294" s="40" t="n">
        <x:f>C294*(10000-ROUND(F294*100,0))/10000</x:f>
        <x:v>4.0495</x:v>
      </x:c>
      <x:c r="J294" s="13" t="str">
        <x:f>IF(COUNTIFS($D$17:$D$369,"&lt;"&amp;D294,$E$17:$E$369,"&gt;="&amp;E294)+COUNTIFS($D$17:$D$369,"="&amp;D294,$E$17:$E$369,"&gt;"&amp;E294)=0,"是","否")</x:f>
        <x:v>否</x:v>
      </x:c>
      <x:c r="K294" s="13" t="str">
        <x:f>IF(COUNTIFS($G$17:$G$369,"&lt;"&amp;F294,$H$17:$H$369,"&gt;="&amp;I294)+COUNTIFS($G$17:$G$369,"="&amp;F294,$H$17:$H$369,"&gt;"&amp;I294)=0,"是","否")</x:f>
        <x:v>否</x:v>
      </x:c>
      <x:c r="L294" s="13" t="str">
        <x:f>IF(COUNTIFS($F$17:$F$369,"&lt;"&amp;G294,$I$17:$I$369,"&gt;="&amp;H294)+COUNTIFS($F$17:$F$369,"="&amp;G294,$I$17:$I$369,"&gt;"&amp;H294)-IF(OR(G294&gt;F294,I294&gt;H294),1,0)=0,"是","否")</x:f>
        <x:v>否</x:v>
      </x:c>
      <x:c r="M294" s="13" t="n">
        <x:f>1+COUNTIF($H$17:$H$369,"&gt;"&amp;I294)</x:f>
        <x:v>320</x:v>
      </x:c>
      <x:c r="N294" s="13" t="n">
        <x:f>COUNTIF($I$17:$I$369,"&gt;="&amp;H294)</x:f>
        <x:v>330</x:v>
      </x:c>
      <x:c r="O294" s="13" t="str">
        <x:v>I04 Table_1!D5007/P5007/U5007</x:v>
      </x:c>
    </x:row>
    <x:row r="295" ht="24" customHeight="1">
      <x:c r="A295" s="13" t="str">
        <x:v>M91018</x:v>
      </x:c>
      <x:c r="B295" s="13" t="str">
        <x:v>QUA</x:v>
      </x:c>
      <x:c r="C295" s="13" t="n">
        <x:v>40</x:v>
      </x:c>
      <x:c r="D295" s="30" t="n">
        <x:v>67.5</x:v>
      </x:c>
      <x:c r="E295" s="14" t="n">
        <x:f>C295*(1000-ROUND(D295*10,0))/1000</x:f>
        <x:v>13</x:v>
      </x:c>
      <x:c r="F295" s="14" t="n">
        <x:f>MAX(0,(ROUND(D295*100,0)-ROUND($B$3*100,0))/100)</x:f>
        <x:v>67.45</x:v>
      </x:c>
      <x:c r="G295" s="14" t="n">
        <x:f>MIN(100,(ROUND(D295*100,0)+ROUND($B$3*100,0))/100)</x:f>
        <x:v>67.55</x:v>
      </x:c>
      <x:c r="H295" s="40" t="n">
        <x:f>C295*(10000-ROUND(G295*100,0))/10000</x:f>
        <x:v>12.98</x:v>
      </x:c>
      <x:c r="I295" s="40" t="n">
        <x:f>C295*(10000-ROUND(F295*100,0))/10000</x:f>
        <x:v>13.02</x:v>
      </x:c>
      <x:c r="J295" s="13" t="str">
        <x:f>IF(COUNTIFS($D$17:$D$369,"&lt;"&amp;D295,$E$17:$E$369,"&gt;="&amp;E295)+COUNTIFS($D$17:$D$369,"="&amp;D295,$E$17:$E$369,"&gt;"&amp;E295)=0,"是","否")</x:f>
        <x:v>否</x:v>
      </x:c>
      <x:c r="K295" s="13" t="str">
        <x:f>IF(COUNTIFS($G$17:$G$369,"&lt;"&amp;F295,$H$17:$H$369,"&gt;="&amp;I295)+COUNTIFS($G$17:$G$369,"="&amp;F295,$H$17:$H$369,"&gt;"&amp;I295)=0,"是","否")</x:f>
        <x:v>否</x:v>
      </x:c>
      <x:c r="L295" s="13" t="str">
        <x:f>IF(COUNTIFS($F$17:$F$369,"&lt;"&amp;G295,$I$17:$I$369,"&gt;="&amp;H295)+COUNTIFS($F$17:$F$369,"="&amp;G295,$I$17:$I$369,"&gt;"&amp;H295)-IF(OR(G295&gt;F295,I295&gt;H295),1,0)=0,"是","否")</x:f>
        <x:v>否</x:v>
      </x:c>
      <x:c r="M295" s="13" t="n">
        <x:f>1+COUNTIF($H$17:$H$369,"&gt;"&amp;I295)</x:f>
        <x:v>200</x:v>
      </x:c>
      <x:c r="N295" s="13" t="n">
        <x:f>COUNTIF($I$17:$I$369,"&gt;="&amp;H295)</x:f>
        <x:v>212</x:v>
      </x:c>
      <x:c r="O295" s="13" t="str">
        <x:v>I04 Table_1!D5008/P5008/U5008</x:v>
      </x:c>
    </x:row>
    <x:row r="296" ht="24" customHeight="1">
      <x:c r="A296" s="13" t="str">
        <x:v>M91019</x:v>
      </x:c>
      <x:c r="B296" s="13" t="str">
        <x:v>QUA</x:v>
      </x:c>
      <x:c r="C296" s="13" t="n">
        <x:v>172</x:v>
      </x:c>
      <x:c r="D296" s="30" t="n">
        <x:v>89</x:v>
      </x:c>
      <x:c r="E296" s="14" t="n">
        <x:f>C296*(1000-ROUND(D296*10,0))/1000</x:f>
        <x:v>18.92</x:v>
      </x:c>
      <x:c r="F296" s="14" t="n">
        <x:f>MAX(0,(ROUND(D296*100,0)-ROUND($B$3*100,0))/100)</x:f>
        <x:v>88.95</x:v>
      </x:c>
      <x:c r="G296" s="14" t="n">
        <x:f>MIN(100,(ROUND(D296*100,0)+ROUND($B$3*100,0))/100)</x:f>
        <x:v>89.05</x:v>
      </x:c>
      <x:c r="H296" s="40" t="n">
        <x:f>C296*(10000-ROUND(G296*100,0))/10000</x:f>
        <x:v>18.834</x:v>
      </x:c>
      <x:c r="I296" s="40" t="n">
        <x:f>C296*(10000-ROUND(F296*100,0))/10000</x:f>
        <x:v>19.006</x:v>
      </x:c>
      <x:c r="J296" s="13" t="str">
        <x:f>IF(COUNTIFS($D$17:$D$369,"&lt;"&amp;D296,$E$17:$E$369,"&gt;="&amp;E296)+COUNTIFS($D$17:$D$369,"="&amp;D296,$E$17:$E$369,"&gt;"&amp;E296)=0,"是","否")</x:f>
        <x:v>否</x:v>
      </x:c>
      <x:c r="K296" s="13" t="str">
        <x:f>IF(COUNTIFS($G$17:$G$369,"&lt;"&amp;F296,$H$17:$H$369,"&gt;="&amp;I296)+COUNTIFS($G$17:$G$369,"="&amp;F296,$H$17:$H$369,"&gt;"&amp;I296)=0,"是","否")</x:f>
        <x:v>否</x:v>
      </x:c>
      <x:c r="L296" s="13" t="str">
        <x:f>IF(COUNTIFS($F$17:$F$369,"&lt;"&amp;G296,$I$17:$I$369,"&gt;="&amp;H296)+COUNTIFS($F$17:$F$369,"="&amp;G296,$I$17:$I$369,"&gt;"&amp;H296)-IF(OR(G296&gt;F296,I296&gt;H296),1,0)=0,"是","否")</x:f>
        <x:v>否</x:v>
      </x:c>
      <x:c r="M296" s="13" t="n">
        <x:f>1+COUNTIF($H$17:$H$369,"&gt;"&amp;I296)</x:f>
        <x:v>142</x:v>
      </x:c>
      <x:c r="N296" s="13" t="n">
        <x:f>COUNTIF($I$17:$I$369,"&gt;="&amp;H296)</x:f>
        <x:v>151</x:v>
      </x:c>
      <x:c r="O296" s="13" t="str">
        <x:v>I04 Table_1!D5009/P5009/U5009</x:v>
      </x:c>
    </x:row>
    <x:row r="297" ht="24" customHeight="1">
      <x:c r="A297" s="13" t="str">
        <x:v>M91021</x:v>
      </x:c>
      <x:c r="B297" s="13" t="str">
        <x:v>QUA</x:v>
      </x:c>
      <x:c r="C297" s="13" t="n">
        <x:v>94</x:v>
      </x:c>
      <x:c r="D297" s="30" t="n">
        <x:v>81.9</x:v>
      </x:c>
      <x:c r="E297" s="14" t="n">
        <x:f>C297*(1000-ROUND(D297*10,0))/1000</x:f>
        <x:v>17.014</x:v>
      </x:c>
      <x:c r="F297" s="14" t="n">
        <x:f>MAX(0,(ROUND(D297*100,0)-ROUND($B$3*100,0))/100)</x:f>
        <x:v>81.85</x:v>
      </x:c>
      <x:c r="G297" s="14" t="n">
        <x:f>MIN(100,(ROUND(D297*100,0)+ROUND($B$3*100,0))/100)</x:f>
        <x:v>81.95</x:v>
      </x:c>
      <x:c r="H297" s="40" t="n">
        <x:f>C297*(10000-ROUND(G297*100,0))/10000</x:f>
        <x:v>16.967</x:v>
      </x:c>
      <x:c r="I297" s="40" t="n">
        <x:f>C297*(10000-ROUND(F297*100,0))/10000</x:f>
        <x:v>17.061</x:v>
      </x:c>
      <x:c r="J297" s="13" t="str">
        <x:f>IF(COUNTIFS($D$17:$D$369,"&lt;"&amp;D297,$E$17:$E$369,"&gt;="&amp;E297)+COUNTIFS($D$17:$D$369,"="&amp;D297,$E$17:$E$369,"&gt;"&amp;E297)=0,"是","否")</x:f>
        <x:v>否</x:v>
      </x:c>
      <x:c r="K297" s="13" t="str">
        <x:f>IF(COUNTIFS($G$17:$G$369,"&lt;"&amp;F297,$H$17:$H$369,"&gt;="&amp;I297)+COUNTIFS($G$17:$G$369,"="&amp;F297,$H$17:$H$369,"&gt;"&amp;I297)=0,"是","否")</x:f>
        <x:v>否</x:v>
      </x:c>
      <x:c r="L297" s="13" t="str">
        <x:f>IF(COUNTIFS($F$17:$F$369,"&lt;"&amp;G297,$I$17:$I$369,"&gt;="&amp;H297)+COUNTIFS($F$17:$F$369,"="&amp;G297,$I$17:$I$369,"&gt;"&amp;H297)-IF(OR(G297&gt;F297,I297&gt;H297),1,0)=0,"是","否")</x:f>
        <x:v>否</x:v>
      </x:c>
      <x:c r="M297" s="13" t="n">
        <x:f>1+COUNTIF($H$17:$H$369,"&gt;"&amp;I297)</x:f>
        <x:v>158</x:v>
      </x:c>
      <x:c r="N297" s="13" t="n">
        <x:f>COUNTIF($I$17:$I$369,"&gt;="&amp;H297)</x:f>
        <x:v>166</x:v>
      </x:c>
      <x:c r="O297" s="13" t="str">
        <x:v>I04 Table_1!D5010/P5010/U5010</x:v>
      </x:c>
    </x:row>
    <x:row r="298" ht="24" customHeight="1">
      <x:c r="A298" s="13" t="str">
        <x:v>M91024</x:v>
      </x:c>
      <x:c r="B298" s="13" t="str">
        <x:v>QUA</x:v>
      </x:c>
      <x:c r="C298" s="13" t="n">
        <x:v>18</x:v>
      </x:c>
      <x:c r="D298" s="30" t="n">
        <x:v>100</x:v>
      </x:c>
      <x:c r="E298" s="14" t="n">
        <x:f>C298*(1000-ROUND(D298*10,0))/1000</x:f>
        <x:v>0</x:v>
      </x:c>
      <x:c r="F298" s="14" t="n">
        <x:f>MAX(0,(ROUND(D298*100,0)-ROUND($B$3*100,0))/100)</x:f>
        <x:v>99.95</x:v>
      </x:c>
      <x:c r="G298" s="14" t="n">
        <x:f>MIN(100,(ROUND(D298*100,0)+ROUND($B$3*100,0))/100)</x:f>
        <x:v>100</x:v>
      </x:c>
      <x:c r="H298" s="40" t="n">
        <x:f>C298*(10000-ROUND(G298*100,0))/10000</x:f>
        <x:v>0</x:v>
      </x:c>
      <x:c r="I298" s="40" t="n">
        <x:f>C298*(10000-ROUND(F298*100,0))/10000</x:f>
        <x:v>0.009</x:v>
      </x:c>
      <x:c r="J298" s="13" t="str">
        <x:f>IF(COUNTIFS($D$17:$D$369,"&lt;"&amp;D298,$E$17:$E$369,"&gt;="&amp;E298)+COUNTIFS($D$17:$D$369,"="&amp;D298,$E$17:$E$369,"&gt;"&amp;E298)=0,"是","否")</x:f>
        <x:v>否</x:v>
      </x:c>
      <x:c r="K298" s="13" t="str">
        <x:f>IF(COUNTIFS($G$17:$G$369,"&lt;"&amp;F298,$H$17:$H$369,"&gt;="&amp;I298)+COUNTIFS($G$17:$G$369,"="&amp;F298,$H$17:$H$369,"&gt;"&amp;I298)=0,"是","否")</x:f>
        <x:v>否</x:v>
      </x:c>
      <x:c r="L298" s="13" t="str">
        <x:f>IF(COUNTIFS($F$17:$F$369,"&lt;"&amp;G298,$I$17:$I$369,"&gt;="&amp;H298)+COUNTIFS($F$17:$F$369,"="&amp;G298,$I$17:$I$369,"&gt;"&amp;H298)-IF(OR(G298&gt;F298,I298&gt;H298),1,0)=0,"是","否")</x:f>
        <x:v>否</x:v>
      </x:c>
      <x:c r="M298" s="13" t="n">
        <x:f>1+COUNTIF($H$17:$H$369,"&gt;"&amp;I298)</x:f>
        <x:v>353</x:v>
      </x:c>
      <x:c r="N298" s="13" t="n">
        <x:f>COUNTIF($I$17:$I$369,"&gt;="&amp;H298)</x:f>
        <x:v>353</x:v>
      </x:c>
      <x:c r="O298" s="13" t="str">
        <x:v>I04 Table_1!D5011/P5011/U5011</x:v>
      </x:c>
    </x:row>
    <x:row r="299" ht="24" customHeight="1">
      <x:c r="A299" s="13" t="str">
        <x:v>M91026</x:v>
      </x:c>
      <x:c r="B299" s="13" t="str">
        <x:v>QUA</x:v>
      </x:c>
      <x:c r="C299" s="13" t="n">
        <x:v>105</x:v>
      </x:c>
      <x:c r="D299" s="30" t="n">
        <x:v>79</x:v>
      </x:c>
      <x:c r="E299" s="14" t="n">
        <x:f>C299*(1000-ROUND(D299*10,0))/1000</x:f>
        <x:v>22.05</x:v>
      </x:c>
      <x:c r="F299" s="14" t="n">
        <x:f>MAX(0,(ROUND(D299*100,0)-ROUND($B$3*100,0))/100)</x:f>
        <x:v>78.95</x:v>
      </x:c>
      <x:c r="G299" s="14" t="n">
        <x:f>MIN(100,(ROUND(D299*100,0)+ROUND($B$3*100,0))/100)</x:f>
        <x:v>79.05</x:v>
      </x:c>
      <x:c r="H299" s="40" t="n">
        <x:f>C299*(10000-ROUND(G299*100,0))/10000</x:f>
        <x:v>21.9975</x:v>
      </x:c>
      <x:c r="I299" s="40" t="n">
        <x:f>C299*(10000-ROUND(F299*100,0))/10000</x:f>
        <x:v>22.1025</x:v>
      </x:c>
      <x:c r="J299" s="13" t="str">
        <x:f>IF(COUNTIFS($D$17:$D$369,"&lt;"&amp;D299,$E$17:$E$369,"&gt;="&amp;E299)+COUNTIFS($D$17:$D$369,"="&amp;D299,$E$17:$E$369,"&gt;"&amp;E299)=0,"是","否")</x:f>
        <x:v>否</x:v>
      </x:c>
      <x:c r="K299" s="13" t="str">
        <x:f>IF(COUNTIFS($G$17:$G$369,"&lt;"&amp;F299,$H$17:$H$369,"&gt;="&amp;I299)+COUNTIFS($G$17:$G$369,"="&amp;F299,$H$17:$H$369,"&gt;"&amp;I299)=0,"是","否")</x:f>
        <x:v>否</x:v>
      </x:c>
      <x:c r="L299" s="13" t="str">
        <x:f>IF(COUNTIFS($F$17:$F$369,"&lt;"&amp;G299,$I$17:$I$369,"&gt;="&amp;H299)+COUNTIFS($F$17:$F$369,"="&amp;G299,$I$17:$I$369,"&gt;"&amp;H299)-IF(OR(G299&gt;F299,I299&gt;H299),1,0)=0,"是","否")</x:f>
        <x:v>否</x:v>
      </x:c>
      <x:c r="M299" s="13" t="n">
        <x:f>1+COUNTIF($H$17:$H$369,"&gt;"&amp;I299)</x:f>
        <x:v>120</x:v>
      </x:c>
      <x:c r="N299" s="13" t="n">
        <x:f>COUNTIF($I$17:$I$369,"&gt;="&amp;H299)</x:f>
        <x:v>122</x:v>
      </x:c>
      <x:c r="O299" s="13" t="str">
        <x:v>I04 Table_1!D5012/P5012/U5012</x:v>
      </x:c>
    </x:row>
    <x:row r="300" ht="24" customHeight="1">
      <x:c r="A300" s="13" t="str">
        <x:v>M91028</x:v>
      </x:c>
      <x:c r="B300" s="13" t="str">
        <x:v>QUA</x:v>
      </x:c>
      <x:c r="C300" s="13" t="n">
        <x:v>106</x:v>
      </x:c>
      <x:c r="D300" s="30" t="n">
        <x:v>78.3</x:v>
      </x:c>
      <x:c r="E300" s="14" t="n">
        <x:f>C300*(1000-ROUND(D300*10,0))/1000</x:f>
        <x:v>23.002</x:v>
      </x:c>
      <x:c r="F300" s="14" t="n">
        <x:f>MAX(0,(ROUND(D300*100,0)-ROUND($B$3*100,0))/100)</x:f>
        <x:v>78.25</x:v>
      </x:c>
      <x:c r="G300" s="14" t="n">
        <x:f>MIN(100,(ROUND(D300*100,0)+ROUND($B$3*100,0))/100)</x:f>
        <x:v>78.35</x:v>
      </x:c>
      <x:c r="H300" s="40" t="n">
        <x:f>C300*(10000-ROUND(G300*100,0))/10000</x:f>
        <x:v>22.949</x:v>
      </x:c>
      <x:c r="I300" s="40" t="n">
        <x:f>C300*(10000-ROUND(F300*100,0))/10000</x:f>
        <x:v>23.055</x:v>
      </x:c>
      <x:c r="J300" s="13" t="str">
        <x:f>IF(COUNTIFS($D$17:$D$369,"&lt;"&amp;D300,$E$17:$E$369,"&gt;="&amp;E300)+COUNTIFS($D$17:$D$369,"="&amp;D300,$E$17:$E$369,"&gt;"&amp;E300)=0,"是","否")</x:f>
        <x:v>否</x:v>
      </x:c>
      <x:c r="K300" s="13" t="str">
        <x:f>IF(COUNTIFS($G$17:$G$369,"&lt;"&amp;F300,$H$17:$H$369,"&gt;="&amp;I300)+COUNTIFS($G$17:$G$369,"="&amp;F300,$H$17:$H$369,"&gt;"&amp;I300)=0,"是","否")</x:f>
        <x:v>否</x:v>
      </x:c>
      <x:c r="L300" s="13" t="str">
        <x:f>IF(COUNTIFS($F$17:$F$369,"&lt;"&amp;G300,$I$17:$I$369,"&gt;="&amp;H300)+COUNTIFS($F$17:$F$369,"="&amp;G300,$I$17:$I$369,"&gt;"&amp;H300)-IF(OR(G300&gt;F300,I300&gt;H300),1,0)=0,"是","否")</x:f>
        <x:v>否</x:v>
      </x:c>
      <x:c r="M300" s="13" t="n">
        <x:f>1+COUNTIF($H$17:$H$369,"&gt;"&amp;I300)</x:f>
        <x:v>112</x:v>
      </x:c>
      <x:c r="N300" s="13" t="n">
        <x:f>COUNTIF($I$17:$I$369,"&gt;="&amp;H300)</x:f>
        <x:v>119</x:v>
      </x:c>
      <x:c r="O300" s="13" t="str">
        <x:v>I04 Table_1!D5013/P5013/U5013</x:v>
      </x:c>
    </x:row>
    <x:row r="301" ht="24" customHeight="1">
      <x:c r="A301" s="13" t="str">
        <x:v>M91029</x:v>
      </x:c>
      <x:c r="B301" s="13" t="str">
        <x:v>QUA</x:v>
      </x:c>
      <x:c r="C301" s="13" t="n">
        <x:v>76</x:v>
      </x:c>
      <x:c r="D301" s="30" t="n">
        <x:v>88.2</x:v>
      </x:c>
      <x:c r="E301" s="14" t="n">
        <x:f>C301*(1000-ROUND(D301*10,0))/1000</x:f>
        <x:v>8.968</x:v>
      </x:c>
      <x:c r="F301" s="14" t="n">
        <x:f>MAX(0,(ROUND(D301*100,0)-ROUND($B$3*100,0))/100)</x:f>
        <x:v>88.15</x:v>
      </x:c>
      <x:c r="G301" s="14" t="n">
        <x:f>MIN(100,(ROUND(D301*100,0)+ROUND($B$3*100,0))/100)</x:f>
        <x:v>88.25</x:v>
      </x:c>
      <x:c r="H301" s="40" t="n">
        <x:f>C301*(10000-ROUND(G301*100,0))/10000</x:f>
        <x:v>8.93</x:v>
      </x:c>
      <x:c r="I301" s="40" t="n">
        <x:f>C301*(10000-ROUND(F301*100,0))/10000</x:f>
        <x:v>9.006</x:v>
      </x:c>
      <x:c r="J301" s="13" t="str">
        <x:f>IF(COUNTIFS($D$17:$D$369,"&lt;"&amp;D301,$E$17:$E$369,"&gt;="&amp;E301)+COUNTIFS($D$17:$D$369,"="&amp;D301,$E$17:$E$369,"&gt;"&amp;E301)=0,"是","否")</x:f>
        <x:v>否</x:v>
      </x:c>
      <x:c r="K301" s="13" t="str">
        <x:f>IF(COUNTIFS($G$17:$G$369,"&lt;"&amp;F301,$H$17:$H$369,"&gt;="&amp;I301)+COUNTIFS($G$17:$G$369,"="&amp;F301,$H$17:$H$369,"&gt;"&amp;I301)=0,"是","否")</x:f>
        <x:v>否</x:v>
      </x:c>
      <x:c r="L301" s="13" t="str">
        <x:f>IF(COUNTIFS($F$17:$F$369,"&lt;"&amp;G301,$I$17:$I$369,"&gt;="&amp;H301)+COUNTIFS($F$17:$F$369,"="&amp;G301,$I$17:$I$369,"&gt;"&amp;H301)-IF(OR(G301&gt;F301,I301&gt;H301),1,0)=0,"是","否")</x:f>
        <x:v>否</x:v>
      </x:c>
      <x:c r="M301" s="13" t="n">
        <x:f>1+COUNTIF($H$17:$H$369,"&gt;"&amp;I301)</x:f>
        <x:v>244</x:v>
      </x:c>
      <x:c r="N301" s="13" t="n">
        <x:f>COUNTIF($I$17:$I$369,"&gt;="&amp;H301)</x:f>
        <x:v>256</x:v>
      </x:c>
      <x:c r="O301" s="13" t="str">
        <x:v>I04 Table_1!D5014/P5014/U5014</x:v>
      </x:c>
    </x:row>
    <x:row r="302" ht="24" customHeight="1">
      <x:c r="A302" s="13" t="str">
        <x:v>M91032</x:v>
      </x:c>
      <x:c r="B302" s="13" t="str">
        <x:v>QUA</x:v>
      </x:c>
      <x:c r="C302" s="13" t="n">
        <x:v>46</x:v>
      </x:c>
      <x:c r="D302" s="30" t="n">
        <x:v>95.7</x:v>
      </x:c>
      <x:c r="E302" s="14" t="n">
        <x:f>C302*(1000-ROUND(D302*10,0))/1000</x:f>
        <x:v>1.978</x:v>
      </x:c>
      <x:c r="F302" s="14" t="n">
        <x:f>MAX(0,(ROUND(D302*100,0)-ROUND($B$3*100,0))/100)</x:f>
        <x:v>95.65</x:v>
      </x:c>
      <x:c r="G302" s="14" t="n">
        <x:f>MIN(100,(ROUND(D302*100,0)+ROUND($B$3*100,0))/100)</x:f>
        <x:v>95.75</x:v>
      </x:c>
      <x:c r="H302" s="40" t="n">
        <x:f>C302*(10000-ROUND(G302*100,0))/10000</x:f>
        <x:v>1.955</x:v>
      </x:c>
      <x:c r="I302" s="40" t="n">
        <x:f>C302*(10000-ROUND(F302*100,0))/10000</x:f>
        <x:v>2.001</x:v>
      </x:c>
      <x:c r="J302" s="13" t="str">
        <x:f>IF(COUNTIFS($D$17:$D$369,"&lt;"&amp;D302,$E$17:$E$369,"&gt;="&amp;E302)+COUNTIFS($D$17:$D$369,"="&amp;D302,$E$17:$E$369,"&gt;"&amp;E302)=0,"是","否")</x:f>
        <x:v>否</x:v>
      </x:c>
      <x:c r="K302" s="13" t="str">
        <x:f>IF(COUNTIFS($G$17:$G$369,"&lt;"&amp;F302,$H$17:$H$369,"&gt;="&amp;I302)+COUNTIFS($G$17:$G$369,"="&amp;F302,$H$17:$H$369,"&gt;"&amp;I302)=0,"是","否")</x:f>
        <x:v>否</x:v>
      </x:c>
      <x:c r="L302" s="13" t="str">
        <x:f>IF(COUNTIFS($F$17:$F$369,"&lt;"&amp;G302,$I$17:$I$369,"&gt;="&amp;H302)+COUNTIFS($F$17:$F$369,"="&amp;G302,$I$17:$I$369,"&gt;"&amp;H302)-IF(OR(G302&gt;F302,I302&gt;H302),1,0)=0,"是","否")</x:f>
        <x:v>否</x:v>
      </x:c>
      <x:c r="M302" s="13" t="n">
        <x:f>1+COUNTIF($H$17:$H$369,"&gt;"&amp;I302)</x:f>
        <x:v>342</x:v>
      </x:c>
      <x:c r="N302" s="13" t="n">
        <x:f>COUNTIF($I$17:$I$369,"&gt;="&amp;H302)</x:f>
        <x:v>350</x:v>
      </x:c>
      <x:c r="O302" s="13" t="str">
        <x:v>I04 Table_1!D5015/P5015/U5015</x:v>
      </x:c>
    </x:row>
    <x:row r="303" ht="24" customHeight="1">
      <x:c r="A303" s="13" t="str">
        <x:v>M91033</x:v>
      </x:c>
      <x:c r="B303" s="13" t="str">
        <x:v>QUA</x:v>
      </x:c>
      <x:c r="C303" s="13" t="n">
        <x:v>87</x:v>
      </x:c>
      <x:c r="D303" s="30" t="n">
        <x:v>81.6</x:v>
      </x:c>
      <x:c r="E303" s="14" t="n">
        <x:f>C303*(1000-ROUND(D303*10,0))/1000</x:f>
        <x:v>16.008</x:v>
      </x:c>
      <x:c r="F303" s="14" t="n">
        <x:f>MAX(0,(ROUND(D303*100,0)-ROUND($B$3*100,0))/100)</x:f>
        <x:v>81.55</x:v>
      </x:c>
      <x:c r="G303" s="14" t="n">
        <x:f>MIN(100,(ROUND(D303*100,0)+ROUND($B$3*100,0))/100)</x:f>
        <x:v>81.65</x:v>
      </x:c>
      <x:c r="H303" s="40" t="n">
        <x:f>C303*(10000-ROUND(G303*100,0))/10000</x:f>
        <x:v>15.9645</x:v>
      </x:c>
      <x:c r="I303" s="40" t="n">
        <x:f>C303*(10000-ROUND(F303*100,0))/10000</x:f>
        <x:v>16.0515</x:v>
      </x:c>
      <x:c r="J303" s="13" t="str">
        <x:f>IF(COUNTIFS($D$17:$D$369,"&lt;"&amp;D303,$E$17:$E$369,"&gt;="&amp;E303)+COUNTIFS($D$17:$D$369,"="&amp;D303,$E$17:$E$369,"&gt;"&amp;E303)=0,"是","否")</x:f>
        <x:v>否</x:v>
      </x:c>
      <x:c r="K303" s="13" t="str">
        <x:f>IF(COUNTIFS($G$17:$G$369,"&lt;"&amp;F303,$H$17:$H$369,"&gt;="&amp;I303)+COUNTIFS($G$17:$G$369,"="&amp;F303,$H$17:$H$369,"&gt;"&amp;I303)=0,"是","否")</x:f>
        <x:v>否</x:v>
      </x:c>
      <x:c r="L303" s="13" t="str">
        <x:f>IF(COUNTIFS($F$17:$F$369,"&lt;"&amp;G303,$I$17:$I$369,"&gt;="&amp;H303)+COUNTIFS($F$17:$F$369,"="&amp;G303,$I$17:$I$369,"&gt;"&amp;H303)-IF(OR(G303&gt;F303,I303&gt;H303),1,0)=0,"是","否")</x:f>
        <x:v>否</x:v>
      </x:c>
      <x:c r="M303" s="13" t="n">
        <x:f>1+COUNTIF($H$17:$H$369,"&gt;"&amp;I303)</x:f>
        <x:v>167</x:v>
      </x:c>
      <x:c r="N303" s="13" t="n">
        <x:f>COUNTIF($I$17:$I$369,"&gt;="&amp;H303)</x:f>
        <x:v>176</x:v>
      </x:c>
      <x:c r="O303" s="13" t="str">
        <x:v>I04 Table_1!D5016/P5016/U5016</x:v>
      </x:c>
    </x:row>
    <x:row r="304" ht="24" customHeight="1">
      <x:c r="A304" s="13" t="str">
        <x:v>M91034</x:v>
      </x:c>
      <x:c r="B304" s="13" t="str">
        <x:v>QUA</x:v>
      </x:c>
      <x:c r="C304" s="13" t="n">
        <x:v>55</x:v>
      </x:c>
      <x:c r="D304" s="30" t="n">
        <x:v>94.5</x:v>
      </x:c>
      <x:c r="E304" s="14" t="n">
        <x:f>C304*(1000-ROUND(D304*10,0))/1000</x:f>
        <x:v>3.025</x:v>
      </x:c>
      <x:c r="F304" s="14" t="n">
        <x:f>MAX(0,(ROUND(D304*100,0)-ROUND($B$3*100,0))/100)</x:f>
        <x:v>94.45</x:v>
      </x:c>
      <x:c r="G304" s="14" t="n">
        <x:f>MIN(100,(ROUND(D304*100,0)+ROUND($B$3*100,0))/100)</x:f>
        <x:v>94.55</x:v>
      </x:c>
      <x:c r="H304" s="40" t="n">
        <x:f>C304*(10000-ROUND(G304*100,0))/10000</x:f>
        <x:v>2.9975</x:v>
      </x:c>
      <x:c r="I304" s="40" t="n">
        <x:f>C304*(10000-ROUND(F304*100,0))/10000</x:f>
        <x:v>3.0525</x:v>
      </x:c>
      <x:c r="J304" s="13" t="str">
        <x:f>IF(COUNTIFS($D$17:$D$369,"&lt;"&amp;D304,$E$17:$E$369,"&gt;="&amp;E304)+COUNTIFS($D$17:$D$369,"="&amp;D304,$E$17:$E$369,"&gt;"&amp;E304)=0,"是","否")</x:f>
        <x:v>否</x:v>
      </x:c>
      <x:c r="K304" s="13" t="str">
        <x:f>IF(COUNTIFS($G$17:$G$369,"&lt;"&amp;F304,$H$17:$H$369,"&gt;="&amp;I304)+COUNTIFS($G$17:$G$369,"="&amp;F304,$H$17:$H$369,"&gt;"&amp;I304)=0,"是","否")</x:f>
        <x:v>否</x:v>
      </x:c>
      <x:c r="L304" s="13" t="str">
        <x:f>IF(COUNTIFS($F$17:$F$369,"&lt;"&amp;G304,$I$17:$I$369,"&gt;="&amp;H304)+COUNTIFS($F$17:$F$369,"="&amp;G304,$I$17:$I$369,"&gt;"&amp;H304)-IF(OR(G304&gt;F304,I304&gt;H304),1,0)=0,"是","否")</x:f>
        <x:v>否</x:v>
      </x:c>
      <x:c r="M304" s="13" t="n">
        <x:f>1+COUNTIF($H$17:$H$369,"&gt;"&amp;I304)</x:f>
        <x:v>331</x:v>
      </x:c>
      <x:c r="N304" s="13" t="n">
        <x:f>COUNTIF($I$17:$I$369,"&gt;="&amp;H304)</x:f>
        <x:v>341</x:v>
      </x:c>
      <x:c r="O304" s="13" t="str">
        <x:v>I04 Table_1!D5017/P5017/U5017</x:v>
      </x:c>
    </x:row>
    <x:row r="305" ht="24" customHeight="1">
      <x:c r="A305" s="13" t="str">
        <x:v>M91036</x:v>
      </x:c>
      <x:c r="B305" s="13" t="str">
        <x:v>QUA</x:v>
      </x:c>
      <x:c r="C305" s="13" t="n">
        <x:v>63</x:v>
      </x:c>
      <x:c r="D305" s="30" t="n">
        <x:v>87.3</x:v>
      </x:c>
      <x:c r="E305" s="14" t="n">
        <x:f>C305*(1000-ROUND(D305*10,0))/1000</x:f>
        <x:v>8.001</x:v>
      </x:c>
      <x:c r="F305" s="14" t="n">
        <x:f>MAX(0,(ROUND(D305*100,0)-ROUND($B$3*100,0))/100)</x:f>
        <x:v>87.25</x:v>
      </x:c>
      <x:c r="G305" s="14" t="n">
        <x:f>MIN(100,(ROUND(D305*100,0)+ROUND($B$3*100,0))/100)</x:f>
        <x:v>87.35</x:v>
      </x:c>
      <x:c r="H305" s="40" t="n">
        <x:f>C305*(10000-ROUND(G305*100,0))/10000</x:f>
        <x:v>7.9695</x:v>
      </x:c>
      <x:c r="I305" s="40" t="n">
        <x:f>C305*(10000-ROUND(F305*100,0))/10000</x:f>
        <x:v>8.0325</x:v>
      </x:c>
      <x:c r="J305" s="13" t="str">
        <x:f>IF(COUNTIFS($D$17:$D$369,"&lt;"&amp;D305,$E$17:$E$369,"&gt;="&amp;E305)+COUNTIFS($D$17:$D$369,"="&amp;D305,$E$17:$E$369,"&gt;"&amp;E305)=0,"是","否")</x:f>
        <x:v>否</x:v>
      </x:c>
      <x:c r="K305" s="13" t="str">
        <x:f>IF(COUNTIFS($G$17:$G$369,"&lt;"&amp;F305,$H$17:$H$369,"&gt;="&amp;I305)+COUNTIFS($G$17:$G$369,"="&amp;F305,$H$17:$H$369,"&gt;"&amp;I305)=0,"是","否")</x:f>
        <x:v>否</x:v>
      </x:c>
      <x:c r="L305" s="13" t="str">
        <x:f>IF(COUNTIFS($F$17:$F$369,"&lt;"&amp;G305,$I$17:$I$369,"&gt;="&amp;H305)+COUNTIFS($F$17:$F$369,"="&amp;G305,$I$17:$I$369,"&gt;"&amp;H305)-IF(OR(G305&gt;F305,I305&gt;H305),1,0)=0,"是","否")</x:f>
        <x:v>否</x:v>
      </x:c>
      <x:c r="M305" s="13" t="n">
        <x:f>1+COUNTIF($H$17:$H$369,"&gt;"&amp;I305)</x:f>
        <x:v>257</x:v>
      </x:c>
      <x:c r="N305" s="13" t="n">
        <x:f>COUNTIF($I$17:$I$369,"&gt;="&amp;H305)</x:f>
        <x:v>271</x:v>
      </x:c>
      <x:c r="O305" s="13" t="str">
        <x:v>I04 Table_1!D5018/P5018/U5018</x:v>
      </x:c>
    </x:row>
    <x:row r="306" ht="24" customHeight="1">
      <x:c r="A306" s="13" t="str">
        <x:v>M91602</x:v>
      </x:c>
      <x:c r="B306" s="13" t="str">
        <x:v>QUA</x:v>
      </x:c>
      <x:c r="C306" s="13" t="n">
        <x:v>32</x:v>
      </x:c>
      <x:c r="D306" s="30" t="n">
        <x:v>90.6</x:v>
      </x:c>
      <x:c r="E306" s="14" t="n">
        <x:f>C306*(1000-ROUND(D306*10,0))/1000</x:f>
        <x:v>3.008</x:v>
      </x:c>
      <x:c r="F306" s="14" t="n">
        <x:f>MAX(0,(ROUND(D306*100,0)-ROUND($B$3*100,0))/100)</x:f>
        <x:v>90.55</x:v>
      </x:c>
      <x:c r="G306" s="14" t="n">
        <x:f>MIN(100,(ROUND(D306*100,0)+ROUND($B$3*100,0))/100)</x:f>
        <x:v>90.65</x:v>
      </x:c>
      <x:c r="H306" s="40" t="n">
        <x:f>C306*(10000-ROUND(G306*100,0))/10000</x:f>
        <x:v>2.992</x:v>
      </x:c>
      <x:c r="I306" s="40" t="n">
        <x:f>C306*(10000-ROUND(F306*100,0))/10000</x:f>
        <x:v>3.024</x:v>
      </x:c>
      <x:c r="J306" s="13" t="str">
        <x:f>IF(COUNTIFS($D$17:$D$369,"&lt;"&amp;D306,$E$17:$E$369,"&gt;="&amp;E306)+COUNTIFS($D$17:$D$369,"="&amp;D306,$E$17:$E$369,"&gt;"&amp;E306)=0,"是","否")</x:f>
        <x:v>否</x:v>
      </x:c>
      <x:c r="K306" s="13" t="str">
        <x:f>IF(COUNTIFS($G$17:$G$369,"&lt;"&amp;F306,$H$17:$H$369,"&gt;="&amp;I306)+COUNTIFS($G$17:$G$369,"="&amp;F306,$H$17:$H$369,"&gt;"&amp;I306)=0,"是","否")</x:f>
        <x:v>否</x:v>
      </x:c>
      <x:c r="L306" s="13" t="str">
        <x:f>IF(COUNTIFS($F$17:$F$369,"&lt;"&amp;G306,$I$17:$I$369,"&gt;="&amp;H306)+COUNTIFS($F$17:$F$369,"="&amp;G306,$I$17:$I$369,"&gt;"&amp;H306)-IF(OR(G306&gt;F306,I306&gt;H306),1,0)=0,"是","否")</x:f>
        <x:v>否</x:v>
      </x:c>
      <x:c r="M306" s="13" t="n">
        <x:f>1+COUNTIF($H$17:$H$369,"&gt;"&amp;I306)</x:f>
        <x:v>331</x:v>
      </x:c>
      <x:c r="N306" s="13" t="n">
        <x:f>COUNTIF($I$17:$I$369,"&gt;="&amp;H306)</x:f>
        <x:v>341</x:v>
      </x:c>
      <x:c r="O306" s="13" t="str">
        <x:v>I04 Table_1!D5019/P5019/U5019</x:v>
      </x:c>
    </x:row>
    <x:row r="307" ht="24" customHeight="1">
      <x:c r="A307" s="13" t="str">
        <x:v>M91609</x:v>
      </x:c>
      <x:c r="B307" s="13" t="str">
        <x:v>QUA</x:v>
      </x:c>
      <x:c r="C307" s="13" t="n">
        <x:v>24</x:v>
      </x:c>
      <x:c r="D307" s="30" t="n">
        <x:v>83.3</x:v>
      </x:c>
      <x:c r="E307" s="14" t="n">
        <x:f>C307*(1000-ROUND(D307*10,0))/1000</x:f>
        <x:v>4.008</x:v>
      </x:c>
      <x:c r="F307" s="14" t="n">
        <x:f>MAX(0,(ROUND(D307*100,0)-ROUND($B$3*100,0))/100)</x:f>
        <x:v>83.25</x:v>
      </x:c>
      <x:c r="G307" s="14" t="n">
        <x:f>MIN(100,(ROUND(D307*100,0)+ROUND($B$3*100,0))/100)</x:f>
        <x:v>83.35</x:v>
      </x:c>
      <x:c r="H307" s="40" t="n">
        <x:f>C307*(10000-ROUND(G307*100,0))/10000</x:f>
        <x:v>3.996</x:v>
      </x:c>
      <x:c r="I307" s="40" t="n">
        <x:f>C307*(10000-ROUND(F307*100,0))/10000</x:f>
        <x:v>4.02</x:v>
      </x:c>
      <x:c r="J307" s="13" t="str">
        <x:f>IF(COUNTIFS($D$17:$D$369,"&lt;"&amp;D307,$E$17:$E$369,"&gt;="&amp;E307)+COUNTIFS($D$17:$D$369,"="&amp;D307,$E$17:$E$369,"&gt;"&amp;E307)=0,"是","否")</x:f>
        <x:v>否</x:v>
      </x:c>
      <x:c r="K307" s="13" t="str">
        <x:f>IF(COUNTIFS($G$17:$G$369,"&lt;"&amp;F307,$H$17:$H$369,"&gt;="&amp;I307)+COUNTIFS($G$17:$G$369,"="&amp;F307,$H$17:$H$369,"&gt;"&amp;I307)=0,"是","否")</x:f>
        <x:v>否</x:v>
      </x:c>
      <x:c r="L307" s="13" t="str">
        <x:f>IF(COUNTIFS($F$17:$F$369,"&lt;"&amp;G307,$I$17:$I$369,"&gt;="&amp;H307)+COUNTIFS($F$17:$F$369,"="&amp;G307,$I$17:$I$369,"&gt;"&amp;H307)-IF(OR(G307&gt;F307,I307&gt;H307),1,0)=0,"是","否")</x:f>
        <x:v>否</x:v>
      </x:c>
      <x:c r="M307" s="13" t="n">
        <x:f>1+COUNTIF($H$17:$H$369,"&gt;"&amp;I307)</x:f>
        <x:v>320</x:v>
      </x:c>
      <x:c r="N307" s="13" t="n">
        <x:f>COUNTIF($I$17:$I$369,"&gt;="&amp;H307)</x:f>
        <x:v>330</x:v>
      </x:c>
      <x:c r="O307" s="13" t="str">
        <x:v>I04 Table_1!D5020/P5020/U5020</x:v>
      </x:c>
    </x:row>
    <x:row r="308" ht="24" customHeight="1">
      <x:c r="A308" s="13" t="str">
        <x:v>M91611</x:v>
      </x:c>
      <x:c r="B308" s="13" t="str">
        <x:v>QUA</x:v>
      </x:c>
      <x:c r="C308" s="13" t="n">
        <x:v>44</x:v>
      </x:c>
      <x:c r="D308" s="30" t="n">
        <x:v>77.3</x:v>
      </x:c>
      <x:c r="E308" s="14" t="n">
        <x:f>C308*(1000-ROUND(D308*10,0))/1000</x:f>
        <x:v>9.988</x:v>
      </x:c>
      <x:c r="F308" s="14" t="n">
        <x:f>MAX(0,(ROUND(D308*100,0)-ROUND($B$3*100,0))/100)</x:f>
        <x:v>77.25</x:v>
      </x:c>
      <x:c r="G308" s="14" t="n">
        <x:f>MIN(100,(ROUND(D308*100,0)+ROUND($B$3*100,0))/100)</x:f>
        <x:v>77.35</x:v>
      </x:c>
      <x:c r="H308" s="40" t="n">
        <x:f>C308*(10000-ROUND(G308*100,0))/10000</x:f>
        <x:v>9.966</x:v>
      </x:c>
      <x:c r="I308" s="40" t="n">
        <x:f>C308*(10000-ROUND(F308*100,0))/10000</x:f>
        <x:v>10.01</x:v>
      </x:c>
      <x:c r="J308" s="13" t="str">
        <x:f>IF(COUNTIFS($D$17:$D$369,"&lt;"&amp;D308,$E$17:$E$369,"&gt;="&amp;E308)+COUNTIFS($D$17:$D$369,"="&amp;D308,$E$17:$E$369,"&gt;"&amp;E308)=0,"是","否")</x:f>
        <x:v>否</x:v>
      </x:c>
      <x:c r="K308" s="13" t="str">
        <x:f>IF(COUNTIFS($G$17:$G$369,"&lt;"&amp;F308,$H$17:$H$369,"&gt;="&amp;I308)+COUNTIFS($G$17:$G$369,"="&amp;F308,$H$17:$H$369,"&gt;"&amp;I308)=0,"是","否")</x:f>
        <x:v>否</x:v>
      </x:c>
      <x:c r="L308" s="13" t="str">
        <x:f>IF(COUNTIFS($F$17:$F$369,"&lt;"&amp;G308,$I$17:$I$369,"&gt;="&amp;H308)+COUNTIFS($F$17:$F$369,"="&amp;G308,$I$17:$I$369,"&gt;"&amp;H308)-IF(OR(G308&gt;F308,I308&gt;H308),1,0)=0,"是","否")</x:f>
        <x:v>否</x:v>
      </x:c>
      <x:c r="M308" s="13" t="n">
        <x:f>1+COUNTIF($H$17:$H$369,"&gt;"&amp;I308)</x:f>
        <x:v>231</x:v>
      </x:c>
      <x:c r="N308" s="13" t="n">
        <x:f>COUNTIF($I$17:$I$369,"&gt;="&amp;H308)</x:f>
        <x:v>243</x:v>
      </x:c>
      <x:c r="O308" s="13" t="str">
        <x:v>I04 Table_1!D5021/P5021/U5021</x:v>
      </x:c>
    </x:row>
    <x:row r="309" ht="24" customHeight="1">
      <x:c r="A309" s="13" t="str">
        <x:v>M91612</x:v>
      </x:c>
      <x:c r="B309" s="13" t="str">
        <x:v>QUA</x:v>
      </x:c>
      <x:c r="C309" s="13" t="n">
        <x:v>50</x:v>
      </x:c>
      <x:c r="D309" s="30" t="n">
        <x:v>94</x:v>
      </x:c>
      <x:c r="E309" s="14" t="n">
        <x:f>C309*(1000-ROUND(D309*10,0))/1000</x:f>
        <x:v>3</x:v>
      </x:c>
      <x:c r="F309" s="14" t="n">
        <x:f>MAX(0,(ROUND(D309*100,0)-ROUND($B$3*100,0))/100)</x:f>
        <x:v>93.95</x:v>
      </x:c>
      <x:c r="G309" s="14" t="n">
        <x:f>MIN(100,(ROUND(D309*100,0)+ROUND($B$3*100,0))/100)</x:f>
        <x:v>94.05</x:v>
      </x:c>
      <x:c r="H309" s="40" t="n">
        <x:f>C309*(10000-ROUND(G309*100,0))/10000</x:f>
        <x:v>2.975</x:v>
      </x:c>
      <x:c r="I309" s="40" t="n">
        <x:f>C309*(10000-ROUND(F309*100,0))/10000</x:f>
        <x:v>3.025</x:v>
      </x:c>
      <x:c r="J309" s="13" t="str">
        <x:f>IF(COUNTIFS($D$17:$D$369,"&lt;"&amp;D309,$E$17:$E$369,"&gt;="&amp;E309)+COUNTIFS($D$17:$D$369,"="&amp;D309,$E$17:$E$369,"&gt;"&amp;E309)=0,"是","否")</x:f>
        <x:v>否</x:v>
      </x:c>
      <x:c r="K309" s="13" t="str">
        <x:f>IF(COUNTIFS($G$17:$G$369,"&lt;"&amp;F309,$H$17:$H$369,"&gt;="&amp;I309)+COUNTIFS($G$17:$G$369,"="&amp;F309,$H$17:$H$369,"&gt;"&amp;I309)=0,"是","否")</x:f>
        <x:v>否</x:v>
      </x:c>
      <x:c r="L309" s="13" t="str">
        <x:f>IF(COUNTIFS($F$17:$F$369,"&lt;"&amp;G309,$I$17:$I$369,"&gt;="&amp;H309)+COUNTIFS($F$17:$F$369,"="&amp;G309,$I$17:$I$369,"&gt;"&amp;H309)-IF(OR(G309&gt;F309,I309&gt;H309),1,0)=0,"是","否")</x:f>
        <x:v>否</x:v>
      </x:c>
      <x:c r="M309" s="13" t="n">
        <x:f>1+COUNTIF($H$17:$H$369,"&gt;"&amp;I309)</x:f>
        <x:v>331</x:v>
      </x:c>
      <x:c r="N309" s="13" t="n">
        <x:f>COUNTIF($I$17:$I$369,"&gt;="&amp;H309)</x:f>
        <x:v>341</x:v>
      </x:c>
      <x:c r="O309" s="13" t="str">
        <x:v>I04 Table_1!D5022/P5022/U5022</x:v>
      </x:c>
    </x:row>
    <x:row r="310" ht="24" customHeight="1">
      <x:c r="A310" s="13" t="str">
        <x:v>M91613</x:v>
      </x:c>
      <x:c r="B310" s="13" t="str">
        <x:v>QUA</x:v>
      </x:c>
      <x:c r="C310" s="13" t="n">
        <x:v>151</x:v>
      </x:c>
      <x:c r="D310" s="30" t="n">
        <x:v>73.5</x:v>
      </x:c>
      <x:c r="E310" s="14" t="n">
        <x:f>C310*(1000-ROUND(D310*10,0))/1000</x:f>
        <x:v>40.015</x:v>
      </x:c>
      <x:c r="F310" s="14" t="n">
        <x:f>MAX(0,(ROUND(D310*100,0)-ROUND($B$3*100,0))/100)</x:f>
        <x:v>73.45</x:v>
      </x:c>
      <x:c r="G310" s="14" t="n">
        <x:f>MIN(100,(ROUND(D310*100,0)+ROUND($B$3*100,0))/100)</x:f>
        <x:v>73.55</x:v>
      </x:c>
      <x:c r="H310" s="40" t="n">
        <x:f>C310*(10000-ROUND(G310*100,0))/10000</x:f>
        <x:v>39.9395</x:v>
      </x:c>
      <x:c r="I310" s="40" t="n">
        <x:f>C310*(10000-ROUND(F310*100,0))/10000</x:f>
        <x:v>40.0905</x:v>
      </x:c>
      <x:c r="J310" s="13" t="str">
        <x:f>IF(COUNTIFS($D$17:$D$369,"&lt;"&amp;D310,$E$17:$E$369,"&gt;="&amp;E310)+COUNTIFS($D$17:$D$369,"="&amp;D310,$E$17:$E$369,"&gt;"&amp;E310)=0,"是","否")</x:f>
        <x:v>否</x:v>
      </x:c>
      <x:c r="K310" s="13" t="str">
        <x:f>IF(COUNTIFS($G$17:$G$369,"&lt;"&amp;F310,$H$17:$H$369,"&gt;="&amp;I310)+COUNTIFS($G$17:$G$369,"="&amp;F310,$H$17:$H$369,"&gt;"&amp;I310)=0,"是","否")</x:f>
        <x:v>否</x:v>
      </x:c>
      <x:c r="L310" s="13" t="str">
        <x:f>IF(COUNTIFS($F$17:$F$369,"&lt;"&amp;G310,$I$17:$I$369,"&gt;="&amp;H310)+COUNTIFS($F$17:$F$369,"="&amp;G310,$I$17:$I$369,"&gt;"&amp;H310)-IF(OR(G310&gt;F310,I310&gt;H310),1,0)=0,"是","否")</x:f>
        <x:v>否</x:v>
      </x:c>
      <x:c r="M310" s="13" t="n">
        <x:f>1+COUNTIF($H$17:$H$369,"&gt;"&amp;I310)</x:f>
        <x:v>35</x:v>
      </x:c>
      <x:c r="N310" s="13" t="n">
        <x:f>COUNTIF($I$17:$I$369,"&gt;="&amp;H310)</x:f>
        <x:v>38</x:v>
      </x:c>
      <x:c r="O310" s="13" t="str">
        <x:v>I04 Table_1!D5023/P5023/U5023</x:v>
      </x:c>
    </x:row>
    <x:row r="311" ht="24" customHeight="1">
      <x:c r="A311" s="13" t="str">
        <x:v>M91614</x:v>
      </x:c>
      <x:c r="B311" s="13" t="str">
        <x:v>QUA</x:v>
      </x:c>
      <x:c r="C311" s="13" t="n">
        <x:v>122</x:v>
      </x:c>
      <x:c r="D311" s="30" t="n">
        <x:v>83.6</x:v>
      </x:c>
      <x:c r="E311" s="14" t="n">
        <x:f>C311*(1000-ROUND(D311*10,0))/1000</x:f>
        <x:v>20.008</x:v>
      </x:c>
      <x:c r="F311" s="14" t="n">
        <x:f>MAX(0,(ROUND(D311*100,0)-ROUND($B$3*100,0))/100)</x:f>
        <x:v>83.55</x:v>
      </x:c>
      <x:c r="G311" s="14" t="n">
        <x:f>MIN(100,(ROUND(D311*100,0)+ROUND($B$3*100,0))/100)</x:f>
        <x:v>83.65</x:v>
      </x:c>
      <x:c r="H311" s="40" t="n">
        <x:f>C311*(10000-ROUND(G311*100,0))/10000</x:f>
        <x:v>19.947</x:v>
      </x:c>
      <x:c r="I311" s="40" t="n">
        <x:f>C311*(10000-ROUND(F311*100,0))/10000</x:f>
        <x:v>20.069</x:v>
      </x:c>
      <x:c r="J311" s="13" t="str">
        <x:f>IF(COUNTIFS($D$17:$D$369,"&lt;"&amp;D311,$E$17:$E$369,"&gt;="&amp;E311)+COUNTIFS($D$17:$D$369,"="&amp;D311,$E$17:$E$369,"&gt;"&amp;E311)=0,"是","否")</x:f>
        <x:v>否</x:v>
      </x:c>
      <x:c r="K311" s="13" t="str">
        <x:f>IF(COUNTIFS($G$17:$G$369,"&lt;"&amp;F311,$H$17:$H$369,"&gt;="&amp;I311)+COUNTIFS($G$17:$G$369,"="&amp;F311,$H$17:$H$369,"&gt;"&amp;I311)=0,"是","否")</x:f>
        <x:v>否</x:v>
      </x:c>
      <x:c r="L311" s="13" t="str">
        <x:f>IF(COUNTIFS($F$17:$F$369,"&lt;"&amp;G311,$I$17:$I$369,"&gt;="&amp;H311)+COUNTIFS($F$17:$F$369,"="&amp;G311,$I$17:$I$369,"&gt;"&amp;H311)-IF(OR(G311&gt;F311,I311&gt;H311),1,0)=0,"是","否")</x:f>
        <x:v>否</x:v>
      </x:c>
      <x:c r="M311" s="13" t="n">
        <x:f>1+COUNTIF($H$17:$H$369,"&gt;"&amp;I311)</x:f>
        <x:v>130</x:v>
      </x:c>
      <x:c r="N311" s="13" t="n">
        <x:f>COUNTIF($I$17:$I$369,"&gt;="&amp;H311)</x:f>
        <x:v>141</x:v>
      </x:c>
      <x:c r="O311" s="13" t="str">
        <x:v>I04 Table_1!D5024/P5024/U5024</x:v>
      </x:c>
    </x:row>
    <x:row r="312" ht="24" customHeight="1">
      <x:c r="A312" s="13" t="str">
        <x:v>M91616</x:v>
      </x:c>
      <x:c r="B312" s="13" t="str">
        <x:v>QUA</x:v>
      </x:c>
      <x:c r="C312" s="13" t="n">
        <x:v>94</x:v>
      </x:c>
      <x:c r="D312" s="30" t="n">
        <x:v>91.5</x:v>
      </x:c>
      <x:c r="E312" s="14" t="n">
        <x:f>C312*(1000-ROUND(D312*10,0))/1000</x:f>
        <x:v>7.99</x:v>
      </x:c>
      <x:c r="F312" s="14" t="n">
        <x:f>MAX(0,(ROUND(D312*100,0)-ROUND($B$3*100,0))/100)</x:f>
        <x:v>91.45</x:v>
      </x:c>
      <x:c r="G312" s="14" t="n">
        <x:f>MIN(100,(ROUND(D312*100,0)+ROUND($B$3*100,0))/100)</x:f>
        <x:v>91.55</x:v>
      </x:c>
      <x:c r="H312" s="40" t="n">
        <x:f>C312*(10000-ROUND(G312*100,0))/10000</x:f>
        <x:v>7.943</x:v>
      </x:c>
      <x:c r="I312" s="40" t="n">
        <x:f>C312*(10000-ROUND(F312*100,0))/10000</x:f>
        <x:v>8.037</x:v>
      </x:c>
      <x:c r="J312" s="13" t="str">
        <x:f>IF(COUNTIFS($D$17:$D$369,"&lt;"&amp;D312,$E$17:$E$369,"&gt;="&amp;E312)+COUNTIFS($D$17:$D$369,"="&amp;D312,$E$17:$E$369,"&gt;"&amp;E312)=0,"是","否")</x:f>
        <x:v>否</x:v>
      </x:c>
      <x:c r="K312" s="13" t="str">
        <x:f>IF(COUNTIFS($G$17:$G$369,"&lt;"&amp;F312,$H$17:$H$369,"&gt;="&amp;I312)+COUNTIFS($G$17:$G$369,"="&amp;F312,$H$17:$H$369,"&gt;"&amp;I312)=0,"是","否")</x:f>
        <x:v>否</x:v>
      </x:c>
      <x:c r="L312" s="13" t="str">
        <x:f>IF(COUNTIFS($F$17:$F$369,"&lt;"&amp;G312,$I$17:$I$369,"&gt;="&amp;H312)+COUNTIFS($F$17:$F$369,"="&amp;G312,$I$17:$I$369,"&gt;"&amp;H312)-IF(OR(G312&gt;F312,I312&gt;H312),1,0)=0,"是","否")</x:f>
        <x:v>否</x:v>
      </x:c>
      <x:c r="M312" s="13" t="n">
        <x:f>1+COUNTIF($H$17:$H$369,"&gt;"&amp;I312)</x:f>
        <x:v>257</x:v>
      </x:c>
      <x:c r="N312" s="13" t="n">
        <x:f>COUNTIF($I$17:$I$369,"&gt;="&amp;H312)</x:f>
        <x:v>271</x:v>
      </x:c>
      <x:c r="O312" s="13" t="str">
        <x:v>I04 Table_1!D5025/P5025/U5025</x:v>
      </x:c>
    </x:row>
    <x:row r="313" ht="24" customHeight="1">
      <x:c r="A313" s="13" t="str">
        <x:v>M91619</x:v>
      </x:c>
      <x:c r="B313" s="13" t="str">
        <x:v>QUA</x:v>
      </x:c>
      <x:c r="C313" s="13" t="n">
        <x:v>94</x:v>
      </x:c>
      <x:c r="D313" s="30" t="n">
        <x:v>75.5</x:v>
      </x:c>
      <x:c r="E313" s="14" t="n">
        <x:f>C313*(1000-ROUND(D313*10,0))/1000</x:f>
        <x:v>23.03</x:v>
      </x:c>
      <x:c r="F313" s="14" t="n">
        <x:f>MAX(0,(ROUND(D313*100,0)-ROUND($B$3*100,0))/100)</x:f>
        <x:v>75.45</x:v>
      </x:c>
      <x:c r="G313" s="14" t="n">
        <x:f>MIN(100,(ROUND(D313*100,0)+ROUND($B$3*100,0))/100)</x:f>
        <x:v>75.55</x:v>
      </x:c>
      <x:c r="H313" s="40" t="n">
        <x:f>C313*(10000-ROUND(G313*100,0))/10000</x:f>
        <x:v>22.983</x:v>
      </x:c>
      <x:c r="I313" s="40" t="n">
        <x:f>C313*(10000-ROUND(F313*100,0))/10000</x:f>
        <x:v>23.077</x:v>
      </x:c>
      <x:c r="J313" s="13" t="str">
        <x:f>IF(COUNTIFS($D$17:$D$369,"&lt;"&amp;D313,$E$17:$E$369,"&gt;="&amp;E313)+COUNTIFS($D$17:$D$369,"="&amp;D313,$E$17:$E$369,"&gt;"&amp;E313)=0,"是","否")</x:f>
        <x:v>否</x:v>
      </x:c>
      <x:c r="K313" s="13" t="str">
        <x:f>IF(COUNTIFS($G$17:$G$369,"&lt;"&amp;F313,$H$17:$H$369,"&gt;="&amp;I313)+COUNTIFS($G$17:$G$369,"="&amp;F313,$H$17:$H$369,"&gt;"&amp;I313)=0,"是","否")</x:f>
        <x:v>否</x:v>
      </x:c>
      <x:c r="L313" s="13" t="str">
        <x:f>IF(COUNTIFS($F$17:$F$369,"&lt;"&amp;G313,$I$17:$I$369,"&gt;="&amp;H313)+COUNTIFS($F$17:$F$369,"="&amp;G313,$I$17:$I$369,"&gt;"&amp;H313)-IF(OR(G313&gt;F313,I313&gt;H313),1,0)=0,"是","否")</x:f>
        <x:v>否</x:v>
      </x:c>
      <x:c r="M313" s="13" t="n">
        <x:f>1+COUNTIF($H$17:$H$369,"&gt;"&amp;I313)</x:f>
        <x:v>112</x:v>
      </x:c>
      <x:c r="N313" s="13" t="n">
        <x:f>COUNTIF($I$17:$I$369,"&gt;="&amp;H313)</x:f>
        <x:v>119</x:v>
      </x:c>
      <x:c r="O313" s="13" t="str">
        <x:v>I04 Table_1!D5026/P5026/U5026</x:v>
      </x:c>
    </x:row>
    <x:row r="314" ht="24" customHeight="1">
      <x:c r="A314" s="13" t="str">
        <x:v>M91621</x:v>
      </x:c>
      <x:c r="B314" s="13" t="str">
        <x:v>QUA</x:v>
      </x:c>
      <x:c r="C314" s="13" t="n">
        <x:v>66</x:v>
      </x:c>
      <x:c r="D314" s="30" t="n">
        <x:v>89.4</x:v>
      </x:c>
      <x:c r="E314" s="14" t="n">
        <x:f>C314*(1000-ROUND(D314*10,0))/1000</x:f>
        <x:v>6.996</x:v>
      </x:c>
      <x:c r="F314" s="14" t="n">
        <x:f>MAX(0,(ROUND(D314*100,0)-ROUND($B$3*100,0))/100)</x:f>
        <x:v>89.35</x:v>
      </x:c>
      <x:c r="G314" s="14" t="n">
        <x:f>MIN(100,(ROUND(D314*100,0)+ROUND($B$3*100,0))/100)</x:f>
        <x:v>89.45</x:v>
      </x:c>
      <x:c r="H314" s="40" t="n">
        <x:f>C314*(10000-ROUND(G314*100,0))/10000</x:f>
        <x:v>6.963</x:v>
      </x:c>
      <x:c r="I314" s="40" t="n">
        <x:f>C314*(10000-ROUND(F314*100,0))/10000</x:f>
        <x:v>7.029</x:v>
      </x:c>
      <x:c r="J314" s="13" t="str">
        <x:f>IF(COUNTIFS($D$17:$D$369,"&lt;"&amp;D314,$E$17:$E$369,"&gt;="&amp;E314)+COUNTIFS($D$17:$D$369,"="&amp;D314,$E$17:$E$369,"&gt;"&amp;E314)=0,"是","否")</x:f>
        <x:v>否</x:v>
      </x:c>
      <x:c r="K314" s="13" t="str">
        <x:f>IF(COUNTIFS($G$17:$G$369,"&lt;"&amp;F314,$H$17:$H$369,"&gt;="&amp;I314)+COUNTIFS($G$17:$G$369,"="&amp;F314,$H$17:$H$369,"&gt;"&amp;I314)=0,"是","否")</x:f>
        <x:v>否</x:v>
      </x:c>
      <x:c r="L314" s="13" t="str">
        <x:f>IF(COUNTIFS($F$17:$F$369,"&lt;"&amp;G314,$I$17:$I$369,"&gt;="&amp;H314)+COUNTIFS($F$17:$F$369,"="&amp;G314,$I$17:$I$369,"&gt;"&amp;H314)-IF(OR(G314&gt;F314,I314&gt;H314),1,0)=0,"是","否")</x:f>
        <x:v>否</x:v>
      </x:c>
      <x:c r="M314" s="13" t="n">
        <x:f>1+COUNTIF($H$17:$H$369,"&gt;"&amp;I314)</x:f>
        <x:v>272</x:v>
      </x:c>
      <x:c r="N314" s="13" t="n">
        <x:f>COUNTIF($I$17:$I$369,"&gt;="&amp;H314)</x:f>
        <x:v>285</x:v>
      </x:c>
      <x:c r="O314" s="13" t="str">
        <x:v>I04 Table_1!D5027/P5027/U5027</x:v>
      </x:c>
    </x:row>
    <x:row r="315" ht="24" customHeight="1">
      <x:c r="A315" s="13" t="str">
        <x:v>M91623</x:v>
      </x:c>
      <x:c r="B315" s="13" t="str">
        <x:v>QUA</x:v>
      </x:c>
      <x:c r="C315" s="13" t="n">
        <x:v>26</x:v>
      </x:c>
      <x:c r="D315" s="30" t="n">
        <x:v>84.6</x:v>
      </x:c>
      <x:c r="E315" s="14" t="n">
        <x:f>C315*(1000-ROUND(D315*10,0))/1000</x:f>
        <x:v>4.004</x:v>
      </x:c>
      <x:c r="F315" s="14" t="n">
        <x:f>MAX(0,(ROUND(D315*100,0)-ROUND($B$3*100,0))/100)</x:f>
        <x:v>84.55</x:v>
      </x:c>
      <x:c r="G315" s="14" t="n">
        <x:f>MIN(100,(ROUND(D315*100,0)+ROUND($B$3*100,0))/100)</x:f>
        <x:v>84.65</x:v>
      </x:c>
      <x:c r="H315" s="40" t="n">
        <x:f>C315*(10000-ROUND(G315*100,0))/10000</x:f>
        <x:v>3.991</x:v>
      </x:c>
      <x:c r="I315" s="40" t="n">
        <x:f>C315*(10000-ROUND(F315*100,0))/10000</x:f>
        <x:v>4.017</x:v>
      </x:c>
      <x:c r="J315" s="13" t="str">
        <x:f>IF(COUNTIFS($D$17:$D$369,"&lt;"&amp;D315,$E$17:$E$369,"&gt;="&amp;E315)+COUNTIFS($D$17:$D$369,"="&amp;D315,$E$17:$E$369,"&gt;"&amp;E315)=0,"是","否")</x:f>
        <x:v>否</x:v>
      </x:c>
      <x:c r="K315" s="13" t="str">
        <x:f>IF(COUNTIFS($G$17:$G$369,"&lt;"&amp;F315,$H$17:$H$369,"&gt;="&amp;I315)+COUNTIFS($G$17:$G$369,"="&amp;F315,$H$17:$H$369,"&gt;"&amp;I315)=0,"是","否")</x:f>
        <x:v>否</x:v>
      </x:c>
      <x:c r="L315" s="13" t="str">
        <x:f>IF(COUNTIFS($F$17:$F$369,"&lt;"&amp;G315,$I$17:$I$369,"&gt;="&amp;H315)+COUNTIFS($F$17:$F$369,"="&amp;G315,$I$17:$I$369,"&gt;"&amp;H315)-IF(OR(G315&gt;F315,I315&gt;H315),1,0)=0,"是","否")</x:f>
        <x:v>否</x:v>
      </x:c>
      <x:c r="M315" s="13" t="n">
        <x:f>1+COUNTIF($H$17:$H$369,"&gt;"&amp;I315)</x:f>
        <x:v>320</x:v>
      </x:c>
      <x:c r="N315" s="13" t="n">
        <x:f>COUNTIF($I$17:$I$369,"&gt;="&amp;H315)</x:f>
        <x:v>330</x:v>
      </x:c>
      <x:c r="O315" s="13" t="str">
        <x:v>I04 Table_1!D5028/P5028/U5028</x:v>
      </x:c>
    </x:row>
    <x:row r="316" ht="24" customHeight="1">
      <x:c r="A316" s="13" t="str">
        <x:v>M91624</x:v>
      </x:c>
      <x:c r="B316" s="13" t="str">
        <x:v>QUA</x:v>
      </x:c>
      <x:c r="C316" s="13" t="n">
        <x:v>59</x:v>
      </x:c>
      <x:c r="D316" s="30" t="n">
        <x:v>84.7</x:v>
      </x:c>
      <x:c r="E316" s="14" t="n">
        <x:f>C316*(1000-ROUND(D316*10,0))/1000</x:f>
        <x:v>9.027</x:v>
      </x:c>
      <x:c r="F316" s="14" t="n">
        <x:f>MAX(0,(ROUND(D316*100,0)-ROUND($B$3*100,0))/100)</x:f>
        <x:v>84.65</x:v>
      </x:c>
      <x:c r="G316" s="14" t="n">
        <x:f>MIN(100,(ROUND(D316*100,0)+ROUND($B$3*100,0))/100)</x:f>
        <x:v>84.75</x:v>
      </x:c>
      <x:c r="H316" s="40" t="n">
        <x:f>C316*(10000-ROUND(G316*100,0))/10000</x:f>
        <x:v>8.9975</x:v>
      </x:c>
      <x:c r="I316" s="40" t="n">
        <x:f>C316*(10000-ROUND(F316*100,0))/10000</x:f>
        <x:v>9.0565</x:v>
      </x:c>
      <x:c r="J316" s="13" t="str">
        <x:f>IF(COUNTIFS($D$17:$D$369,"&lt;"&amp;D316,$E$17:$E$369,"&gt;="&amp;E316)+COUNTIFS($D$17:$D$369,"="&amp;D316,$E$17:$E$369,"&gt;"&amp;E316)=0,"是","否")</x:f>
        <x:v>否</x:v>
      </x:c>
      <x:c r="K316" s="13" t="str">
        <x:f>IF(COUNTIFS($G$17:$G$369,"&lt;"&amp;F316,$H$17:$H$369,"&gt;="&amp;I316)+COUNTIFS($G$17:$G$369,"="&amp;F316,$H$17:$H$369,"&gt;"&amp;I316)=0,"是","否")</x:f>
        <x:v>否</x:v>
      </x:c>
      <x:c r="L316" s="13" t="str">
        <x:f>IF(COUNTIFS($F$17:$F$369,"&lt;"&amp;G316,$I$17:$I$369,"&gt;="&amp;H316)+COUNTIFS($F$17:$F$369,"="&amp;G316,$I$17:$I$369,"&gt;"&amp;H316)-IF(OR(G316&gt;F316,I316&gt;H316),1,0)=0,"是","否")</x:f>
        <x:v>否</x:v>
      </x:c>
      <x:c r="M316" s="13" t="n">
        <x:f>1+COUNTIF($H$17:$H$369,"&gt;"&amp;I316)</x:f>
        <x:v>244</x:v>
      </x:c>
      <x:c r="N316" s="13" t="n">
        <x:f>COUNTIF($I$17:$I$369,"&gt;="&amp;H316)</x:f>
        <x:v>256</x:v>
      </x:c>
      <x:c r="O316" s="13" t="str">
        <x:v>I04 Table_1!D5029/P5029/U5029</x:v>
      </x:c>
    </x:row>
    <x:row r="317" ht="24" customHeight="1">
      <x:c r="A317" s="13" t="str">
        <x:v>M91626</x:v>
      </x:c>
      <x:c r="B317" s="13" t="str">
        <x:v>QUA</x:v>
      </x:c>
      <x:c r="C317" s="13" t="n">
        <x:v>63</x:v>
      </x:c>
      <x:c r="D317" s="30" t="n">
        <x:v>92.1</x:v>
      </x:c>
      <x:c r="E317" s="14" t="n">
        <x:f>C317*(1000-ROUND(D317*10,0))/1000</x:f>
        <x:v>4.977</x:v>
      </x:c>
      <x:c r="F317" s="14" t="n">
        <x:f>MAX(0,(ROUND(D317*100,0)-ROUND($B$3*100,0))/100)</x:f>
        <x:v>92.05</x:v>
      </x:c>
      <x:c r="G317" s="14" t="n">
        <x:f>MIN(100,(ROUND(D317*100,0)+ROUND($B$3*100,0))/100)</x:f>
        <x:v>92.15</x:v>
      </x:c>
      <x:c r="H317" s="40" t="n">
        <x:f>C317*(10000-ROUND(G317*100,0))/10000</x:f>
        <x:v>4.9455</x:v>
      </x:c>
      <x:c r="I317" s="40" t="n">
        <x:f>C317*(10000-ROUND(F317*100,0))/10000</x:f>
        <x:v>5.0085</x:v>
      </x:c>
      <x:c r="J317" s="13" t="str">
        <x:f>IF(COUNTIFS($D$17:$D$369,"&lt;"&amp;D317,$E$17:$E$369,"&gt;="&amp;E317)+COUNTIFS($D$17:$D$369,"="&amp;D317,$E$17:$E$369,"&gt;"&amp;E317)=0,"是","否")</x:f>
        <x:v>否</x:v>
      </x:c>
      <x:c r="K317" s="13" t="str">
        <x:f>IF(COUNTIFS($G$17:$G$369,"&lt;"&amp;F317,$H$17:$H$369,"&gt;="&amp;I317)+COUNTIFS($G$17:$G$369,"="&amp;F317,$H$17:$H$369,"&gt;"&amp;I317)=0,"是","否")</x:f>
        <x:v>否</x:v>
      </x:c>
      <x:c r="L317" s="13" t="str">
        <x:f>IF(COUNTIFS($F$17:$F$369,"&lt;"&amp;G317,$I$17:$I$369,"&gt;="&amp;H317)+COUNTIFS($F$17:$F$369,"="&amp;G317,$I$17:$I$369,"&gt;"&amp;H317)-IF(OR(G317&gt;F317,I317&gt;H317),1,0)=0,"是","否")</x:f>
        <x:v>否</x:v>
      </x:c>
      <x:c r="M317" s="13" t="n">
        <x:f>1+COUNTIF($H$17:$H$369,"&gt;"&amp;I317)</x:f>
        <x:v>302</x:v>
      </x:c>
      <x:c r="N317" s="13" t="n">
        <x:f>COUNTIF($I$17:$I$369,"&gt;="&amp;H317)</x:f>
        <x:v>319</x:v>
      </x:c>
      <x:c r="O317" s="13" t="str">
        <x:v>I04 Table_1!D5030/P5030/U5030</x:v>
      </x:c>
    </x:row>
    <x:row r="318" ht="24" customHeight="1">
      <x:c r="A318" s="13" t="str">
        <x:v>M91628</x:v>
      </x:c>
      <x:c r="B318" s="13" t="str">
        <x:v>QUA</x:v>
      </x:c>
      <x:c r="C318" s="13" t="n">
        <x:v>44</x:v>
      </x:c>
      <x:c r="D318" s="30" t="n">
        <x:v>90.9</x:v>
      </x:c>
      <x:c r="E318" s="14" t="n">
        <x:f>C318*(1000-ROUND(D318*10,0))/1000</x:f>
        <x:v>4.004</x:v>
      </x:c>
      <x:c r="F318" s="14" t="n">
        <x:f>MAX(0,(ROUND(D318*100,0)-ROUND($B$3*100,0))/100)</x:f>
        <x:v>90.85</x:v>
      </x:c>
      <x:c r="G318" s="14" t="n">
        <x:f>MIN(100,(ROUND(D318*100,0)+ROUND($B$3*100,0))/100)</x:f>
        <x:v>90.95</x:v>
      </x:c>
      <x:c r="H318" s="40" t="n">
        <x:f>C318*(10000-ROUND(G318*100,0))/10000</x:f>
        <x:v>3.982</x:v>
      </x:c>
      <x:c r="I318" s="40" t="n">
        <x:f>C318*(10000-ROUND(F318*100,0))/10000</x:f>
        <x:v>4.026</x:v>
      </x:c>
      <x:c r="J318" s="13" t="str">
        <x:f>IF(COUNTIFS($D$17:$D$369,"&lt;"&amp;D318,$E$17:$E$369,"&gt;="&amp;E318)+COUNTIFS($D$17:$D$369,"="&amp;D318,$E$17:$E$369,"&gt;"&amp;E318)=0,"是","否")</x:f>
        <x:v>否</x:v>
      </x:c>
      <x:c r="K318" s="13" t="str">
        <x:f>IF(COUNTIFS($G$17:$G$369,"&lt;"&amp;F318,$H$17:$H$369,"&gt;="&amp;I318)+COUNTIFS($G$17:$G$369,"="&amp;F318,$H$17:$H$369,"&gt;"&amp;I318)=0,"是","否")</x:f>
        <x:v>否</x:v>
      </x:c>
      <x:c r="L318" s="13" t="str">
        <x:f>IF(COUNTIFS($F$17:$F$369,"&lt;"&amp;G318,$I$17:$I$369,"&gt;="&amp;H318)+COUNTIFS($F$17:$F$369,"="&amp;G318,$I$17:$I$369,"&gt;"&amp;H318)-IF(OR(G318&gt;F318,I318&gt;H318),1,0)=0,"是","否")</x:f>
        <x:v>否</x:v>
      </x:c>
      <x:c r="M318" s="13" t="n">
        <x:f>1+COUNTIF($H$17:$H$369,"&gt;"&amp;I318)</x:f>
        <x:v>320</x:v>
      </x:c>
      <x:c r="N318" s="13" t="n">
        <x:f>COUNTIF($I$17:$I$369,"&gt;="&amp;H318)</x:f>
        <x:v>330</x:v>
      </x:c>
      <x:c r="O318" s="13" t="str">
        <x:v>I04 Table_1!D5031/P5031/U5031</x:v>
      </x:c>
    </x:row>
    <x:row r="319" ht="24" customHeight="1">
      <x:c r="A319" s="13" t="str">
        <x:v>M91629</x:v>
      </x:c>
      <x:c r="B319" s="13" t="str">
        <x:v>QUA</x:v>
      </x:c>
      <x:c r="C319" s="13" t="n">
        <x:v>128</x:v>
      </x:c>
      <x:c r="D319" s="30" t="n">
        <x:v>71.9</x:v>
      </x:c>
      <x:c r="E319" s="14" t="n">
        <x:f>C319*(1000-ROUND(D319*10,0))/1000</x:f>
        <x:v>35.968</x:v>
      </x:c>
      <x:c r="F319" s="14" t="n">
        <x:f>MAX(0,(ROUND(D319*100,0)-ROUND($B$3*100,0))/100)</x:f>
        <x:v>71.85</x:v>
      </x:c>
      <x:c r="G319" s="14" t="n">
        <x:f>MIN(100,(ROUND(D319*100,0)+ROUND($B$3*100,0))/100)</x:f>
        <x:v>71.95</x:v>
      </x:c>
      <x:c r="H319" s="40" t="n">
        <x:f>C319*(10000-ROUND(G319*100,0))/10000</x:f>
        <x:v>35.904</x:v>
      </x:c>
      <x:c r="I319" s="40" t="n">
        <x:f>C319*(10000-ROUND(F319*100,0))/10000</x:f>
        <x:v>36.032</x:v>
      </x:c>
      <x:c r="J319" s="13" t="str">
        <x:f>IF(COUNTIFS($D$17:$D$369,"&lt;"&amp;D319,$E$17:$E$369,"&gt;="&amp;E319)+COUNTIFS($D$17:$D$369,"="&amp;D319,$E$17:$E$369,"&gt;"&amp;E319)=0,"是","否")</x:f>
        <x:v>否</x:v>
      </x:c>
      <x:c r="K319" s="13" t="str">
        <x:f>IF(COUNTIFS($G$17:$G$369,"&lt;"&amp;F319,$H$17:$H$369,"&gt;="&amp;I319)+COUNTIFS($G$17:$G$369,"="&amp;F319,$H$17:$H$369,"&gt;"&amp;I319)=0,"是","否")</x:f>
        <x:v>否</x:v>
      </x:c>
      <x:c r="L319" s="13" t="str">
        <x:f>IF(COUNTIFS($F$17:$F$369,"&lt;"&amp;G319,$I$17:$I$369,"&gt;="&amp;H319)+COUNTIFS($F$17:$F$369,"="&amp;G319,$I$17:$I$369,"&gt;"&amp;H319)-IF(OR(G319&gt;F319,I319&gt;H319),1,0)=0,"是","否")</x:f>
        <x:v>否</x:v>
      </x:c>
      <x:c r="M319" s="13" t="n">
        <x:f>1+COUNTIF($H$17:$H$369,"&gt;"&amp;I319)</x:f>
        <x:v>52</x:v>
      </x:c>
      <x:c r="N319" s="13" t="n">
        <x:f>COUNTIF($I$17:$I$369,"&gt;="&amp;H319)</x:f>
        <x:v>54</x:v>
      </x:c>
      <x:c r="O319" s="13" t="str">
        <x:v>I04 Table_1!D5032/P5032/U5032</x:v>
      </x:c>
    </x:row>
    <x:row r="320" ht="24" customHeight="1">
      <x:c r="A320" s="13" t="str">
        <x:v>M91637</x:v>
      </x:c>
      <x:c r="B320" s="13" t="str">
        <x:v>QUA</x:v>
      </x:c>
      <x:c r="C320" s="13" t="n">
        <x:v>48</x:v>
      </x:c>
      <x:c r="D320" s="30" t="n">
        <x:v>89.6</x:v>
      </x:c>
      <x:c r="E320" s="14" t="n">
        <x:f>C320*(1000-ROUND(D320*10,0))/1000</x:f>
        <x:v>4.992</x:v>
      </x:c>
      <x:c r="F320" s="14" t="n">
        <x:f>MAX(0,(ROUND(D320*100,0)-ROUND($B$3*100,0))/100)</x:f>
        <x:v>89.55</x:v>
      </x:c>
      <x:c r="G320" s="14" t="n">
        <x:f>MIN(100,(ROUND(D320*100,0)+ROUND($B$3*100,0))/100)</x:f>
        <x:v>89.65</x:v>
      </x:c>
      <x:c r="H320" s="40" t="n">
        <x:f>C320*(10000-ROUND(G320*100,0))/10000</x:f>
        <x:v>4.968</x:v>
      </x:c>
      <x:c r="I320" s="40" t="n">
        <x:f>C320*(10000-ROUND(F320*100,0))/10000</x:f>
        <x:v>5.016</x:v>
      </x:c>
      <x:c r="J320" s="13" t="str">
        <x:f>IF(COUNTIFS($D$17:$D$369,"&lt;"&amp;D320,$E$17:$E$369,"&gt;="&amp;E320)+COUNTIFS($D$17:$D$369,"="&amp;D320,$E$17:$E$369,"&gt;"&amp;E320)=0,"是","否")</x:f>
        <x:v>否</x:v>
      </x:c>
      <x:c r="K320" s="13" t="str">
        <x:f>IF(COUNTIFS($G$17:$G$369,"&lt;"&amp;F320,$H$17:$H$369,"&gt;="&amp;I320)+COUNTIFS($G$17:$G$369,"="&amp;F320,$H$17:$H$369,"&gt;"&amp;I320)=0,"是","否")</x:f>
        <x:v>否</x:v>
      </x:c>
      <x:c r="L320" s="13" t="str">
        <x:f>IF(COUNTIFS($F$17:$F$369,"&lt;"&amp;G320,$I$17:$I$369,"&gt;="&amp;H320)+COUNTIFS($F$17:$F$369,"="&amp;G320,$I$17:$I$369,"&gt;"&amp;H320)-IF(OR(G320&gt;F320,I320&gt;H320),1,0)=0,"是","否")</x:f>
        <x:v>否</x:v>
      </x:c>
      <x:c r="M320" s="13" t="n">
        <x:f>1+COUNTIF($H$17:$H$369,"&gt;"&amp;I320)</x:f>
        <x:v>302</x:v>
      </x:c>
      <x:c r="N320" s="13" t="n">
        <x:f>COUNTIF($I$17:$I$369,"&gt;="&amp;H320)</x:f>
        <x:v>319</x:v>
      </x:c>
      <x:c r="O320" s="13" t="str">
        <x:v>I04 Table_1!D5033/P5033/U5033</x:v>
      </x:c>
    </x:row>
    <x:row r="321" ht="24" customHeight="1">
      <x:c r="A321" s="13" t="str">
        <x:v>M91639</x:v>
      </x:c>
      <x:c r="B321" s="13" t="str">
        <x:v>QUA</x:v>
      </x:c>
      <x:c r="C321" s="13" t="n">
        <x:v>16</x:v>
      </x:c>
      <x:c r="D321" s="30" t="n">
        <x:v>93.8</x:v>
      </x:c>
      <x:c r="E321" s="14" t="n">
        <x:f>C321*(1000-ROUND(D321*10,0))/1000</x:f>
        <x:v>0.992</x:v>
      </x:c>
      <x:c r="F321" s="14" t="n">
        <x:f>MAX(0,(ROUND(D321*100,0)-ROUND($B$3*100,0))/100)</x:f>
        <x:v>93.75</x:v>
      </x:c>
      <x:c r="G321" s="14" t="n">
        <x:f>MIN(100,(ROUND(D321*100,0)+ROUND($B$3*100,0))/100)</x:f>
        <x:v>93.85</x:v>
      </x:c>
      <x:c r="H321" s="40" t="n">
        <x:f>C321*(10000-ROUND(G321*100,0))/10000</x:f>
        <x:v>0.984</x:v>
      </x:c>
      <x:c r="I321" s="40" t="n">
        <x:f>C321*(10000-ROUND(F321*100,0))/10000</x:f>
        <x:v>1</x:v>
      </x:c>
      <x:c r="J321" s="13" t="str">
        <x:f>IF(COUNTIFS($D$17:$D$369,"&lt;"&amp;D321,$E$17:$E$369,"&gt;="&amp;E321)+COUNTIFS($D$17:$D$369,"="&amp;D321,$E$17:$E$369,"&gt;"&amp;E321)=0,"是","否")</x:f>
        <x:v>否</x:v>
      </x:c>
      <x:c r="K321" s="13" t="str">
        <x:f>IF(COUNTIFS($G$17:$G$369,"&lt;"&amp;F321,$H$17:$H$369,"&gt;="&amp;I321)+COUNTIFS($G$17:$G$369,"="&amp;F321,$H$17:$H$369,"&gt;"&amp;I321)=0,"是","否")</x:f>
        <x:v>否</x:v>
      </x:c>
      <x:c r="L321" s="13" t="str">
        <x:f>IF(COUNTIFS($F$17:$F$369,"&lt;"&amp;G321,$I$17:$I$369,"&gt;="&amp;H321)+COUNTIFS($F$17:$F$369,"="&amp;G321,$I$17:$I$369,"&gt;"&amp;H321)-IF(OR(G321&gt;F321,I321&gt;H321),1,0)=0,"是","否")</x:f>
        <x:v>否</x:v>
      </x:c>
      <x:c r="M321" s="13" t="n">
        <x:f>1+COUNTIF($H$17:$H$369,"&gt;"&amp;I321)</x:f>
        <x:v>351</x:v>
      </x:c>
      <x:c r="N321" s="13" t="n">
        <x:f>COUNTIF($I$17:$I$369,"&gt;="&amp;H321)</x:f>
        <x:v>352</x:v>
      </x:c>
      <x:c r="O321" s="13" t="str">
        <x:v>I04 Table_1!D5034/P5034/U5034</x:v>
      </x:c>
    </x:row>
    <x:row r="322" ht="24" customHeight="1">
      <x:c r="A322" s="13" t="str">
        <x:v>M91640</x:v>
      </x:c>
      <x:c r="B322" s="13" t="str">
        <x:v>QUA</x:v>
      </x:c>
      <x:c r="C322" s="13" t="n">
        <x:v>45</x:v>
      </x:c>
      <x:c r="D322" s="30" t="n">
        <x:v>75.6</x:v>
      </x:c>
      <x:c r="E322" s="14" t="n">
        <x:f>C322*(1000-ROUND(D322*10,0))/1000</x:f>
        <x:v>10.98</x:v>
      </x:c>
      <x:c r="F322" s="14" t="n">
        <x:f>MAX(0,(ROUND(D322*100,0)-ROUND($B$3*100,0))/100)</x:f>
        <x:v>75.55</x:v>
      </x:c>
      <x:c r="G322" s="14" t="n">
        <x:f>MIN(100,(ROUND(D322*100,0)+ROUND($B$3*100,0))/100)</x:f>
        <x:v>75.65</x:v>
      </x:c>
      <x:c r="H322" s="40" t="n">
        <x:f>C322*(10000-ROUND(G322*100,0))/10000</x:f>
        <x:v>10.9575</x:v>
      </x:c>
      <x:c r="I322" s="40" t="n">
        <x:f>C322*(10000-ROUND(F322*100,0))/10000</x:f>
        <x:v>11.0025</x:v>
      </x:c>
      <x:c r="J322" s="13" t="str">
        <x:f>IF(COUNTIFS($D$17:$D$369,"&lt;"&amp;D322,$E$17:$E$369,"&gt;="&amp;E322)+COUNTIFS($D$17:$D$369,"="&amp;D322,$E$17:$E$369,"&gt;"&amp;E322)=0,"是","否")</x:f>
        <x:v>否</x:v>
      </x:c>
      <x:c r="K322" s="13" t="str">
        <x:f>IF(COUNTIFS($G$17:$G$369,"&lt;"&amp;F322,$H$17:$H$369,"&gt;="&amp;I322)+COUNTIFS($G$17:$G$369,"="&amp;F322,$H$17:$H$369,"&gt;"&amp;I322)=0,"是","否")</x:f>
        <x:v>否</x:v>
      </x:c>
      <x:c r="L322" s="13" t="str">
        <x:f>IF(COUNTIFS($F$17:$F$369,"&lt;"&amp;G322,$I$17:$I$369,"&gt;="&amp;H322)+COUNTIFS($F$17:$F$369,"="&amp;G322,$I$17:$I$369,"&gt;"&amp;H322)-IF(OR(G322&gt;F322,I322&gt;H322),1,0)=0,"是","否")</x:f>
        <x:v>否</x:v>
      </x:c>
      <x:c r="M322" s="13" t="n">
        <x:f>1+COUNTIF($H$17:$H$369,"&gt;"&amp;I322)</x:f>
        <x:v>222</x:v>
      </x:c>
      <x:c r="N322" s="13" t="n">
        <x:f>COUNTIF($I$17:$I$369,"&gt;="&amp;H322)</x:f>
        <x:v>230</x:v>
      </x:c>
      <x:c r="O322" s="13" t="str">
        <x:v>I04 Table_1!D5035/P5035/U5035</x:v>
      </x:c>
    </x:row>
    <x:row r="323" ht="24" customHeight="1">
      <x:c r="A323" s="13" t="str">
        <x:v>M91641</x:v>
      </x:c>
      <x:c r="B323" s="13" t="str">
        <x:v>QUA</x:v>
      </x:c>
      <x:c r="C323" s="13" t="n">
        <x:v>52</x:v>
      </x:c>
      <x:c r="D323" s="30" t="n">
        <x:v>86.5</x:v>
      </x:c>
      <x:c r="E323" s="14" t="n">
        <x:f>C323*(1000-ROUND(D323*10,0))/1000</x:f>
        <x:v>7.02</x:v>
      </x:c>
      <x:c r="F323" s="14" t="n">
        <x:f>MAX(0,(ROUND(D323*100,0)-ROUND($B$3*100,0))/100)</x:f>
        <x:v>86.45</x:v>
      </x:c>
      <x:c r="G323" s="14" t="n">
        <x:f>MIN(100,(ROUND(D323*100,0)+ROUND($B$3*100,0))/100)</x:f>
        <x:v>86.55</x:v>
      </x:c>
      <x:c r="H323" s="40" t="n">
        <x:f>C323*(10000-ROUND(G323*100,0))/10000</x:f>
        <x:v>6.994</x:v>
      </x:c>
      <x:c r="I323" s="40" t="n">
        <x:f>C323*(10000-ROUND(F323*100,0))/10000</x:f>
        <x:v>7.046</x:v>
      </x:c>
      <x:c r="J323" s="13" t="str">
        <x:f>IF(COUNTIFS($D$17:$D$369,"&lt;"&amp;D323,$E$17:$E$369,"&gt;="&amp;E323)+COUNTIFS($D$17:$D$369,"="&amp;D323,$E$17:$E$369,"&gt;"&amp;E323)=0,"是","否")</x:f>
        <x:v>否</x:v>
      </x:c>
      <x:c r="K323" s="13" t="str">
        <x:f>IF(COUNTIFS($G$17:$G$369,"&lt;"&amp;F323,$H$17:$H$369,"&gt;="&amp;I323)+COUNTIFS($G$17:$G$369,"="&amp;F323,$H$17:$H$369,"&gt;"&amp;I323)=0,"是","否")</x:f>
        <x:v>否</x:v>
      </x:c>
      <x:c r="L323" s="13" t="str">
        <x:f>IF(COUNTIFS($F$17:$F$369,"&lt;"&amp;G323,$I$17:$I$369,"&gt;="&amp;H323)+COUNTIFS($F$17:$F$369,"="&amp;G323,$I$17:$I$369,"&gt;"&amp;H323)-IF(OR(G323&gt;F323,I323&gt;H323),1,0)=0,"是","否")</x:f>
        <x:v>否</x:v>
      </x:c>
      <x:c r="M323" s="13" t="n">
        <x:f>1+COUNTIF($H$17:$H$369,"&gt;"&amp;I323)</x:f>
        <x:v>272</x:v>
      </x:c>
      <x:c r="N323" s="13" t="n">
        <x:f>COUNTIF($I$17:$I$369,"&gt;="&amp;H323)</x:f>
        <x:v>285</x:v>
      </x:c>
      <x:c r="O323" s="13" t="str">
        <x:v>I04 Table_1!D5036/P5036/U5036</x:v>
      </x:c>
    </x:row>
    <x:row r="324" ht="24" customHeight="1">
      <x:c r="A324" s="13" t="str">
        <x:v>M91647</x:v>
      </x:c>
      <x:c r="B324" s="13" t="str">
        <x:v>QUA</x:v>
      </x:c>
      <x:c r="C324" s="13" t="n">
        <x:v>61</x:v>
      </x:c>
      <x:c r="D324" s="30" t="n">
        <x:v>82</x:v>
      </x:c>
      <x:c r="E324" s="14" t="n">
        <x:f>C324*(1000-ROUND(D324*10,0))/1000</x:f>
        <x:v>10.98</x:v>
      </x:c>
      <x:c r="F324" s="14" t="n">
        <x:f>MAX(0,(ROUND(D324*100,0)-ROUND($B$3*100,0))/100)</x:f>
        <x:v>81.95</x:v>
      </x:c>
      <x:c r="G324" s="14" t="n">
        <x:f>MIN(100,(ROUND(D324*100,0)+ROUND($B$3*100,0))/100)</x:f>
        <x:v>82.05</x:v>
      </x:c>
      <x:c r="H324" s="40" t="n">
        <x:f>C324*(10000-ROUND(G324*100,0))/10000</x:f>
        <x:v>10.9495</x:v>
      </x:c>
      <x:c r="I324" s="40" t="n">
        <x:f>C324*(10000-ROUND(F324*100,0))/10000</x:f>
        <x:v>11.0105</x:v>
      </x:c>
      <x:c r="J324" s="13" t="str">
        <x:f>IF(COUNTIFS($D$17:$D$369,"&lt;"&amp;D324,$E$17:$E$369,"&gt;="&amp;E324)+COUNTIFS($D$17:$D$369,"="&amp;D324,$E$17:$E$369,"&gt;"&amp;E324)=0,"是","否")</x:f>
        <x:v>否</x:v>
      </x:c>
      <x:c r="K324" s="13" t="str">
        <x:f>IF(COUNTIFS($G$17:$G$369,"&lt;"&amp;F324,$H$17:$H$369,"&gt;="&amp;I324)+COUNTIFS($G$17:$G$369,"="&amp;F324,$H$17:$H$369,"&gt;"&amp;I324)=0,"是","否")</x:f>
        <x:v>否</x:v>
      </x:c>
      <x:c r="L324" s="13" t="str">
        <x:f>IF(COUNTIFS($F$17:$F$369,"&lt;"&amp;G324,$I$17:$I$369,"&gt;="&amp;H324)+COUNTIFS($F$17:$F$369,"="&amp;G324,$I$17:$I$369,"&gt;"&amp;H324)-IF(OR(G324&gt;F324,I324&gt;H324),1,0)=0,"是","否")</x:f>
        <x:v>否</x:v>
      </x:c>
      <x:c r="M324" s="13" t="n">
        <x:f>1+COUNTIF($H$17:$H$369,"&gt;"&amp;I324)</x:f>
        <x:v>222</x:v>
      </x:c>
      <x:c r="N324" s="13" t="n">
        <x:f>COUNTIF($I$17:$I$369,"&gt;="&amp;H324)</x:f>
        <x:v>230</x:v>
      </x:c>
      <x:c r="O324" s="13" t="str">
        <x:v>I04 Table_1!D5037/P5037/U5037</x:v>
      </x:c>
    </x:row>
    <x:row r="325" ht="24" customHeight="1">
      <x:c r="A325" s="13" t="str">
        <x:v>M91650</x:v>
      </x:c>
      <x:c r="B325" s="13" t="str">
        <x:v>QUA</x:v>
      </x:c>
      <x:c r="C325" s="13" t="n">
        <x:v>110</x:v>
      </x:c>
      <x:c r="D325" s="30" t="n">
        <x:v>85.5</x:v>
      </x:c>
      <x:c r="E325" s="14" t="n">
        <x:f>C325*(1000-ROUND(D325*10,0))/1000</x:f>
        <x:v>15.95</x:v>
      </x:c>
      <x:c r="F325" s="14" t="n">
        <x:f>MAX(0,(ROUND(D325*100,0)-ROUND($B$3*100,0))/100)</x:f>
        <x:v>85.45</x:v>
      </x:c>
      <x:c r="G325" s="14" t="n">
        <x:f>MIN(100,(ROUND(D325*100,0)+ROUND($B$3*100,0))/100)</x:f>
        <x:v>85.55</x:v>
      </x:c>
      <x:c r="H325" s="40" t="n">
        <x:f>C325*(10000-ROUND(G325*100,0))/10000</x:f>
        <x:v>15.895</x:v>
      </x:c>
      <x:c r="I325" s="40" t="n">
        <x:f>C325*(10000-ROUND(F325*100,0))/10000</x:f>
        <x:v>16.005</x:v>
      </x:c>
      <x:c r="J325" s="13" t="str">
        <x:f>IF(COUNTIFS($D$17:$D$369,"&lt;"&amp;D325,$E$17:$E$369,"&gt;="&amp;E325)+COUNTIFS($D$17:$D$369,"="&amp;D325,$E$17:$E$369,"&gt;"&amp;E325)=0,"是","否")</x:f>
        <x:v>否</x:v>
      </x:c>
      <x:c r="K325" s="13" t="str">
        <x:f>IF(COUNTIFS($G$17:$G$369,"&lt;"&amp;F325,$H$17:$H$369,"&gt;="&amp;I325)+COUNTIFS($G$17:$G$369,"="&amp;F325,$H$17:$H$369,"&gt;"&amp;I325)=0,"是","否")</x:f>
        <x:v>否</x:v>
      </x:c>
      <x:c r="L325" s="13" t="str">
        <x:f>IF(COUNTIFS($F$17:$F$369,"&lt;"&amp;G325,$I$17:$I$369,"&gt;="&amp;H325)+COUNTIFS($F$17:$F$369,"="&amp;G325,$I$17:$I$369,"&gt;"&amp;H325)-IF(OR(G325&gt;F325,I325&gt;H325),1,0)=0,"是","否")</x:f>
        <x:v>否</x:v>
      </x:c>
      <x:c r="M325" s="13" t="n">
        <x:f>1+COUNTIF($H$17:$H$369,"&gt;"&amp;I325)</x:f>
        <x:v>167</x:v>
      </x:c>
      <x:c r="N325" s="13" t="n">
        <x:f>COUNTIF($I$17:$I$369,"&gt;="&amp;H325)</x:f>
        <x:v>176</x:v>
      </x:c>
      <x:c r="O325" s="13" t="str">
        <x:v>I04 Table_1!D5038/P5038/U5038</x:v>
      </x:c>
    </x:row>
    <x:row r="326" ht="24" customHeight="1">
      <x:c r="A326" s="13" t="str">
        <x:v>M91654</x:v>
      </x:c>
      <x:c r="B326" s="13" t="str">
        <x:v>QUA</x:v>
      </x:c>
      <x:c r="C326" s="13" t="n">
        <x:v>46</x:v>
      </x:c>
      <x:c r="D326" s="30" t="n">
        <x:v>95.7</x:v>
      </x:c>
      <x:c r="E326" s="14" t="n">
        <x:f>C326*(1000-ROUND(D326*10,0))/1000</x:f>
        <x:v>1.978</x:v>
      </x:c>
      <x:c r="F326" s="14" t="n">
        <x:f>MAX(0,(ROUND(D326*100,0)-ROUND($B$3*100,0))/100)</x:f>
        <x:v>95.65</x:v>
      </x:c>
      <x:c r="G326" s="14" t="n">
        <x:f>MIN(100,(ROUND(D326*100,0)+ROUND($B$3*100,0))/100)</x:f>
        <x:v>95.75</x:v>
      </x:c>
      <x:c r="H326" s="40" t="n">
        <x:f>C326*(10000-ROUND(G326*100,0))/10000</x:f>
        <x:v>1.955</x:v>
      </x:c>
      <x:c r="I326" s="40" t="n">
        <x:f>C326*(10000-ROUND(F326*100,0))/10000</x:f>
        <x:v>2.001</x:v>
      </x:c>
      <x:c r="J326" s="13" t="str">
        <x:f>IF(COUNTIFS($D$17:$D$369,"&lt;"&amp;D326,$E$17:$E$369,"&gt;="&amp;E326)+COUNTIFS($D$17:$D$369,"="&amp;D326,$E$17:$E$369,"&gt;"&amp;E326)=0,"是","否")</x:f>
        <x:v>否</x:v>
      </x:c>
      <x:c r="K326" s="13" t="str">
        <x:f>IF(COUNTIFS($G$17:$G$369,"&lt;"&amp;F326,$H$17:$H$369,"&gt;="&amp;I326)+COUNTIFS($G$17:$G$369,"="&amp;F326,$H$17:$H$369,"&gt;"&amp;I326)=0,"是","否")</x:f>
        <x:v>否</x:v>
      </x:c>
      <x:c r="L326" s="13" t="str">
        <x:f>IF(COUNTIFS($F$17:$F$369,"&lt;"&amp;G326,$I$17:$I$369,"&gt;="&amp;H326)+COUNTIFS($F$17:$F$369,"="&amp;G326,$I$17:$I$369,"&gt;"&amp;H326)-IF(OR(G326&gt;F326,I326&gt;H326),1,0)=0,"是","否")</x:f>
        <x:v>否</x:v>
      </x:c>
      <x:c r="M326" s="13" t="n">
        <x:f>1+COUNTIF($H$17:$H$369,"&gt;"&amp;I326)</x:f>
        <x:v>342</x:v>
      </x:c>
      <x:c r="N326" s="13" t="n">
        <x:f>COUNTIF($I$17:$I$369,"&gt;="&amp;H326)</x:f>
        <x:v>350</x:v>
      </x:c>
      <x:c r="O326" s="13" t="str">
        <x:v>I04 Table_1!D5039/P5039/U5039</x:v>
      </x:c>
    </x:row>
    <x:row r="327" ht="24" customHeight="1">
      <x:c r="A327" s="13" t="str">
        <x:v>M91659</x:v>
      </x:c>
      <x:c r="B327" s="13" t="str">
        <x:v>QUA</x:v>
      </x:c>
      <x:c r="C327" s="13" t="n">
        <x:v>56</x:v>
      </x:c>
      <x:c r="D327" s="30" t="n">
        <x:v>82.1</x:v>
      </x:c>
      <x:c r="E327" s="14" t="n">
        <x:f>C327*(1000-ROUND(D327*10,0))/1000</x:f>
        <x:v>10.024</x:v>
      </x:c>
      <x:c r="F327" s="14" t="n">
        <x:f>MAX(0,(ROUND(D327*100,0)-ROUND($B$3*100,0))/100)</x:f>
        <x:v>82.05</x:v>
      </x:c>
      <x:c r="G327" s="14" t="n">
        <x:f>MIN(100,(ROUND(D327*100,0)+ROUND($B$3*100,0))/100)</x:f>
        <x:v>82.15</x:v>
      </x:c>
      <x:c r="H327" s="40" t="n">
        <x:f>C327*(10000-ROUND(G327*100,0))/10000</x:f>
        <x:v>9.996</x:v>
      </x:c>
      <x:c r="I327" s="40" t="n">
        <x:f>C327*(10000-ROUND(F327*100,0))/10000</x:f>
        <x:v>10.052</x:v>
      </x:c>
      <x:c r="J327" s="13" t="str">
        <x:f>IF(COUNTIFS($D$17:$D$369,"&lt;"&amp;D327,$E$17:$E$369,"&gt;="&amp;E327)+COUNTIFS($D$17:$D$369,"="&amp;D327,$E$17:$E$369,"&gt;"&amp;E327)=0,"是","否")</x:f>
        <x:v>否</x:v>
      </x:c>
      <x:c r="K327" s="13" t="str">
        <x:f>IF(COUNTIFS($G$17:$G$369,"&lt;"&amp;F327,$H$17:$H$369,"&gt;="&amp;I327)+COUNTIFS($G$17:$G$369,"="&amp;F327,$H$17:$H$369,"&gt;"&amp;I327)=0,"是","否")</x:f>
        <x:v>否</x:v>
      </x:c>
      <x:c r="L327" s="13" t="str">
        <x:f>IF(COUNTIFS($F$17:$F$369,"&lt;"&amp;G327,$I$17:$I$369,"&gt;="&amp;H327)+COUNTIFS($F$17:$F$369,"="&amp;G327,$I$17:$I$369,"&gt;"&amp;H327)-IF(OR(G327&gt;F327,I327&gt;H327),1,0)=0,"是","否")</x:f>
        <x:v>否</x:v>
      </x:c>
      <x:c r="M327" s="13" t="n">
        <x:f>1+COUNTIF($H$17:$H$369,"&gt;"&amp;I327)</x:f>
        <x:v>231</x:v>
      </x:c>
      <x:c r="N327" s="13" t="n">
        <x:f>COUNTIF($I$17:$I$369,"&gt;="&amp;H327)</x:f>
        <x:v>243</x:v>
      </x:c>
      <x:c r="O327" s="13" t="str">
        <x:v>I04 Table_1!D5040/P5040/U5040</x:v>
      </x:c>
    </x:row>
    <x:row r="328" ht="24" customHeight="1">
      <x:c r="A328" s="13" t="str">
        <x:v>M91660</x:v>
      </x:c>
      <x:c r="B328" s="13" t="str">
        <x:v>QUA</x:v>
      </x:c>
      <x:c r="C328" s="13" t="n">
        <x:v>67</x:v>
      </x:c>
      <x:c r="D328" s="30" t="n">
        <x:v>70.1</x:v>
      </x:c>
      <x:c r="E328" s="14" t="n">
        <x:f>C328*(1000-ROUND(D328*10,0))/1000</x:f>
        <x:v>20.033</x:v>
      </x:c>
      <x:c r="F328" s="14" t="n">
        <x:f>MAX(0,(ROUND(D328*100,0)-ROUND($B$3*100,0))/100)</x:f>
        <x:v>70.05</x:v>
      </x:c>
      <x:c r="G328" s="14" t="n">
        <x:f>MIN(100,(ROUND(D328*100,0)+ROUND($B$3*100,0))/100)</x:f>
        <x:v>70.15</x:v>
      </x:c>
      <x:c r="H328" s="40" t="n">
        <x:f>C328*(10000-ROUND(G328*100,0))/10000</x:f>
        <x:v>19.9995</x:v>
      </x:c>
      <x:c r="I328" s="40" t="n">
        <x:f>C328*(10000-ROUND(F328*100,0))/10000</x:f>
        <x:v>20.0665</x:v>
      </x:c>
      <x:c r="J328" s="13" t="str">
        <x:f>IF(COUNTIFS($D$17:$D$369,"&lt;"&amp;D328,$E$17:$E$369,"&gt;="&amp;E328)+COUNTIFS($D$17:$D$369,"="&amp;D328,$E$17:$E$369,"&gt;"&amp;E328)=0,"是","否")</x:f>
        <x:v>否</x:v>
      </x:c>
      <x:c r="K328" s="13" t="str">
        <x:f>IF(COUNTIFS($G$17:$G$369,"&lt;"&amp;F328,$H$17:$H$369,"&gt;="&amp;I328)+COUNTIFS($G$17:$G$369,"="&amp;F328,$H$17:$H$369,"&gt;"&amp;I328)=0,"是","否")</x:f>
        <x:v>否</x:v>
      </x:c>
      <x:c r="L328" s="13" t="str">
        <x:f>IF(COUNTIFS($F$17:$F$369,"&lt;"&amp;G328,$I$17:$I$369,"&gt;="&amp;H328)+COUNTIFS($F$17:$F$369,"="&amp;G328,$I$17:$I$369,"&gt;"&amp;H328)-IF(OR(G328&gt;F328,I328&gt;H328),1,0)=0,"是","否")</x:f>
        <x:v>否</x:v>
      </x:c>
      <x:c r="M328" s="13" t="n">
        <x:f>1+COUNTIF($H$17:$H$369,"&gt;"&amp;I328)</x:f>
        <x:v>130</x:v>
      </x:c>
      <x:c r="N328" s="13" t="n">
        <x:f>COUNTIF($I$17:$I$369,"&gt;="&amp;H328)</x:f>
        <x:v>141</x:v>
      </x:c>
      <x:c r="O328" s="13" t="str">
        <x:v>I04 Table_1!D5041/P5041/U5041</x:v>
      </x:c>
    </x:row>
    <x:row r="329" ht="24" customHeight="1">
      <x:c r="A329" s="13" t="str">
        <x:v>M92001</x:v>
      </x:c>
      <x:c r="B329" s="13" t="str">
        <x:v>QUA</x:v>
      </x:c>
      <x:c r="C329" s="13" t="n">
        <x:v>32</x:v>
      </x:c>
      <x:c r="D329" s="30" t="n">
        <x:v>75</x:v>
      </x:c>
      <x:c r="E329" s="14" t="n">
        <x:f>C329*(1000-ROUND(D329*10,0))/1000</x:f>
        <x:v>8</x:v>
      </x:c>
      <x:c r="F329" s="14" t="n">
        <x:f>MAX(0,(ROUND(D329*100,0)-ROUND($B$3*100,0))/100)</x:f>
        <x:v>74.95</x:v>
      </x:c>
      <x:c r="G329" s="14" t="n">
        <x:f>MIN(100,(ROUND(D329*100,0)+ROUND($B$3*100,0))/100)</x:f>
        <x:v>75.05</x:v>
      </x:c>
      <x:c r="H329" s="40" t="n">
        <x:f>C329*(10000-ROUND(G329*100,0))/10000</x:f>
        <x:v>7.984</x:v>
      </x:c>
      <x:c r="I329" s="40" t="n">
        <x:f>C329*(10000-ROUND(F329*100,0))/10000</x:f>
        <x:v>8.016</x:v>
      </x:c>
      <x:c r="J329" s="13" t="str">
        <x:f>IF(COUNTIFS($D$17:$D$369,"&lt;"&amp;D329,$E$17:$E$369,"&gt;="&amp;E329)+COUNTIFS($D$17:$D$369,"="&amp;D329,$E$17:$E$369,"&gt;"&amp;E329)=0,"是","否")</x:f>
        <x:v>否</x:v>
      </x:c>
      <x:c r="K329" s="13" t="str">
        <x:f>IF(COUNTIFS($G$17:$G$369,"&lt;"&amp;F329,$H$17:$H$369,"&gt;="&amp;I329)+COUNTIFS($G$17:$G$369,"="&amp;F329,$H$17:$H$369,"&gt;"&amp;I329)=0,"是","否")</x:f>
        <x:v>否</x:v>
      </x:c>
      <x:c r="L329" s="13" t="str">
        <x:f>IF(COUNTIFS($F$17:$F$369,"&lt;"&amp;G329,$I$17:$I$369,"&gt;="&amp;H329)+COUNTIFS($F$17:$F$369,"="&amp;G329,$I$17:$I$369,"&gt;"&amp;H329)-IF(OR(G329&gt;F329,I329&gt;H329),1,0)=0,"是","否")</x:f>
        <x:v>否</x:v>
      </x:c>
      <x:c r="M329" s="13" t="n">
        <x:f>1+COUNTIF($H$17:$H$369,"&gt;"&amp;I329)</x:f>
        <x:v>257</x:v>
      </x:c>
      <x:c r="N329" s="13" t="n">
        <x:f>COUNTIF($I$17:$I$369,"&gt;="&amp;H329)</x:f>
        <x:v>271</x:v>
      </x:c>
      <x:c r="O329" s="13" t="str">
        <x:v>I04 Table_1!D5042/P5042/U5042</x:v>
      </x:c>
    </x:row>
    <x:row r="330" ht="24" customHeight="1">
      <x:c r="A330" s="13" t="str">
        <x:v>M92004</x:v>
      </x:c>
      <x:c r="B330" s="13" t="str">
        <x:v>QUA</x:v>
      </x:c>
      <x:c r="C330" s="13" t="n">
        <x:v>41</x:v>
      </x:c>
      <x:c r="D330" s="30" t="n">
        <x:v>87.8</x:v>
      </x:c>
      <x:c r="E330" s="14" t="n">
        <x:f>C330*(1000-ROUND(D330*10,0))/1000</x:f>
        <x:v>5.002</x:v>
      </x:c>
      <x:c r="F330" s="14" t="n">
        <x:f>MAX(0,(ROUND(D330*100,0)-ROUND($B$3*100,0))/100)</x:f>
        <x:v>87.75</x:v>
      </x:c>
      <x:c r="G330" s="14" t="n">
        <x:f>MIN(100,(ROUND(D330*100,0)+ROUND($B$3*100,0))/100)</x:f>
        <x:v>87.85</x:v>
      </x:c>
      <x:c r="H330" s="40" t="n">
        <x:f>C330*(10000-ROUND(G330*100,0))/10000</x:f>
        <x:v>4.9815</x:v>
      </x:c>
      <x:c r="I330" s="40" t="n">
        <x:f>C330*(10000-ROUND(F330*100,0))/10000</x:f>
        <x:v>5.0225</x:v>
      </x:c>
      <x:c r="J330" s="13" t="str">
        <x:f>IF(COUNTIFS($D$17:$D$369,"&lt;"&amp;D330,$E$17:$E$369,"&gt;="&amp;E330)+COUNTIFS($D$17:$D$369,"="&amp;D330,$E$17:$E$369,"&gt;"&amp;E330)=0,"是","否")</x:f>
        <x:v>否</x:v>
      </x:c>
      <x:c r="K330" s="13" t="str">
        <x:f>IF(COUNTIFS($G$17:$G$369,"&lt;"&amp;F330,$H$17:$H$369,"&gt;="&amp;I330)+COUNTIFS($G$17:$G$369,"="&amp;F330,$H$17:$H$369,"&gt;"&amp;I330)=0,"是","否")</x:f>
        <x:v>否</x:v>
      </x:c>
      <x:c r="L330" s="13" t="str">
        <x:f>IF(COUNTIFS($F$17:$F$369,"&lt;"&amp;G330,$I$17:$I$369,"&gt;="&amp;H330)+COUNTIFS($F$17:$F$369,"="&amp;G330,$I$17:$I$369,"&gt;"&amp;H330)-IF(OR(G330&gt;F330,I330&gt;H330),1,0)=0,"是","否")</x:f>
        <x:v>否</x:v>
      </x:c>
      <x:c r="M330" s="13" t="n">
        <x:f>1+COUNTIF($H$17:$H$369,"&gt;"&amp;I330)</x:f>
        <x:v>302</x:v>
      </x:c>
      <x:c r="N330" s="13" t="n">
        <x:f>COUNTIF($I$17:$I$369,"&gt;="&amp;H330)</x:f>
        <x:v>319</x:v>
      </x:c>
      <x:c r="O330" s="13" t="str">
        <x:v>I04 Table_1!D5043/P5043/U5043</x:v>
      </x:c>
    </x:row>
    <x:row r="331" ht="24" customHeight="1">
      <x:c r="A331" s="13" t="str">
        <x:v>M92006</x:v>
      </x:c>
      <x:c r="B331" s="13" t="str">
        <x:v>QUA</x:v>
      </x:c>
      <x:c r="C331" s="13" t="n">
        <x:v>42</x:v>
      </x:c>
      <x:c r="D331" s="30" t="n">
        <x:v>92.9</x:v>
      </x:c>
      <x:c r="E331" s="14" t="n">
        <x:f>C331*(1000-ROUND(D331*10,0))/1000</x:f>
        <x:v>2.982</x:v>
      </x:c>
      <x:c r="F331" s="14" t="n">
        <x:f>MAX(0,(ROUND(D331*100,0)-ROUND($B$3*100,0))/100)</x:f>
        <x:v>92.85</x:v>
      </x:c>
      <x:c r="G331" s="14" t="n">
        <x:f>MIN(100,(ROUND(D331*100,0)+ROUND($B$3*100,0))/100)</x:f>
        <x:v>92.95</x:v>
      </x:c>
      <x:c r="H331" s="40" t="n">
        <x:f>C331*(10000-ROUND(G331*100,0))/10000</x:f>
        <x:v>2.961</x:v>
      </x:c>
      <x:c r="I331" s="40" t="n">
        <x:f>C331*(10000-ROUND(F331*100,0))/10000</x:f>
        <x:v>3.003</x:v>
      </x:c>
      <x:c r="J331" s="13" t="str">
        <x:f>IF(COUNTIFS($D$17:$D$369,"&lt;"&amp;D331,$E$17:$E$369,"&gt;="&amp;E331)+COUNTIFS($D$17:$D$369,"="&amp;D331,$E$17:$E$369,"&gt;"&amp;E331)=0,"是","否")</x:f>
        <x:v>否</x:v>
      </x:c>
      <x:c r="K331" s="13" t="str">
        <x:f>IF(COUNTIFS($G$17:$G$369,"&lt;"&amp;F331,$H$17:$H$369,"&gt;="&amp;I331)+COUNTIFS($G$17:$G$369,"="&amp;F331,$H$17:$H$369,"&gt;"&amp;I331)=0,"是","否")</x:f>
        <x:v>否</x:v>
      </x:c>
      <x:c r="L331" s="13" t="str">
        <x:f>IF(COUNTIFS($F$17:$F$369,"&lt;"&amp;G331,$I$17:$I$369,"&gt;="&amp;H331)+COUNTIFS($F$17:$F$369,"="&amp;G331,$I$17:$I$369,"&gt;"&amp;H331)-IF(OR(G331&gt;F331,I331&gt;H331),1,0)=0,"是","否")</x:f>
        <x:v>否</x:v>
      </x:c>
      <x:c r="M331" s="13" t="n">
        <x:f>1+COUNTIF($H$17:$H$369,"&gt;"&amp;I331)</x:f>
        <x:v>331</x:v>
      </x:c>
      <x:c r="N331" s="13" t="n">
        <x:f>COUNTIF($I$17:$I$369,"&gt;="&amp;H331)</x:f>
        <x:v>341</x:v>
      </x:c>
      <x:c r="O331" s="13" t="str">
        <x:v>I04 Table_1!D5044/P5044/U5044</x:v>
      </x:c>
    </x:row>
    <x:row r="332" ht="24" customHeight="1">
      <x:c r="A332" s="13" t="str">
        <x:v>M92007</x:v>
      </x:c>
      <x:c r="B332" s="13" t="str">
        <x:v>QUA</x:v>
      </x:c>
      <x:c r="C332" s="13" t="n">
        <x:v>73</x:v>
      </x:c>
      <x:c r="D332" s="30" t="n">
        <x:v>72.6</x:v>
      </x:c>
      <x:c r="E332" s="14" t="n">
        <x:f>C332*(1000-ROUND(D332*10,0))/1000</x:f>
        <x:v>20.002</x:v>
      </x:c>
      <x:c r="F332" s="14" t="n">
        <x:f>MAX(0,(ROUND(D332*100,0)-ROUND($B$3*100,0))/100)</x:f>
        <x:v>72.55</x:v>
      </x:c>
      <x:c r="G332" s="14" t="n">
        <x:f>MIN(100,(ROUND(D332*100,0)+ROUND($B$3*100,0))/100)</x:f>
        <x:v>72.65</x:v>
      </x:c>
      <x:c r="H332" s="40" t="n">
        <x:f>C332*(10000-ROUND(G332*100,0))/10000</x:f>
        <x:v>19.9655</x:v>
      </x:c>
      <x:c r="I332" s="40" t="n">
        <x:f>C332*(10000-ROUND(F332*100,0))/10000</x:f>
        <x:v>20.0385</x:v>
      </x:c>
      <x:c r="J332" s="13" t="str">
        <x:f>IF(COUNTIFS($D$17:$D$369,"&lt;"&amp;D332,$E$17:$E$369,"&gt;="&amp;E332)+COUNTIFS($D$17:$D$369,"="&amp;D332,$E$17:$E$369,"&gt;"&amp;E332)=0,"是","否")</x:f>
        <x:v>否</x:v>
      </x:c>
      <x:c r="K332" s="13" t="str">
        <x:f>IF(COUNTIFS($G$17:$G$369,"&lt;"&amp;F332,$H$17:$H$369,"&gt;="&amp;I332)+COUNTIFS($G$17:$G$369,"="&amp;F332,$H$17:$H$369,"&gt;"&amp;I332)=0,"是","否")</x:f>
        <x:v>否</x:v>
      </x:c>
      <x:c r="L332" s="13" t="str">
        <x:f>IF(COUNTIFS($F$17:$F$369,"&lt;"&amp;G332,$I$17:$I$369,"&gt;="&amp;H332)+COUNTIFS($F$17:$F$369,"="&amp;G332,$I$17:$I$369,"&gt;"&amp;H332)-IF(OR(G332&gt;F332,I332&gt;H332),1,0)=0,"是","否")</x:f>
        <x:v>否</x:v>
      </x:c>
      <x:c r="M332" s="13" t="n">
        <x:f>1+COUNTIF($H$17:$H$369,"&gt;"&amp;I332)</x:f>
        <x:v>130</x:v>
      </x:c>
      <x:c r="N332" s="13" t="n">
        <x:f>COUNTIF($I$17:$I$369,"&gt;="&amp;H332)</x:f>
        <x:v>141</x:v>
      </x:c>
      <x:c r="O332" s="13" t="str">
        <x:v>I04 Table_1!D5045/P5045/U5045</x:v>
      </x:c>
    </x:row>
    <x:row r="333" ht="24" customHeight="1">
      <x:c r="A333" s="13" t="str">
        <x:v>M92008</x:v>
      </x:c>
      <x:c r="B333" s="13" t="str">
        <x:v>QUA</x:v>
      </x:c>
      <x:c r="C333" s="13" t="n">
        <x:v>134</x:v>
      </x:c>
      <x:c r="D333" s="30" t="n">
        <x:v>91.8</x:v>
      </x:c>
      <x:c r="E333" s="14" t="n">
        <x:f>C333*(1000-ROUND(D333*10,0))/1000</x:f>
        <x:v>10.988</x:v>
      </x:c>
      <x:c r="F333" s="14" t="n">
        <x:f>MAX(0,(ROUND(D333*100,0)-ROUND($B$3*100,0))/100)</x:f>
        <x:v>91.75</x:v>
      </x:c>
      <x:c r="G333" s="14" t="n">
        <x:f>MIN(100,(ROUND(D333*100,0)+ROUND($B$3*100,0))/100)</x:f>
        <x:v>91.85</x:v>
      </x:c>
      <x:c r="H333" s="40" t="n">
        <x:f>C333*(10000-ROUND(G333*100,0))/10000</x:f>
        <x:v>10.921</x:v>
      </x:c>
      <x:c r="I333" s="40" t="n">
        <x:f>C333*(10000-ROUND(F333*100,0))/10000</x:f>
        <x:v>11.055</x:v>
      </x:c>
      <x:c r="J333" s="13" t="str">
        <x:f>IF(COUNTIFS($D$17:$D$369,"&lt;"&amp;D333,$E$17:$E$369,"&gt;="&amp;E333)+COUNTIFS($D$17:$D$369,"="&amp;D333,$E$17:$E$369,"&gt;"&amp;E333)=0,"是","否")</x:f>
        <x:v>否</x:v>
      </x:c>
      <x:c r="K333" s="13" t="str">
        <x:f>IF(COUNTIFS($G$17:$G$369,"&lt;"&amp;F333,$H$17:$H$369,"&gt;="&amp;I333)+COUNTIFS($G$17:$G$369,"="&amp;F333,$H$17:$H$369,"&gt;"&amp;I333)=0,"是","否")</x:f>
        <x:v>否</x:v>
      </x:c>
      <x:c r="L333" s="13" t="str">
        <x:f>IF(COUNTIFS($F$17:$F$369,"&lt;"&amp;G333,$I$17:$I$369,"&gt;="&amp;H333)+COUNTIFS($F$17:$F$369,"="&amp;G333,$I$17:$I$369,"&gt;"&amp;H333)-IF(OR(G333&gt;F333,I333&gt;H333),1,0)=0,"是","否")</x:f>
        <x:v>否</x:v>
      </x:c>
      <x:c r="M333" s="13" t="n">
        <x:f>1+COUNTIF($H$17:$H$369,"&gt;"&amp;I333)</x:f>
        <x:v>222</x:v>
      </x:c>
      <x:c r="N333" s="13" t="n">
        <x:f>COUNTIF($I$17:$I$369,"&gt;="&amp;H333)</x:f>
        <x:v>230</x:v>
      </x:c>
      <x:c r="O333" s="13" t="str">
        <x:v>I04 Table_1!D5046/P5046/U5046</x:v>
      </x:c>
    </x:row>
    <x:row r="334" ht="24" customHeight="1">
      <x:c r="A334" s="13" t="str">
        <x:v>M92009</x:v>
      </x:c>
      <x:c r="B334" s="13" t="str">
        <x:v>QUA</x:v>
      </x:c>
      <x:c r="C334" s="13" t="n">
        <x:v>148</x:v>
      </x:c>
      <x:c r="D334" s="30" t="n">
        <x:v>85.1</x:v>
      </x:c>
      <x:c r="E334" s="14" t="n">
        <x:f>C334*(1000-ROUND(D334*10,0))/1000</x:f>
        <x:v>22.052</x:v>
      </x:c>
      <x:c r="F334" s="14" t="n">
        <x:f>MAX(0,(ROUND(D334*100,0)-ROUND($B$3*100,0))/100)</x:f>
        <x:v>85.05</x:v>
      </x:c>
      <x:c r="G334" s="14" t="n">
        <x:f>MIN(100,(ROUND(D334*100,0)+ROUND($B$3*100,0))/100)</x:f>
        <x:v>85.15</x:v>
      </x:c>
      <x:c r="H334" s="40" t="n">
        <x:f>C334*(10000-ROUND(G334*100,0))/10000</x:f>
        <x:v>21.978</x:v>
      </x:c>
      <x:c r="I334" s="40" t="n">
        <x:f>C334*(10000-ROUND(F334*100,0))/10000</x:f>
        <x:v>22.126</x:v>
      </x:c>
      <x:c r="J334" s="13" t="str">
        <x:f>IF(COUNTIFS($D$17:$D$369,"&lt;"&amp;D334,$E$17:$E$369,"&gt;="&amp;E334)+COUNTIFS($D$17:$D$369,"="&amp;D334,$E$17:$E$369,"&gt;"&amp;E334)=0,"是","否")</x:f>
        <x:v>否</x:v>
      </x:c>
      <x:c r="K334" s="13" t="str">
        <x:f>IF(COUNTIFS($G$17:$G$369,"&lt;"&amp;F334,$H$17:$H$369,"&gt;="&amp;I334)+COUNTIFS($G$17:$G$369,"="&amp;F334,$H$17:$H$369,"&gt;"&amp;I334)=0,"是","否")</x:f>
        <x:v>否</x:v>
      </x:c>
      <x:c r="L334" s="13" t="str">
        <x:f>IF(COUNTIFS($F$17:$F$369,"&lt;"&amp;G334,$I$17:$I$369,"&gt;="&amp;H334)+COUNTIFS($F$17:$F$369,"="&amp;G334,$I$17:$I$369,"&gt;"&amp;H334)-IF(OR(G334&gt;F334,I334&gt;H334),1,0)=0,"是","否")</x:f>
        <x:v>否</x:v>
      </x:c>
      <x:c r="M334" s="13" t="n">
        <x:f>1+COUNTIF($H$17:$H$369,"&gt;"&amp;I334)</x:f>
        <x:v>120</x:v>
      </x:c>
      <x:c r="N334" s="13" t="n">
        <x:f>COUNTIF($I$17:$I$369,"&gt;="&amp;H334)</x:f>
        <x:v>122</x:v>
      </x:c>
      <x:c r="O334" s="13" t="str">
        <x:v>I04 Table_1!D5047/P5047/U5047</x:v>
      </x:c>
    </x:row>
    <x:row r="335" ht="24" customHeight="1">
      <x:c r="A335" s="13" t="str">
        <x:v>M92010</x:v>
      </x:c>
      <x:c r="B335" s="13" t="str">
        <x:v>QUA</x:v>
      </x:c>
      <x:c r="C335" s="13" t="n">
        <x:v>120</x:v>
      </x:c>
      <x:c r="D335" s="30" t="n">
        <x:v>87.5</x:v>
      </x:c>
      <x:c r="E335" s="14" t="n">
        <x:f>C335*(1000-ROUND(D335*10,0))/1000</x:f>
        <x:v>15</x:v>
      </x:c>
      <x:c r="F335" s="14" t="n">
        <x:f>MAX(0,(ROUND(D335*100,0)-ROUND($B$3*100,0))/100)</x:f>
        <x:v>87.45</x:v>
      </x:c>
      <x:c r="G335" s="14" t="n">
        <x:f>MIN(100,(ROUND(D335*100,0)+ROUND($B$3*100,0))/100)</x:f>
        <x:v>87.55</x:v>
      </x:c>
      <x:c r="H335" s="40" t="n">
        <x:f>C335*(10000-ROUND(G335*100,0))/10000</x:f>
        <x:v>14.94</x:v>
      </x:c>
      <x:c r="I335" s="40" t="n">
        <x:f>C335*(10000-ROUND(F335*100,0))/10000</x:f>
        <x:v>15.06</x:v>
      </x:c>
      <x:c r="J335" s="13" t="str">
        <x:f>IF(COUNTIFS($D$17:$D$369,"&lt;"&amp;D335,$E$17:$E$369,"&gt;="&amp;E335)+COUNTIFS($D$17:$D$369,"="&amp;D335,$E$17:$E$369,"&gt;"&amp;E335)=0,"是","否")</x:f>
        <x:v>否</x:v>
      </x:c>
      <x:c r="K335" s="13" t="str">
        <x:f>IF(COUNTIFS($G$17:$G$369,"&lt;"&amp;F335,$H$17:$H$369,"&gt;="&amp;I335)+COUNTIFS($G$17:$G$369,"="&amp;F335,$H$17:$H$369,"&gt;"&amp;I335)=0,"是","否")</x:f>
        <x:v>否</x:v>
      </x:c>
      <x:c r="L335" s="13" t="str">
        <x:f>IF(COUNTIFS($F$17:$F$369,"&lt;"&amp;G335,$I$17:$I$369,"&gt;="&amp;H335)+COUNTIFS($F$17:$F$369,"="&amp;G335,$I$17:$I$369,"&gt;"&amp;H335)-IF(OR(G335&gt;F335,I335&gt;H335),1,0)=0,"是","否")</x:f>
        <x:v>否</x:v>
      </x:c>
      <x:c r="M335" s="13" t="n">
        <x:f>1+COUNTIF($H$17:$H$369,"&gt;"&amp;I335)</x:f>
        <x:v>177</x:v>
      </x:c>
      <x:c r="N335" s="13" t="n">
        <x:f>COUNTIF($I$17:$I$369,"&gt;="&amp;H335)</x:f>
        <x:v>189</x:v>
      </x:c>
      <x:c r="O335" s="13" t="str">
        <x:v>I04 Table_1!D5048/P5048/U5048</x:v>
      </x:c>
    </x:row>
    <x:row r="336" ht="24" customHeight="1">
      <x:c r="A336" s="13" t="str">
        <x:v>M92011</x:v>
      </x:c>
      <x:c r="B336" s="13" t="str">
        <x:v>QUA</x:v>
      </x:c>
      <x:c r="C336" s="13" t="n">
        <x:v>270</x:v>
      </x:c>
      <x:c r="D336" s="30" t="n">
        <x:v>83.7</x:v>
      </x:c>
      <x:c r="E336" s="14" t="n">
        <x:f>C336*(1000-ROUND(D336*10,0))/1000</x:f>
        <x:v>44.01</x:v>
      </x:c>
      <x:c r="F336" s="14" t="n">
        <x:f>MAX(0,(ROUND(D336*100,0)-ROUND($B$3*100,0))/100)</x:f>
        <x:v>83.65</x:v>
      </x:c>
      <x:c r="G336" s="14" t="n">
        <x:f>MIN(100,(ROUND(D336*100,0)+ROUND($B$3*100,0))/100)</x:f>
        <x:v>83.75</x:v>
      </x:c>
      <x:c r="H336" s="40" t="n">
        <x:f>C336*(10000-ROUND(G336*100,0))/10000</x:f>
        <x:v>43.875</x:v>
      </x:c>
      <x:c r="I336" s="40" t="n">
        <x:f>C336*(10000-ROUND(F336*100,0))/10000</x:f>
        <x:v>44.145</x:v>
      </x:c>
      <x:c r="J336" s="13" t="str">
        <x:f>IF(COUNTIFS($D$17:$D$369,"&lt;"&amp;D336,$E$17:$E$369,"&gt;="&amp;E336)+COUNTIFS($D$17:$D$369,"="&amp;D336,$E$17:$E$369,"&gt;"&amp;E336)=0,"是","否")</x:f>
        <x:v>否</x:v>
      </x:c>
      <x:c r="K336" s="13" t="str">
        <x:f>IF(COUNTIFS($G$17:$G$369,"&lt;"&amp;F336,$H$17:$H$369,"&gt;="&amp;I336)+COUNTIFS($G$17:$G$369,"="&amp;F336,$H$17:$H$369,"&gt;"&amp;I336)=0,"是","否")</x:f>
        <x:v>否</x:v>
      </x:c>
      <x:c r="L336" s="13" t="str">
        <x:f>IF(COUNTIFS($F$17:$F$369,"&lt;"&amp;G336,$I$17:$I$369,"&gt;="&amp;H336)+COUNTIFS($F$17:$F$369,"="&amp;G336,$I$17:$I$369,"&gt;"&amp;H336)-IF(OR(G336&gt;F336,I336&gt;H336),1,0)=0,"是","否")</x:f>
        <x:v>否</x:v>
      </x:c>
      <x:c r="M336" s="13" t="n">
        <x:f>1+COUNTIF($H$17:$H$369,"&gt;"&amp;I336)</x:f>
        <x:v>29</x:v>
      </x:c>
      <x:c r="N336" s="13" t="n">
        <x:f>COUNTIF($I$17:$I$369,"&gt;="&amp;H336)</x:f>
        <x:v>29</x:v>
      </x:c>
      <x:c r="O336" s="13" t="str">
        <x:v>I04 Table_1!D5049/P5049/U5049</x:v>
      </x:c>
    </x:row>
    <x:row r="337" ht="24" customHeight="1">
      <x:c r="A337" s="13" t="str">
        <x:v>M92012</x:v>
      </x:c>
      <x:c r="B337" s="13" t="str">
        <x:v>QUA</x:v>
      </x:c>
      <x:c r="C337" s="13" t="n">
        <x:v>146</x:v>
      </x:c>
      <x:c r="D337" s="30" t="n">
        <x:v>78.8</x:v>
      </x:c>
      <x:c r="E337" s="14" t="n">
        <x:f>C337*(1000-ROUND(D337*10,0))/1000</x:f>
        <x:v>30.952</x:v>
      </x:c>
      <x:c r="F337" s="14" t="n">
        <x:f>MAX(0,(ROUND(D337*100,0)-ROUND($B$3*100,0))/100)</x:f>
        <x:v>78.75</x:v>
      </x:c>
      <x:c r="G337" s="14" t="n">
        <x:f>MIN(100,(ROUND(D337*100,0)+ROUND($B$3*100,0))/100)</x:f>
        <x:v>78.85</x:v>
      </x:c>
      <x:c r="H337" s="40" t="n">
        <x:f>C337*(10000-ROUND(G337*100,0))/10000</x:f>
        <x:v>30.879</x:v>
      </x:c>
      <x:c r="I337" s="40" t="n">
        <x:f>C337*(10000-ROUND(F337*100,0))/10000</x:f>
        <x:v>31.025</x:v>
      </x:c>
      <x:c r="J337" s="13" t="str">
        <x:f>IF(COUNTIFS($D$17:$D$369,"&lt;"&amp;D337,$E$17:$E$369,"&gt;="&amp;E337)+COUNTIFS($D$17:$D$369,"="&amp;D337,$E$17:$E$369,"&gt;"&amp;E337)=0,"是","否")</x:f>
        <x:v>否</x:v>
      </x:c>
      <x:c r="K337" s="13" t="str">
        <x:f>IF(COUNTIFS($G$17:$G$369,"&lt;"&amp;F337,$H$17:$H$369,"&gt;="&amp;I337)+COUNTIFS($G$17:$G$369,"="&amp;F337,$H$17:$H$369,"&gt;"&amp;I337)=0,"是","否")</x:f>
        <x:v>否</x:v>
      </x:c>
      <x:c r="L337" s="13" t="str">
        <x:f>IF(COUNTIFS($F$17:$F$369,"&lt;"&amp;G337,$I$17:$I$369,"&gt;="&amp;H337)+COUNTIFS($F$17:$F$369,"="&amp;G337,$I$17:$I$369,"&gt;"&amp;H337)-IF(OR(G337&gt;F337,I337&gt;H337),1,0)=0,"是","否")</x:f>
        <x:v>否</x:v>
      </x:c>
      <x:c r="M337" s="13" t="n">
        <x:f>1+COUNTIF($H$17:$H$369,"&gt;"&amp;I337)</x:f>
        <x:v>74</x:v>
      </x:c>
      <x:c r="N337" s="13" t="n">
        <x:f>COUNTIF($I$17:$I$369,"&gt;="&amp;H337)</x:f>
        <x:v>79</x:v>
      </x:c>
      <x:c r="O337" s="13" t="str">
        <x:v>I04 Table_1!D5050/P5050/U5050</x:v>
      </x:c>
    </x:row>
    <x:row r="338" ht="24" customHeight="1">
      <x:c r="A338" s="13" t="str">
        <x:v>M92013</x:v>
      </x:c>
      <x:c r="B338" s="13" t="str">
        <x:v>QUA</x:v>
      </x:c>
      <x:c r="C338" s="13" t="n">
        <x:v>93</x:v>
      </x:c>
      <x:c r="D338" s="30" t="n">
        <x:v>73.1</x:v>
      </x:c>
      <x:c r="E338" s="14" t="n">
        <x:f>C338*(1000-ROUND(D338*10,0))/1000</x:f>
        <x:v>25.017</x:v>
      </x:c>
      <x:c r="F338" s="14" t="n">
        <x:f>MAX(0,(ROUND(D338*100,0)-ROUND($B$3*100,0))/100)</x:f>
        <x:v>73.05</x:v>
      </x:c>
      <x:c r="G338" s="14" t="n">
        <x:f>MIN(100,(ROUND(D338*100,0)+ROUND($B$3*100,0))/100)</x:f>
        <x:v>73.15</x:v>
      </x:c>
      <x:c r="H338" s="40" t="n">
        <x:f>C338*(10000-ROUND(G338*100,0))/10000</x:f>
        <x:v>24.9705</x:v>
      </x:c>
      <x:c r="I338" s="40" t="n">
        <x:f>C338*(10000-ROUND(F338*100,0))/10000</x:f>
        <x:v>25.0635</x:v>
      </x:c>
      <x:c r="J338" s="13" t="str">
        <x:f>IF(COUNTIFS($D$17:$D$369,"&lt;"&amp;D338,$E$17:$E$369,"&gt;="&amp;E338)+COUNTIFS($D$17:$D$369,"="&amp;D338,$E$17:$E$369,"&gt;"&amp;E338)=0,"是","否")</x:f>
        <x:v>否</x:v>
      </x:c>
      <x:c r="K338" s="13" t="str">
        <x:f>IF(COUNTIFS($G$17:$G$369,"&lt;"&amp;F338,$H$17:$H$369,"&gt;="&amp;I338)+COUNTIFS($G$17:$G$369,"="&amp;F338,$H$17:$H$369,"&gt;"&amp;I338)=0,"是","否")</x:f>
        <x:v>否</x:v>
      </x:c>
      <x:c r="L338" s="13" t="str">
        <x:f>IF(COUNTIFS($F$17:$F$369,"&lt;"&amp;G338,$I$17:$I$369,"&gt;="&amp;H338)+COUNTIFS($F$17:$F$369,"="&amp;G338,$I$17:$I$369,"&gt;"&amp;H338)-IF(OR(G338&gt;F338,I338&gt;H338),1,0)=0,"是","否")</x:f>
        <x:v>否</x:v>
      </x:c>
      <x:c r="M338" s="13" t="n">
        <x:f>1+COUNTIF($H$17:$H$369,"&gt;"&amp;I338)</x:f>
        <x:v>96</x:v>
      </x:c>
      <x:c r="N338" s="13" t="n">
        <x:f>COUNTIF($I$17:$I$369,"&gt;="&amp;H338)</x:f>
        <x:v>100</x:v>
      </x:c>
      <x:c r="O338" s="13" t="str">
        <x:v>I04 Table_1!D5051/P5051/U5051</x:v>
      </x:c>
    </x:row>
    <x:row r="339" ht="24" customHeight="1">
      <x:c r="A339" s="13" t="str">
        <x:v>M92015</x:v>
      </x:c>
      <x:c r="B339" s="13" t="str">
        <x:v>QUA</x:v>
      </x:c>
      <x:c r="C339" s="13" t="n">
        <x:v>68</x:v>
      </x:c>
      <x:c r="D339" s="30" t="n">
        <x:v>79.4</x:v>
      </x:c>
      <x:c r="E339" s="14" t="n">
        <x:f>C339*(1000-ROUND(D339*10,0))/1000</x:f>
        <x:v>14.008</x:v>
      </x:c>
      <x:c r="F339" s="14" t="n">
        <x:f>MAX(0,(ROUND(D339*100,0)-ROUND($B$3*100,0))/100)</x:f>
        <x:v>79.35</x:v>
      </x:c>
      <x:c r="G339" s="14" t="n">
        <x:f>MIN(100,(ROUND(D339*100,0)+ROUND($B$3*100,0))/100)</x:f>
        <x:v>79.45</x:v>
      </x:c>
      <x:c r="H339" s="40" t="n">
        <x:f>C339*(10000-ROUND(G339*100,0))/10000</x:f>
        <x:v>13.974</x:v>
      </x:c>
      <x:c r="I339" s="40" t="n">
        <x:f>C339*(10000-ROUND(F339*100,0))/10000</x:f>
        <x:v>14.042</x:v>
      </x:c>
      <x:c r="J339" s="13" t="str">
        <x:f>IF(COUNTIFS($D$17:$D$369,"&lt;"&amp;D339,$E$17:$E$369,"&gt;="&amp;E339)+COUNTIFS($D$17:$D$369,"="&amp;D339,$E$17:$E$369,"&gt;"&amp;E339)=0,"是","否")</x:f>
        <x:v>否</x:v>
      </x:c>
      <x:c r="K339" s="13" t="str">
        <x:f>IF(COUNTIFS($G$17:$G$369,"&lt;"&amp;F339,$H$17:$H$369,"&gt;="&amp;I339)+COUNTIFS($G$17:$G$369,"="&amp;F339,$H$17:$H$369,"&gt;"&amp;I339)=0,"是","否")</x:f>
        <x:v>否</x:v>
      </x:c>
      <x:c r="L339" s="13" t="str">
        <x:f>IF(COUNTIFS($F$17:$F$369,"&lt;"&amp;G339,$I$17:$I$369,"&gt;="&amp;H339)+COUNTIFS($F$17:$F$369,"="&amp;G339,$I$17:$I$369,"&gt;"&amp;H339)-IF(OR(G339&gt;F339,I339&gt;H339),1,0)=0,"是","否")</x:f>
        <x:v>否</x:v>
      </x:c>
      <x:c r="M339" s="13" t="n">
        <x:f>1+COUNTIF($H$17:$H$369,"&gt;"&amp;I339)</x:f>
        <x:v>190</x:v>
      </x:c>
      <x:c r="N339" s="13" t="n">
        <x:f>COUNTIF($I$17:$I$369,"&gt;="&amp;H339)</x:f>
        <x:v>199</x:v>
      </x:c>
      <x:c r="O339" s="13" t="str">
        <x:v>I04 Table_1!D5052/P5052/U5052</x:v>
      </x:c>
    </x:row>
    <x:row r="340" ht="24" customHeight="1">
      <x:c r="A340" s="13" t="str">
        <x:v>M92016</x:v>
      </x:c>
      <x:c r="B340" s="13" t="str">
        <x:v>QUA</x:v>
      </x:c>
      <x:c r="C340" s="13" t="n">
        <x:v>310</x:v>
      </x:c>
      <x:c r="D340" s="30" t="n">
        <x:v>76.1</x:v>
      </x:c>
      <x:c r="E340" s="14" t="n">
        <x:f>C340*(1000-ROUND(D340*10,0))/1000</x:f>
        <x:v>74.09</x:v>
      </x:c>
      <x:c r="F340" s="14" t="n">
        <x:f>MAX(0,(ROUND(D340*100,0)-ROUND($B$3*100,0))/100)</x:f>
        <x:v>76.05</x:v>
      </x:c>
      <x:c r="G340" s="14" t="n">
        <x:f>MIN(100,(ROUND(D340*100,0)+ROUND($B$3*100,0))/100)</x:f>
        <x:v>76.15</x:v>
      </x:c>
      <x:c r="H340" s="40" t="n">
        <x:f>C340*(10000-ROUND(G340*100,0))/10000</x:f>
        <x:v>73.935</x:v>
      </x:c>
      <x:c r="I340" s="40" t="n">
        <x:f>C340*(10000-ROUND(F340*100,0))/10000</x:f>
        <x:v>74.245</x:v>
      </x:c>
      <x:c r="J340" s="13" t="str">
        <x:f>IF(COUNTIFS($D$17:$D$369,"&lt;"&amp;D340,$E$17:$E$369,"&gt;="&amp;E340)+COUNTIFS($D$17:$D$369,"="&amp;D340,$E$17:$E$369,"&gt;"&amp;E340)=0,"是","否")</x:f>
        <x:v>否</x:v>
      </x:c>
      <x:c r="K340" s="13" t="str">
        <x:f>IF(COUNTIFS($G$17:$G$369,"&lt;"&amp;F340,$H$17:$H$369,"&gt;="&amp;I340)+COUNTIFS($G$17:$G$369,"="&amp;F340,$H$17:$H$369,"&gt;"&amp;I340)=0,"是","否")</x:f>
        <x:v>否</x:v>
      </x:c>
      <x:c r="L340" s="13" t="str">
        <x:f>IF(COUNTIFS($F$17:$F$369,"&lt;"&amp;G340,$I$17:$I$369,"&gt;="&amp;H340)+COUNTIFS($F$17:$F$369,"="&amp;G340,$I$17:$I$369,"&gt;"&amp;H340)-IF(OR(G340&gt;F340,I340&gt;H340),1,0)=0,"是","否")</x:f>
        <x:v>否</x:v>
      </x:c>
      <x:c r="M340" s="13" t="n">
        <x:f>1+COUNTIF($H$17:$H$369,"&gt;"&amp;I340)</x:f>
        <x:v>11</x:v>
      </x:c>
      <x:c r="N340" s="13" t="n">
        <x:f>COUNTIF($I$17:$I$369,"&gt;="&amp;H340)</x:f>
        <x:v>11</x:v>
      </x:c>
      <x:c r="O340" s="13" t="str">
        <x:v>I04 Table_1!D5053/P5053/U5053</x:v>
      </x:c>
    </x:row>
    <x:row r="341" ht="24" customHeight="1">
      <x:c r="A341" s="13" t="str">
        <x:v>M92019</x:v>
      </x:c>
      <x:c r="B341" s="13" t="str">
        <x:v>QUA</x:v>
      </x:c>
      <x:c r="C341" s="13" t="n">
        <x:v>74</x:v>
      </x:c>
      <x:c r="D341" s="30" t="n">
        <x:v>77</x:v>
      </x:c>
      <x:c r="E341" s="14" t="n">
        <x:f>C341*(1000-ROUND(D341*10,0))/1000</x:f>
        <x:v>17.02</x:v>
      </x:c>
      <x:c r="F341" s="14" t="n">
        <x:f>MAX(0,(ROUND(D341*100,0)-ROUND($B$3*100,0))/100)</x:f>
        <x:v>76.95</x:v>
      </x:c>
      <x:c r="G341" s="14" t="n">
        <x:f>MIN(100,(ROUND(D341*100,0)+ROUND($B$3*100,0))/100)</x:f>
        <x:v>77.05</x:v>
      </x:c>
      <x:c r="H341" s="40" t="n">
        <x:f>C341*(10000-ROUND(G341*100,0))/10000</x:f>
        <x:v>16.983</x:v>
      </x:c>
      <x:c r="I341" s="40" t="n">
        <x:f>C341*(10000-ROUND(F341*100,0))/10000</x:f>
        <x:v>17.057</x:v>
      </x:c>
      <x:c r="J341" s="13" t="str">
        <x:f>IF(COUNTIFS($D$17:$D$369,"&lt;"&amp;D341,$E$17:$E$369,"&gt;="&amp;E341)+COUNTIFS($D$17:$D$369,"="&amp;D341,$E$17:$E$369,"&gt;"&amp;E341)=0,"是","否")</x:f>
        <x:v>否</x:v>
      </x:c>
      <x:c r="K341" s="13" t="str">
        <x:f>IF(COUNTIFS($G$17:$G$369,"&lt;"&amp;F341,$H$17:$H$369,"&gt;="&amp;I341)+COUNTIFS($G$17:$G$369,"="&amp;F341,$H$17:$H$369,"&gt;"&amp;I341)=0,"是","否")</x:f>
        <x:v>否</x:v>
      </x:c>
      <x:c r="L341" s="13" t="str">
        <x:f>IF(COUNTIFS($F$17:$F$369,"&lt;"&amp;G341,$I$17:$I$369,"&gt;="&amp;H341)+COUNTIFS($F$17:$F$369,"="&amp;G341,$I$17:$I$369,"&gt;"&amp;H341)-IF(OR(G341&gt;F341,I341&gt;H341),1,0)=0,"是","否")</x:f>
        <x:v>否</x:v>
      </x:c>
      <x:c r="M341" s="13" t="n">
        <x:f>1+COUNTIF($H$17:$H$369,"&gt;"&amp;I341)</x:f>
        <x:v>158</x:v>
      </x:c>
      <x:c r="N341" s="13" t="n">
        <x:f>COUNTIF($I$17:$I$369,"&gt;="&amp;H341)</x:f>
        <x:v>166</x:v>
      </x:c>
      <x:c r="O341" s="13" t="str">
        <x:v>I04 Table_1!D5054/P5054/U5054</x:v>
      </x:c>
    </x:row>
    <x:row r="342" ht="24" customHeight="1">
      <x:c r="A342" s="13" t="str">
        <x:v>M92022</x:v>
      </x:c>
      <x:c r="B342" s="13" t="str">
        <x:v>QUA</x:v>
      </x:c>
      <x:c r="C342" s="13" t="n">
        <x:v>79</x:v>
      </x:c>
      <x:c r="D342" s="30" t="n">
        <x:v>81</x:v>
      </x:c>
      <x:c r="E342" s="14" t="n">
        <x:f>C342*(1000-ROUND(D342*10,0))/1000</x:f>
        <x:v>15.01</x:v>
      </x:c>
      <x:c r="F342" s="14" t="n">
        <x:f>MAX(0,(ROUND(D342*100,0)-ROUND($B$3*100,0))/100)</x:f>
        <x:v>80.95</x:v>
      </x:c>
      <x:c r="G342" s="14" t="n">
        <x:f>MIN(100,(ROUND(D342*100,0)+ROUND($B$3*100,0))/100)</x:f>
        <x:v>81.05</x:v>
      </x:c>
      <x:c r="H342" s="40" t="n">
        <x:f>C342*(10000-ROUND(G342*100,0))/10000</x:f>
        <x:v>14.9705</x:v>
      </x:c>
      <x:c r="I342" s="40" t="n">
        <x:f>C342*(10000-ROUND(F342*100,0))/10000</x:f>
        <x:v>15.0495</x:v>
      </x:c>
      <x:c r="J342" s="13" t="str">
        <x:f>IF(COUNTIFS($D$17:$D$369,"&lt;"&amp;D342,$E$17:$E$369,"&gt;="&amp;E342)+COUNTIFS($D$17:$D$369,"="&amp;D342,$E$17:$E$369,"&gt;"&amp;E342)=0,"是","否")</x:f>
        <x:v>否</x:v>
      </x:c>
      <x:c r="K342" s="13" t="str">
        <x:f>IF(COUNTIFS($G$17:$G$369,"&lt;"&amp;F342,$H$17:$H$369,"&gt;="&amp;I342)+COUNTIFS($G$17:$G$369,"="&amp;F342,$H$17:$H$369,"&gt;"&amp;I342)=0,"是","否")</x:f>
        <x:v>否</x:v>
      </x:c>
      <x:c r="L342" s="13" t="str">
        <x:f>IF(COUNTIFS($F$17:$F$369,"&lt;"&amp;G342,$I$17:$I$369,"&gt;="&amp;H342)+COUNTIFS($F$17:$F$369,"="&amp;G342,$I$17:$I$369,"&gt;"&amp;H342)-IF(OR(G342&gt;F342,I342&gt;H342),1,0)=0,"是","否")</x:f>
        <x:v>否</x:v>
      </x:c>
      <x:c r="M342" s="13" t="n">
        <x:f>1+COUNTIF($H$17:$H$369,"&gt;"&amp;I342)</x:f>
        <x:v>177</x:v>
      </x:c>
      <x:c r="N342" s="13" t="n">
        <x:f>COUNTIF($I$17:$I$369,"&gt;="&amp;H342)</x:f>
        <x:v>189</x:v>
      </x:c>
      <x:c r="O342" s="13" t="str">
        <x:v>I04 Table_1!D5055/P5055/U5055</x:v>
      </x:c>
    </x:row>
    <x:row r="343" ht="24" customHeight="1">
      <x:c r="A343" s="13" t="str">
        <x:v>M92026</x:v>
      </x:c>
      <x:c r="B343" s="13" t="str">
        <x:v>QUA</x:v>
      </x:c>
      <x:c r="C343" s="13" t="n">
        <x:v>54</x:v>
      </x:c>
      <x:c r="D343" s="30" t="n">
        <x:v>85.2</x:v>
      </x:c>
      <x:c r="E343" s="14" t="n">
        <x:f>C343*(1000-ROUND(D343*10,0))/1000</x:f>
        <x:v>7.992</x:v>
      </x:c>
      <x:c r="F343" s="14" t="n">
        <x:f>MAX(0,(ROUND(D343*100,0)-ROUND($B$3*100,0))/100)</x:f>
        <x:v>85.15</x:v>
      </x:c>
      <x:c r="G343" s="14" t="n">
        <x:f>MIN(100,(ROUND(D343*100,0)+ROUND($B$3*100,0))/100)</x:f>
        <x:v>85.25</x:v>
      </x:c>
      <x:c r="H343" s="40" t="n">
        <x:f>C343*(10000-ROUND(G343*100,0))/10000</x:f>
        <x:v>7.965</x:v>
      </x:c>
      <x:c r="I343" s="40" t="n">
        <x:f>C343*(10000-ROUND(F343*100,0))/10000</x:f>
        <x:v>8.019</x:v>
      </x:c>
      <x:c r="J343" s="13" t="str">
        <x:f>IF(COUNTIFS($D$17:$D$369,"&lt;"&amp;D343,$E$17:$E$369,"&gt;="&amp;E343)+COUNTIFS($D$17:$D$369,"="&amp;D343,$E$17:$E$369,"&gt;"&amp;E343)=0,"是","否")</x:f>
        <x:v>否</x:v>
      </x:c>
      <x:c r="K343" s="13" t="str">
        <x:f>IF(COUNTIFS($G$17:$G$369,"&lt;"&amp;F343,$H$17:$H$369,"&gt;="&amp;I343)+COUNTIFS($G$17:$G$369,"="&amp;F343,$H$17:$H$369,"&gt;"&amp;I343)=0,"是","否")</x:f>
        <x:v>否</x:v>
      </x:c>
      <x:c r="L343" s="13" t="str">
        <x:f>IF(COUNTIFS($F$17:$F$369,"&lt;"&amp;G343,$I$17:$I$369,"&gt;="&amp;H343)+COUNTIFS($F$17:$F$369,"="&amp;G343,$I$17:$I$369,"&gt;"&amp;H343)-IF(OR(G343&gt;F343,I343&gt;H343),1,0)=0,"是","否")</x:f>
        <x:v>否</x:v>
      </x:c>
      <x:c r="M343" s="13" t="n">
        <x:f>1+COUNTIF($H$17:$H$369,"&gt;"&amp;I343)</x:f>
        <x:v>257</x:v>
      </x:c>
      <x:c r="N343" s="13" t="n">
        <x:f>COUNTIF($I$17:$I$369,"&gt;="&amp;H343)</x:f>
        <x:v>271</x:v>
      </x:c>
      <x:c r="O343" s="13" t="str">
        <x:v>I04 Table_1!D5056/P5056/U5056</x:v>
      </x:c>
    </x:row>
    <x:row r="344" ht="24" customHeight="1">
      <x:c r="A344" s="13" t="str">
        <x:v>M92028</x:v>
      </x:c>
      <x:c r="B344" s="13" t="str">
        <x:v>QUA</x:v>
      </x:c>
      <x:c r="C344" s="13" t="n">
        <x:v>102</x:v>
      </x:c>
      <x:c r="D344" s="30" t="n">
        <x:v>59.8</x:v>
      </x:c>
      <x:c r="E344" s="14" t="n">
        <x:f>C344*(1000-ROUND(D344*10,0))/1000</x:f>
        <x:v>41.004</x:v>
      </x:c>
      <x:c r="F344" s="14" t="n">
        <x:f>MAX(0,(ROUND(D344*100,0)-ROUND($B$3*100,0))/100)</x:f>
        <x:v>59.75</x:v>
      </x:c>
      <x:c r="G344" s="14" t="n">
        <x:f>MIN(100,(ROUND(D344*100,0)+ROUND($B$3*100,0))/100)</x:f>
        <x:v>59.85</x:v>
      </x:c>
      <x:c r="H344" s="40" t="n">
        <x:f>C344*(10000-ROUND(G344*100,0))/10000</x:f>
        <x:v>40.953</x:v>
      </x:c>
      <x:c r="I344" s="40" t="n">
        <x:f>C344*(10000-ROUND(F344*100,0))/10000</x:f>
        <x:v>41.055</x:v>
      </x:c>
      <x:c r="J344" s="13" t="str">
        <x:f>IF(COUNTIFS($D$17:$D$369,"&lt;"&amp;D344,$E$17:$E$369,"&gt;="&amp;E344)+COUNTIFS($D$17:$D$369,"="&amp;D344,$E$17:$E$369,"&gt;"&amp;E344)=0,"是","否")</x:f>
        <x:v>否</x:v>
      </x:c>
      <x:c r="K344" s="13" t="str">
        <x:f>IF(COUNTIFS($G$17:$G$369,"&lt;"&amp;F344,$H$17:$H$369,"&gt;="&amp;I344)+COUNTIFS($G$17:$G$369,"="&amp;F344,$H$17:$H$369,"&gt;"&amp;I344)=0,"是","否")</x:f>
        <x:v>否</x:v>
      </x:c>
      <x:c r="L344" s="13" t="str">
        <x:f>IF(COUNTIFS($F$17:$F$369,"&lt;"&amp;G344,$I$17:$I$369,"&gt;="&amp;H344)+COUNTIFS($F$17:$F$369,"="&amp;G344,$I$17:$I$369,"&gt;"&amp;H344)-IF(OR(G344&gt;F344,I344&gt;H344),1,0)=0,"是","否")</x:f>
        <x:v>否</x:v>
      </x:c>
      <x:c r="M344" s="13" t="n">
        <x:f>1+COUNTIF($H$17:$H$369,"&gt;"&amp;I344)</x:f>
        <x:v>31</x:v>
      </x:c>
      <x:c r="N344" s="13" t="n">
        <x:f>COUNTIF($I$17:$I$369,"&gt;="&amp;H344)</x:f>
        <x:v>34</x:v>
      </x:c>
      <x:c r="O344" s="13" t="str">
        <x:v>I04 Table_1!D5057/P5057/U5057</x:v>
      </x:c>
    </x:row>
    <x:row r="345" ht="24" customHeight="1">
      <x:c r="A345" s="13" t="str">
        <x:v>M92029</x:v>
      </x:c>
      <x:c r="B345" s="13" t="str">
        <x:v>QUA</x:v>
      </x:c>
      <x:c r="C345" s="13" t="n">
        <x:v>47</x:v>
      </x:c>
      <x:c r="D345" s="30" t="n">
        <x:v>85.1</x:v>
      </x:c>
      <x:c r="E345" s="14" t="n">
        <x:f>C345*(1000-ROUND(D345*10,0))/1000</x:f>
        <x:v>7.003</x:v>
      </x:c>
      <x:c r="F345" s="14" t="n">
        <x:f>MAX(0,(ROUND(D345*100,0)-ROUND($B$3*100,0))/100)</x:f>
        <x:v>85.05</x:v>
      </x:c>
      <x:c r="G345" s="14" t="n">
        <x:f>MIN(100,(ROUND(D345*100,0)+ROUND($B$3*100,0))/100)</x:f>
        <x:v>85.15</x:v>
      </x:c>
      <x:c r="H345" s="40" t="n">
        <x:f>C345*(10000-ROUND(G345*100,0))/10000</x:f>
        <x:v>6.9795</x:v>
      </x:c>
      <x:c r="I345" s="40" t="n">
        <x:f>C345*(10000-ROUND(F345*100,0))/10000</x:f>
        <x:v>7.0265</x:v>
      </x:c>
      <x:c r="J345" s="13" t="str">
        <x:f>IF(COUNTIFS($D$17:$D$369,"&lt;"&amp;D345,$E$17:$E$369,"&gt;="&amp;E345)+COUNTIFS($D$17:$D$369,"="&amp;D345,$E$17:$E$369,"&gt;"&amp;E345)=0,"是","否")</x:f>
        <x:v>否</x:v>
      </x:c>
      <x:c r="K345" s="13" t="str">
        <x:f>IF(COUNTIFS($G$17:$G$369,"&lt;"&amp;F345,$H$17:$H$369,"&gt;="&amp;I345)+COUNTIFS($G$17:$G$369,"="&amp;F345,$H$17:$H$369,"&gt;"&amp;I345)=0,"是","否")</x:f>
        <x:v>否</x:v>
      </x:c>
      <x:c r="L345" s="13" t="str">
        <x:f>IF(COUNTIFS($F$17:$F$369,"&lt;"&amp;G345,$I$17:$I$369,"&gt;="&amp;H345)+COUNTIFS($F$17:$F$369,"="&amp;G345,$I$17:$I$369,"&gt;"&amp;H345)-IF(OR(G345&gt;F345,I345&gt;H345),1,0)=0,"是","否")</x:f>
        <x:v>否</x:v>
      </x:c>
      <x:c r="M345" s="13" t="n">
        <x:f>1+COUNTIF($H$17:$H$369,"&gt;"&amp;I345)</x:f>
        <x:v>272</x:v>
      </x:c>
      <x:c r="N345" s="13" t="n">
        <x:f>COUNTIF($I$17:$I$369,"&gt;="&amp;H345)</x:f>
        <x:v>285</x:v>
      </x:c>
      <x:c r="O345" s="13" t="str">
        <x:v>I04 Table_1!D5058/P5058/U5058</x:v>
      </x:c>
    </x:row>
    <x:row r="346" ht="24" customHeight="1">
      <x:c r="A346" s="13" t="str">
        <x:v>M92039</x:v>
      </x:c>
      <x:c r="B346" s="13" t="str">
        <x:v>QUA</x:v>
      </x:c>
      <x:c r="C346" s="13" t="n">
        <x:v>94</x:v>
      </x:c>
      <x:c r="D346" s="30" t="n">
        <x:v>80.9</x:v>
      </x:c>
      <x:c r="E346" s="14" t="n">
        <x:f>C346*(1000-ROUND(D346*10,0))/1000</x:f>
        <x:v>17.954</x:v>
      </x:c>
      <x:c r="F346" s="14" t="n">
        <x:f>MAX(0,(ROUND(D346*100,0)-ROUND($B$3*100,0))/100)</x:f>
        <x:v>80.85</x:v>
      </x:c>
      <x:c r="G346" s="14" t="n">
        <x:f>MIN(100,(ROUND(D346*100,0)+ROUND($B$3*100,0))/100)</x:f>
        <x:v>80.95</x:v>
      </x:c>
      <x:c r="H346" s="40" t="n">
        <x:f>C346*(10000-ROUND(G346*100,0))/10000</x:f>
        <x:v>17.907</x:v>
      </x:c>
      <x:c r="I346" s="40" t="n">
        <x:f>C346*(10000-ROUND(F346*100,0))/10000</x:f>
        <x:v>18.001</x:v>
      </x:c>
      <x:c r="J346" s="13" t="str">
        <x:f>IF(COUNTIFS($D$17:$D$369,"&lt;"&amp;D346,$E$17:$E$369,"&gt;="&amp;E346)+COUNTIFS($D$17:$D$369,"="&amp;D346,$E$17:$E$369,"&gt;"&amp;E346)=0,"是","否")</x:f>
        <x:v>否</x:v>
      </x:c>
      <x:c r="K346" s="13" t="str">
        <x:f>IF(COUNTIFS($G$17:$G$369,"&lt;"&amp;F346,$H$17:$H$369,"&gt;="&amp;I346)+COUNTIFS($G$17:$G$369,"="&amp;F346,$H$17:$H$369,"&gt;"&amp;I346)=0,"是","否")</x:f>
        <x:v>否</x:v>
      </x:c>
      <x:c r="L346" s="13" t="str">
        <x:f>IF(COUNTIFS($F$17:$F$369,"&lt;"&amp;G346,$I$17:$I$369,"&gt;="&amp;H346)+COUNTIFS($F$17:$F$369,"="&amp;G346,$I$17:$I$369,"&gt;"&amp;H346)-IF(OR(G346&gt;F346,I346&gt;H346),1,0)=0,"是","否")</x:f>
        <x:v>否</x:v>
      </x:c>
      <x:c r="M346" s="13" t="n">
        <x:f>1+COUNTIF($H$17:$H$369,"&gt;"&amp;I346)</x:f>
        <x:v>152</x:v>
      </x:c>
      <x:c r="N346" s="13" t="n">
        <x:f>COUNTIF($I$17:$I$369,"&gt;="&amp;H346)</x:f>
        <x:v>157</x:v>
      </x:c>
      <x:c r="O346" s="13" t="str">
        <x:v>I04 Table_1!D5059/P5059/U5059</x:v>
      </x:c>
    </x:row>
    <x:row r="347" ht="24" customHeight="1">
      <x:c r="A347" s="13" t="str">
        <x:v>M92040</x:v>
      </x:c>
      <x:c r="B347" s="13" t="str">
        <x:v>QUA</x:v>
      </x:c>
      <x:c r="C347" s="13" t="n">
        <x:v>175</x:v>
      </x:c>
      <x:c r="D347" s="30" t="n">
        <x:v>78.9</x:v>
      </x:c>
      <x:c r="E347" s="14" t="n">
        <x:f>C347*(1000-ROUND(D347*10,0))/1000</x:f>
        <x:v>36.925</x:v>
      </x:c>
      <x:c r="F347" s="14" t="n">
        <x:f>MAX(0,(ROUND(D347*100,0)-ROUND($B$3*100,0))/100)</x:f>
        <x:v>78.85</x:v>
      </x:c>
      <x:c r="G347" s="14" t="n">
        <x:f>MIN(100,(ROUND(D347*100,0)+ROUND($B$3*100,0))/100)</x:f>
        <x:v>78.95</x:v>
      </x:c>
      <x:c r="H347" s="40" t="n">
        <x:f>C347*(10000-ROUND(G347*100,0))/10000</x:f>
        <x:v>36.8375</x:v>
      </x:c>
      <x:c r="I347" s="40" t="n">
        <x:f>C347*(10000-ROUND(F347*100,0))/10000</x:f>
        <x:v>37.0125</x:v>
      </x:c>
      <x:c r="J347" s="13" t="str">
        <x:f>IF(COUNTIFS($D$17:$D$369,"&lt;"&amp;D347,$E$17:$E$369,"&gt;="&amp;E347)+COUNTIFS($D$17:$D$369,"="&amp;D347,$E$17:$E$369,"&gt;"&amp;E347)=0,"是","否")</x:f>
        <x:v>否</x:v>
      </x:c>
      <x:c r="K347" s="13" t="str">
        <x:f>IF(COUNTIFS($G$17:$G$369,"&lt;"&amp;F347,$H$17:$H$369,"&gt;="&amp;I347)+COUNTIFS($G$17:$G$369,"="&amp;F347,$H$17:$H$369,"&gt;"&amp;I347)=0,"是","否")</x:f>
        <x:v>否</x:v>
      </x:c>
      <x:c r="L347" s="13" t="str">
        <x:f>IF(COUNTIFS($F$17:$F$369,"&lt;"&amp;G347,$I$17:$I$369,"&gt;="&amp;H347)+COUNTIFS($F$17:$F$369,"="&amp;G347,$I$17:$I$369,"&gt;"&amp;H347)-IF(OR(G347&gt;F347,I347&gt;H347),1,0)=0,"是","否")</x:f>
        <x:v>否</x:v>
      </x:c>
      <x:c r="M347" s="13" t="n">
        <x:f>1+COUNTIF($H$17:$H$369,"&gt;"&amp;I347)</x:f>
        <x:v>47</x:v>
      </x:c>
      <x:c r="N347" s="13" t="n">
        <x:f>COUNTIF($I$17:$I$369,"&gt;="&amp;H347)</x:f>
        <x:v>51</x:v>
      </x:c>
      <x:c r="O347" s="13" t="str">
        <x:v>I04 Table_1!D5060/P5060/U5060</x:v>
      </x:c>
    </x:row>
    <x:row r="348" ht="24" customHeight="1">
      <x:c r="A348" s="13" t="str">
        <x:v>M92041</x:v>
      </x:c>
      <x:c r="B348" s="13" t="str">
        <x:v>QUA</x:v>
      </x:c>
      <x:c r="C348" s="13" t="n">
        <x:v>56</x:v>
      </x:c>
      <x:c r="D348" s="30" t="n">
        <x:v>85.7</x:v>
      </x:c>
      <x:c r="E348" s="14" t="n">
        <x:f>C348*(1000-ROUND(D348*10,0))/1000</x:f>
        <x:v>8.008</x:v>
      </x:c>
      <x:c r="F348" s="14" t="n">
        <x:f>MAX(0,(ROUND(D348*100,0)-ROUND($B$3*100,0))/100)</x:f>
        <x:v>85.65</x:v>
      </x:c>
      <x:c r="G348" s="14" t="n">
        <x:f>MIN(100,(ROUND(D348*100,0)+ROUND($B$3*100,0))/100)</x:f>
        <x:v>85.75</x:v>
      </x:c>
      <x:c r="H348" s="40" t="n">
        <x:f>C348*(10000-ROUND(G348*100,0))/10000</x:f>
        <x:v>7.98</x:v>
      </x:c>
      <x:c r="I348" s="40" t="n">
        <x:f>C348*(10000-ROUND(F348*100,0))/10000</x:f>
        <x:v>8.036</x:v>
      </x:c>
      <x:c r="J348" s="13" t="str">
        <x:f>IF(COUNTIFS($D$17:$D$369,"&lt;"&amp;D348,$E$17:$E$369,"&gt;="&amp;E348)+COUNTIFS($D$17:$D$369,"="&amp;D348,$E$17:$E$369,"&gt;"&amp;E348)=0,"是","否")</x:f>
        <x:v>否</x:v>
      </x:c>
      <x:c r="K348" s="13" t="str">
        <x:f>IF(COUNTIFS($G$17:$G$369,"&lt;"&amp;F348,$H$17:$H$369,"&gt;="&amp;I348)+COUNTIFS($G$17:$G$369,"="&amp;F348,$H$17:$H$369,"&gt;"&amp;I348)=0,"是","否")</x:f>
        <x:v>否</x:v>
      </x:c>
      <x:c r="L348" s="13" t="str">
        <x:f>IF(COUNTIFS($F$17:$F$369,"&lt;"&amp;G348,$I$17:$I$369,"&gt;="&amp;H348)+COUNTIFS($F$17:$F$369,"="&amp;G348,$I$17:$I$369,"&gt;"&amp;H348)-IF(OR(G348&gt;F348,I348&gt;H348),1,0)=0,"是","否")</x:f>
        <x:v>否</x:v>
      </x:c>
      <x:c r="M348" s="13" t="n">
        <x:f>1+COUNTIF($H$17:$H$369,"&gt;"&amp;I348)</x:f>
        <x:v>257</x:v>
      </x:c>
      <x:c r="N348" s="13" t="n">
        <x:f>COUNTIF($I$17:$I$369,"&gt;="&amp;H348)</x:f>
        <x:v>271</x:v>
      </x:c>
      <x:c r="O348" s="13" t="str">
        <x:v>I04 Table_1!D5061/P5061/U5061</x:v>
      </x:c>
    </x:row>
    <x:row r="349" ht="24" customHeight="1">
      <x:c r="A349" s="13" t="str">
        <x:v>M92043</x:v>
      </x:c>
      <x:c r="B349" s="13" t="str">
        <x:v>QUA</x:v>
      </x:c>
      <x:c r="C349" s="13" t="n">
        <x:v>60</x:v>
      </x:c>
      <x:c r="D349" s="30" t="n">
        <x:v>83.3</x:v>
      </x:c>
      <x:c r="E349" s="14" t="n">
        <x:f>C349*(1000-ROUND(D349*10,0))/1000</x:f>
        <x:v>10.02</x:v>
      </x:c>
      <x:c r="F349" s="14" t="n">
        <x:f>MAX(0,(ROUND(D349*100,0)-ROUND($B$3*100,0))/100)</x:f>
        <x:v>83.25</x:v>
      </x:c>
      <x:c r="G349" s="14" t="n">
        <x:f>MIN(100,(ROUND(D349*100,0)+ROUND($B$3*100,0))/100)</x:f>
        <x:v>83.35</x:v>
      </x:c>
      <x:c r="H349" s="40" t="n">
        <x:f>C349*(10000-ROUND(G349*100,0))/10000</x:f>
        <x:v>9.99</x:v>
      </x:c>
      <x:c r="I349" s="40" t="n">
        <x:f>C349*(10000-ROUND(F349*100,0))/10000</x:f>
        <x:v>10.05</x:v>
      </x:c>
      <x:c r="J349" s="13" t="str">
        <x:f>IF(COUNTIFS($D$17:$D$369,"&lt;"&amp;D349,$E$17:$E$369,"&gt;="&amp;E349)+COUNTIFS($D$17:$D$369,"="&amp;D349,$E$17:$E$369,"&gt;"&amp;E349)=0,"是","否")</x:f>
        <x:v>否</x:v>
      </x:c>
      <x:c r="K349" s="13" t="str">
        <x:f>IF(COUNTIFS($G$17:$G$369,"&lt;"&amp;F349,$H$17:$H$369,"&gt;="&amp;I349)+COUNTIFS($G$17:$G$369,"="&amp;F349,$H$17:$H$369,"&gt;"&amp;I349)=0,"是","否")</x:f>
        <x:v>否</x:v>
      </x:c>
      <x:c r="L349" s="13" t="str">
        <x:f>IF(COUNTIFS($F$17:$F$369,"&lt;"&amp;G349,$I$17:$I$369,"&gt;="&amp;H349)+COUNTIFS($F$17:$F$369,"="&amp;G349,$I$17:$I$369,"&gt;"&amp;H349)-IF(OR(G349&gt;F349,I349&gt;H349),1,0)=0,"是","否")</x:f>
        <x:v>否</x:v>
      </x:c>
      <x:c r="M349" s="13" t="n">
        <x:f>1+COUNTIF($H$17:$H$369,"&gt;"&amp;I349)</x:f>
        <x:v>231</x:v>
      </x:c>
      <x:c r="N349" s="13" t="n">
        <x:f>COUNTIF($I$17:$I$369,"&gt;="&amp;H349)</x:f>
        <x:v>243</x:v>
      </x:c>
      <x:c r="O349" s="13" t="str">
        <x:v>I04 Table_1!D5062/P5062/U5062</x:v>
      </x:c>
    </x:row>
    <x:row r="350" ht="24" customHeight="1">
      <x:c r="A350" s="13" t="str">
        <x:v>M92607</x:v>
      </x:c>
      <x:c r="B350" s="13" t="str">
        <x:v>QUA</x:v>
      </x:c>
      <x:c r="C350" s="13" t="n">
        <x:v>248</x:v>
      </x:c>
      <x:c r="D350" s="30" t="n">
        <x:v>62.1</x:v>
      </x:c>
      <x:c r="E350" s="14" t="n">
        <x:f>C350*(1000-ROUND(D350*10,0))/1000</x:f>
        <x:v>93.992</x:v>
      </x:c>
      <x:c r="F350" s="14" t="n">
        <x:f>MAX(0,(ROUND(D350*100,0)-ROUND($B$3*100,0))/100)</x:f>
        <x:v>62.05</x:v>
      </x:c>
      <x:c r="G350" s="14" t="n">
        <x:f>MIN(100,(ROUND(D350*100,0)+ROUND($B$3*100,0))/100)</x:f>
        <x:v>62.15</x:v>
      </x:c>
      <x:c r="H350" s="40" t="n">
        <x:f>C350*(10000-ROUND(G350*100,0))/10000</x:f>
        <x:v>93.868</x:v>
      </x:c>
      <x:c r="I350" s="40" t="n">
        <x:f>C350*(10000-ROUND(F350*100,0))/10000</x:f>
        <x:v>94.116</x:v>
      </x:c>
      <x:c r="J350" s="13" t="str">
        <x:f>IF(COUNTIFS($D$17:$D$369,"&lt;"&amp;D350,$E$17:$E$369,"&gt;="&amp;E350)+COUNTIFS($D$17:$D$369,"="&amp;D350,$E$17:$E$369,"&gt;"&amp;E350)=0,"是","否")</x:f>
        <x:v>否</x:v>
      </x:c>
      <x:c r="K350" s="13" t="str">
        <x:f>IF(COUNTIFS($G$17:$G$369,"&lt;"&amp;F350,$H$17:$H$369,"&gt;="&amp;I350)+COUNTIFS($G$17:$G$369,"="&amp;F350,$H$17:$H$369,"&gt;"&amp;I350)=0,"是","否")</x:f>
        <x:v>否</x:v>
      </x:c>
      <x:c r="L350" s="13" t="str">
        <x:f>IF(COUNTIFS($F$17:$F$369,"&lt;"&amp;G350,$I$17:$I$369,"&gt;="&amp;H350)+COUNTIFS($F$17:$F$369,"="&amp;G350,$I$17:$I$369,"&gt;"&amp;H350)-IF(OR(G350&gt;F350,I350&gt;H350),1,0)=0,"是","否")</x:f>
        <x:v>否</x:v>
      </x:c>
      <x:c r="M350" s="13" t="n">
        <x:f>1+COUNTIF($H$17:$H$369,"&gt;"&amp;I350)</x:f>
        <x:v>6</x:v>
      </x:c>
      <x:c r="N350" s="13" t="n">
        <x:f>COUNTIF($I$17:$I$369,"&gt;="&amp;H350)</x:f>
        <x:v>6</x:v>
      </x:c>
      <x:c r="O350" s="13" t="str">
        <x:v>I04 Table_1!D5063/P5063/U5063</x:v>
      </x:c>
    </x:row>
    <x:row r="351" ht="24" customHeight="1">
      <x:c r="A351" s="13" t="str">
        <x:v>M92609</x:v>
      </x:c>
      <x:c r="B351" s="13" t="str">
        <x:v>QUA</x:v>
      </x:c>
      <x:c r="C351" s="13" t="n">
        <x:v>69</x:v>
      </x:c>
      <x:c r="D351" s="30" t="n">
        <x:v>91.3</x:v>
      </x:c>
      <x:c r="E351" s="14" t="n">
        <x:f>C351*(1000-ROUND(D351*10,0))/1000</x:f>
        <x:v>6.003</x:v>
      </x:c>
      <x:c r="F351" s="14" t="n">
        <x:f>MAX(0,(ROUND(D351*100,0)-ROUND($B$3*100,0))/100)</x:f>
        <x:v>91.25</x:v>
      </x:c>
      <x:c r="G351" s="14" t="n">
        <x:f>MIN(100,(ROUND(D351*100,0)+ROUND($B$3*100,0))/100)</x:f>
        <x:v>91.35</x:v>
      </x:c>
      <x:c r="H351" s="40" t="n">
        <x:f>C351*(10000-ROUND(G351*100,0))/10000</x:f>
        <x:v>5.9685</x:v>
      </x:c>
      <x:c r="I351" s="40" t="n">
        <x:f>C351*(10000-ROUND(F351*100,0))/10000</x:f>
        <x:v>6.0375</x:v>
      </x:c>
      <x:c r="J351" s="13" t="str">
        <x:f>IF(COUNTIFS($D$17:$D$369,"&lt;"&amp;D351,$E$17:$E$369,"&gt;="&amp;E351)+COUNTIFS($D$17:$D$369,"="&amp;D351,$E$17:$E$369,"&gt;"&amp;E351)=0,"是","否")</x:f>
        <x:v>否</x:v>
      </x:c>
      <x:c r="K351" s="13" t="str">
        <x:f>IF(COUNTIFS($G$17:$G$369,"&lt;"&amp;F351,$H$17:$H$369,"&gt;="&amp;I351)+COUNTIFS($G$17:$G$369,"="&amp;F351,$H$17:$H$369,"&gt;"&amp;I351)=0,"是","否")</x:f>
        <x:v>否</x:v>
      </x:c>
      <x:c r="L351" s="13" t="str">
        <x:f>IF(COUNTIFS($F$17:$F$369,"&lt;"&amp;G351,$I$17:$I$369,"&gt;="&amp;H351)+COUNTIFS($F$17:$F$369,"="&amp;G351,$I$17:$I$369,"&gt;"&amp;H351)-IF(OR(G351&gt;F351,I351&gt;H351),1,0)=0,"是","否")</x:f>
        <x:v>否</x:v>
      </x:c>
      <x:c r="M351" s="13" t="n">
        <x:f>1+COUNTIF($H$17:$H$369,"&gt;"&amp;I351)</x:f>
        <x:v>286</x:v>
      </x:c>
      <x:c r="N351" s="13" t="n">
        <x:f>COUNTIF($I$17:$I$369,"&gt;="&amp;H351)</x:f>
        <x:v>301</x:v>
      </x:c>
      <x:c r="O351" s="13" t="str">
        <x:v>I04 Table_1!D5064/P5064/U5064</x:v>
      </x:c>
    </x:row>
    <x:row r="352" ht="24" customHeight="1">
      <x:c r="A352" s="13" t="str">
        <x:v>M92612</x:v>
      </x:c>
      <x:c r="B352" s="13" t="str">
        <x:v>QUA</x:v>
      </x:c>
      <x:c r="C352" s="13" t="n">
        <x:v>441</x:v>
      </x:c>
      <x:c r="D352" s="30" t="n">
        <x:v>72.6</x:v>
      </x:c>
      <x:c r="E352" s="14" t="n">
        <x:f>C352*(1000-ROUND(D352*10,0))/1000</x:f>
        <x:v>120.834</x:v>
      </x:c>
      <x:c r="F352" s="14" t="n">
        <x:f>MAX(0,(ROUND(D352*100,0)-ROUND($B$3*100,0))/100)</x:f>
        <x:v>72.55</x:v>
      </x:c>
      <x:c r="G352" s="14" t="n">
        <x:f>MIN(100,(ROUND(D352*100,0)+ROUND($B$3*100,0))/100)</x:f>
        <x:v>72.65</x:v>
      </x:c>
      <x:c r="H352" s="40" t="n">
        <x:f>C352*(10000-ROUND(G352*100,0))/10000</x:f>
        <x:v>120.6135</x:v>
      </x:c>
      <x:c r="I352" s="40" t="n">
        <x:f>C352*(10000-ROUND(F352*100,0))/10000</x:f>
        <x:v>121.0545</x:v>
      </x:c>
      <x:c r="J352" s="13" t="str">
        <x:f>IF(COUNTIFS($D$17:$D$369,"&lt;"&amp;D352,$E$17:$E$369,"&gt;="&amp;E352)+COUNTIFS($D$17:$D$369,"="&amp;D352,$E$17:$E$369,"&gt;"&amp;E352)=0,"是","否")</x:f>
        <x:v>是</x:v>
      </x:c>
      <x:c r="K352" s="13" t="str">
        <x:f>IF(COUNTIFS($G$17:$G$369,"&lt;"&amp;F352,$H$17:$H$369,"&gt;="&amp;I352)+COUNTIFS($G$17:$G$369,"="&amp;F352,$H$17:$H$369,"&gt;"&amp;I352)=0,"是","否")</x:f>
        <x:v>是</x:v>
      </x:c>
      <x:c r="L352" s="13" t="str">
        <x:f>IF(COUNTIFS($F$17:$F$369,"&lt;"&amp;G352,$I$17:$I$369,"&gt;="&amp;H352)+COUNTIFS($F$17:$F$369,"="&amp;G352,$I$17:$I$369,"&gt;"&amp;H352)-IF(OR(G352&gt;F352,I352&gt;H352),1,0)=0,"是","否")</x:f>
        <x:v>是</x:v>
      </x:c>
      <x:c r="M352" s="13" t="n">
        <x:f>1+COUNTIF($H$17:$H$369,"&gt;"&amp;I352)</x:f>
        <x:v>2</x:v>
      </x:c>
      <x:c r="N352" s="13" t="n">
        <x:f>COUNTIF($I$17:$I$369,"&gt;="&amp;H352)</x:f>
        <x:v>2</x:v>
      </x:c>
      <x:c r="O352" s="13" t="str">
        <x:v>I04 Table_1!D5065/P5065/U5065</x:v>
      </x:c>
    </x:row>
    <x:row r="353" ht="24" customHeight="1">
      <x:c r="A353" s="13" t="str">
        <x:v>M92627</x:v>
      </x:c>
      <x:c r="B353" s="13" t="str">
        <x:v>QUA</x:v>
      </x:c>
      <x:c r="C353" s="13" t="n">
        <x:v>41</x:v>
      </x:c>
      <x:c r="D353" s="30" t="n">
        <x:v>85.4</x:v>
      </x:c>
      <x:c r="E353" s="14" t="n">
        <x:f>C353*(1000-ROUND(D353*10,0))/1000</x:f>
        <x:v>5.986</x:v>
      </x:c>
      <x:c r="F353" s="14" t="n">
        <x:f>MAX(0,(ROUND(D353*100,0)-ROUND($B$3*100,0))/100)</x:f>
        <x:v>85.35</x:v>
      </x:c>
      <x:c r="G353" s="14" t="n">
        <x:f>MIN(100,(ROUND(D353*100,0)+ROUND($B$3*100,0))/100)</x:f>
        <x:v>85.45</x:v>
      </x:c>
      <x:c r="H353" s="40" t="n">
        <x:f>C353*(10000-ROUND(G353*100,0))/10000</x:f>
        <x:v>5.9655</x:v>
      </x:c>
      <x:c r="I353" s="40" t="n">
        <x:f>C353*(10000-ROUND(F353*100,0))/10000</x:f>
        <x:v>6.0065</x:v>
      </x:c>
      <x:c r="J353" s="13" t="str">
        <x:f>IF(COUNTIFS($D$17:$D$369,"&lt;"&amp;D353,$E$17:$E$369,"&gt;="&amp;E353)+COUNTIFS($D$17:$D$369,"="&amp;D353,$E$17:$E$369,"&gt;"&amp;E353)=0,"是","否")</x:f>
        <x:v>否</x:v>
      </x:c>
      <x:c r="K353" s="13" t="str">
        <x:f>IF(COUNTIFS($G$17:$G$369,"&lt;"&amp;F353,$H$17:$H$369,"&gt;="&amp;I353)+COUNTIFS($G$17:$G$369,"="&amp;F353,$H$17:$H$369,"&gt;"&amp;I353)=0,"是","否")</x:f>
        <x:v>否</x:v>
      </x:c>
      <x:c r="L353" s="13" t="str">
        <x:f>IF(COUNTIFS($F$17:$F$369,"&lt;"&amp;G353,$I$17:$I$369,"&gt;="&amp;H353)+COUNTIFS($F$17:$F$369,"="&amp;G353,$I$17:$I$369,"&gt;"&amp;H353)-IF(OR(G353&gt;F353,I353&gt;H353),1,0)=0,"是","否")</x:f>
        <x:v>否</x:v>
      </x:c>
      <x:c r="M353" s="13" t="n">
        <x:f>1+COUNTIF($H$17:$H$369,"&gt;"&amp;I353)</x:f>
        <x:v>286</x:v>
      </x:c>
      <x:c r="N353" s="13" t="n">
        <x:f>COUNTIF($I$17:$I$369,"&gt;="&amp;H353)</x:f>
        <x:v>301</x:v>
      </x:c>
      <x:c r="O353" s="13" t="str">
        <x:v>I04 Table_1!D5066/P5066/U5066</x:v>
      </x:c>
    </x:row>
    <x:row r="354" ht="24" customHeight="1">
      <x:c r="A354" s="13" t="str">
        <x:v>M92629</x:v>
      </x:c>
      <x:c r="B354" s="13" t="str">
        <x:v>QUA</x:v>
      </x:c>
      <x:c r="C354" s="13" t="n">
        <x:v>52</x:v>
      </x:c>
      <x:c r="D354" s="30" t="n">
        <x:v>80.8</x:v>
      </x:c>
      <x:c r="E354" s="14" t="n">
        <x:f>C354*(1000-ROUND(D354*10,0))/1000</x:f>
        <x:v>9.984</x:v>
      </x:c>
      <x:c r="F354" s="14" t="n">
        <x:f>MAX(0,(ROUND(D354*100,0)-ROUND($B$3*100,0))/100)</x:f>
        <x:v>80.75</x:v>
      </x:c>
      <x:c r="G354" s="14" t="n">
        <x:f>MIN(100,(ROUND(D354*100,0)+ROUND($B$3*100,0))/100)</x:f>
        <x:v>80.85</x:v>
      </x:c>
      <x:c r="H354" s="40" t="n">
        <x:f>C354*(10000-ROUND(G354*100,0))/10000</x:f>
        <x:v>9.958</x:v>
      </x:c>
      <x:c r="I354" s="40" t="n">
        <x:f>C354*(10000-ROUND(F354*100,0))/10000</x:f>
        <x:v>10.01</x:v>
      </x:c>
      <x:c r="J354" s="13" t="str">
        <x:f>IF(COUNTIFS($D$17:$D$369,"&lt;"&amp;D354,$E$17:$E$369,"&gt;="&amp;E354)+COUNTIFS($D$17:$D$369,"="&amp;D354,$E$17:$E$369,"&gt;"&amp;E354)=0,"是","否")</x:f>
        <x:v>否</x:v>
      </x:c>
      <x:c r="K354" s="13" t="str">
        <x:f>IF(COUNTIFS($G$17:$G$369,"&lt;"&amp;F354,$H$17:$H$369,"&gt;="&amp;I354)+COUNTIFS($G$17:$G$369,"="&amp;F354,$H$17:$H$369,"&gt;"&amp;I354)=0,"是","否")</x:f>
        <x:v>否</x:v>
      </x:c>
      <x:c r="L354" s="13" t="str">
        <x:f>IF(COUNTIFS($F$17:$F$369,"&lt;"&amp;G354,$I$17:$I$369,"&gt;="&amp;H354)+COUNTIFS($F$17:$F$369,"="&amp;G354,$I$17:$I$369,"&gt;"&amp;H354)-IF(OR(G354&gt;F354,I354&gt;H354),1,0)=0,"是","否")</x:f>
        <x:v>否</x:v>
      </x:c>
      <x:c r="M354" s="13" t="n">
        <x:f>1+COUNTIF($H$17:$H$369,"&gt;"&amp;I354)</x:f>
        <x:v>231</x:v>
      </x:c>
      <x:c r="N354" s="13" t="n">
        <x:f>COUNTIF($I$17:$I$369,"&gt;="&amp;H354)</x:f>
        <x:v>243</x:v>
      </x:c>
      <x:c r="O354" s="13" t="str">
        <x:v>I04 Table_1!D5067/P5067/U5067</x:v>
      </x:c>
    </x:row>
    <x:row r="355" ht="24" customHeight="1">
      <x:c r="A355" s="13" t="str">
        <x:v>M92630</x:v>
      </x:c>
      <x:c r="B355" s="13" t="str">
        <x:v>QUA</x:v>
      </x:c>
      <x:c r="C355" s="13" t="n">
        <x:v>80</x:v>
      </x:c>
      <x:c r="D355" s="30" t="n">
        <x:v>87.5</x:v>
      </x:c>
      <x:c r="E355" s="14" t="n">
        <x:f>C355*(1000-ROUND(D355*10,0))/1000</x:f>
        <x:v>10</x:v>
      </x:c>
      <x:c r="F355" s="14" t="n">
        <x:f>MAX(0,(ROUND(D355*100,0)-ROUND($B$3*100,0))/100)</x:f>
        <x:v>87.45</x:v>
      </x:c>
      <x:c r="G355" s="14" t="n">
        <x:f>MIN(100,(ROUND(D355*100,0)+ROUND($B$3*100,0))/100)</x:f>
        <x:v>87.55</x:v>
      </x:c>
      <x:c r="H355" s="40" t="n">
        <x:f>C355*(10000-ROUND(G355*100,0))/10000</x:f>
        <x:v>9.96</x:v>
      </x:c>
      <x:c r="I355" s="40" t="n">
        <x:f>C355*(10000-ROUND(F355*100,0))/10000</x:f>
        <x:v>10.04</x:v>
      </x:c>
      <x:c r="J355" s="13" t="str">
        <x:f>IF(COUNTIFS($D$17:$D$369,"&lt;"&amp;D355,$E$17:$E$369,"&gt;="&amp;E355)+COUNTIFS($D$17:$D$369,"="&amp;D355,$E$17:$E$369,"&gt;"&amp;E355)=0,"是","否")</x:f>
        <x:v>否</x:v>
      </x:c>
      <x:c r="K355" s="13" t="str">
        <x:f>IF(COUNTIFS($G$17:$G$369,"&lt;"&amp;F355,$H$17:$H$369,"&gt;="&amp;I355)+COUNTIFS($G$17:$G$369,"="&amp;F355,$H$17:$H$369,"&gt;"&amp;I355)=0,"是","否")</x:f>
        <x:v>否</x:v>
      </x:c>
      <x:c r="L355" s="13" t="str">
        <x:f>IF(COUNTIFS($F$17:$F$369,"&lt;"&amp;G355,$I$17:$I$369,"&gt;="&amp;H355)+COUNTIFS($F$17:$F$369,"="&amp;G355,$I$17:$I$369,"&gt;"&amp;H355)-IF(OR(G355&gt;F355,I355&gt;H355),1,0)=0,"是","否")</x:f>
        <x:v>否</x:v>
      </x:c>
      <x:c r="M355" s="13" t="n">
        <x:f>1+COUNTIF($H$17:$H$369,"&gt;"&amp;I355)</x:f>
        <x:v>231</x:v>
      </x:c>
      <x:c r="N355" s="13" t="n">
        <x:f>COUNTIF($I$17:$I$369,"&gt;="&amp;H355)</x:f>
        <x:v>243</x:v>
      </x:c>
      <x:c r="O355" s="13" t="str">
        <x:v>I04 Table_1!D5068/P5068/U5068</x:v>
      </x:c>
    </x:row>
    <x:row r="356" ht="24" customHeight="1">
      <x:c r="A356" s="13" t="str">
        <x:v>M92640</x:v>
      </x:c>
      <x:c r="B356" s="13" t="str">
        <x:v>QUA</x:v>
      </x:c>
      <x:c r="C356" s="13" t="n">
        <x:v>23</x:v>
      </x:c>
      <x:c r="D356" s="30" t="n">
        <x:v>73.9</x:v>
      </x:c>
      <x:c r="E356" s="14" t="n">
        <x:f>C356*(1000-ROUND(D356*10,0))/1000</x:f>
        <x:v>6.003</x:v>
      </x:c>
      <x:c r="F356" s="14" t="n">
        <x:f>MAX(0,(ROUND(D356*100,0)-ROUND($B$3*100,0))/100)</x:f>
        <x:v>73.85</x:v>
      </x:c>
      <x:c r="G356" s="14" t="n">
        <x:f>MIN(100,(ROUND(D356*100,0)+ROUND($B$3*100,0))/100)</x:f>
        <x:v>73.95</x:v>
      </x:c>
      <x:c r="H356" s="40" t="n">
        <x:f>C356*(10000-ROUND(G356*100,0))/10000</x:f>
        <x:v>5.9915</x:v>
      </x:c>
      <x:c r="I356" s="40" t="n">
        <x:f>C356*(10000-ROUND(F356*100,0))/10000</x:f>
        <x:v>6.0145</x:v>
      </x:c>
      <x:c r="J356" s="13" t="str">
        <x:f>IF(COUNTIFS($D$17:$D$369,"&lt;"&amp;D356,$E$17:$E$369,"&gt;="&amp;E356)+COUNTIFS($D$17:$D$369,"="&amp;D356,$E$17:$E$369,"&gt;"&amp;E356)=0,"是","否")</x:f>
        <x:v>否</x:v>
      </x:c>
      <x:c r="K356" s="13" t="str">
        <x:f>IF(COUNTIFS($G$17:$G$369,"&lt;"&amp;F356,$H$17:$H$369,"&gt;="&amp;I356)+COUNTIFS($G$17:$G$369,"="&amp;F356,$H$17:$H$369,"&gt;"&amp;I356)=0,"是","否")</x:f>
        <x:v>否</x:v>
      </x:c>
      <x:c r="L356" s="13" t="str">
        <x:f>IF(COUNTIFS($F$17:$F$369,"&lt;"&amp;G356,$I$17:$I$369,"&gt;="&amp;H356)+COUNTIFS($F$17:$F$369,"="&amp;G356,$I$17:$I$369,"&gt;"&amp;H356)-IF(OR(G356&gt;F356,I356&gt;H356),1,0)=0,"是","否")</x:f>
        <x:v>否</x:v>
      </x:c>
      <x:c r="M356" s="13" t="n">
        <x:f>1+COUNTIF($H$17:$H$369,"&gt;"&amp;I356)</x:f>
        <x:v>286</x:v>
      </x:c>
      <x:c r="N356" s="13" t="n">
        <x:f>COUNTIF($I$17:$I$369,"&gt;="&amp;H356)</x:f>
        <x:v>301</x:v>
      </x:c>
      <x:c r="O356" s="13" t="str">
        <x:v>I04 Table_1!D5069/P5069/U5069</x:v>
      </x:c>
    </x:row>
    <x:row r="357" ht="24" customHeight="1">
      <x:c r="A357" s="13" t="str">
        <x:v>M92649</x:v>
      </x:c>
      <x:c r="B357" s="13" t="str">
        <x:v>QUA</x:v>
      </x:c>
      <x:c r="C357" s="13" t="n">
        <x:v>50</x:v>
      </x:c>
      <x:c r="D357" s="30" t="n">
        <x:v>80</x:v>
      </x:c>
      <x:c r="E357" s="14" t="n">
        <x:f>C357*(1000-ROUND(D357*10,0))/1000</x:f>
        <x:v>10</x:v>
      </x:c>
      <x:c r="F357" s="14" t="n">
        <x:f>MAX(0,(ROUND(D357*100,0)-ROUND($B$3*100,0))/100)</x:f>
        <x:v>79.95</x:v>
      </x:c>
      <x:c r="G357" s="14" t="n">
        <x:f>MIN(100,(ROUND(D357*100,0)+ROUND($B$3*100,0))/100)</x:f>
        <x:v>80.05</x:v>
      </x:c>
      <x:c r="H357" s="40" t="n">
        <x:f>C357*(10000-ROUND(G357*100,0))/10000</x:f>
        <x:v>9.975</x:v>
      </x:c>
      <x:c r="I357" s="40" t="n">
        <x:f>C357*(10000-ROUND(F357*100,0))/10000</x:f>
        <x:v>10.025</x:v>
      </x:c>
      <x:c r="J357" s="13" t="str">
        <x:f>IF(COUNTIFS($D$17:$D$369,"&lt;"&amp;D357,$E$17:$E$369,"&gt;="&amp;E357)+COUNTIFS($D$17:$D$369,"="&amp;D357,$E$17:$E$369,"&gt;"&amp;E357)=0,"是","否")</x:f>
        <x:v>否</x:v>
      </x:c>
      <x:c r="K357" s="13" t="str">
        <x:f>IF(COUNTIFS($G$17:$G$369,"&lt;"&amp;F357,$H$17:$H$369,"&gt;="&amp;I357)+COUNTIFS($G$17:$G$369,"="&amp;F357,$H$17:$H$369,"&gt;"&amp;I357)=0,"是","否")</x:f>
        <x:v>否</x:v>
      </x:c>
      <x:c r="L357" s="13" t="str">
        <x:f>IF(COUNTIFS($F$17:$F$369,"&lt;"&amp;G357,$I$17:$I$369,"&gt;="&amp;H357)+COUNTIFS($F$17:$F$369,"="&amp;G357,$I$17:$I$369,"&gt;"&amp;H357)-IF(OR(G357&gt;F357,I357&gt;H357),1,0)=0,"是","否")</x:f>
        <x:v>否</x:v>
      </x:c>
      <x:c r="M357" s="13" t="n">
        <x:f>1+COUNTIF($H$17:$H$369,"&gt;"&amp;I357)</x:f>
        <x:v>231</x:v>
      </x:c>
      <x:c r="N357" s="13" t="n">
        <x:f>COUNTIF($I$17:$I$369,"&gt;="&amp;H357)</x:f>
        <x:v>243</x:v>
      </x:c>
      <x:c r="O357" s="13" t="str">
        <x:v>I04 Table_1!D5070/P5070/U5070</x:v>
      </x:c>
    </x:row>
    <x:row r="358" ht="24" customHeight="1">
      <x:c r="A358" s="13" t="str">
        <x:v>M92654</x:v>
      </x:c>
      <x:c r="B358" s="13" t="str">
        <x:v>QUA</x:v>
      </x:c>
      <x:c r="C358" s="13" t="n">
        <x:v>113</x:v>
      </x:c>
      <x:c r="D358" s="30" t="n">
        <x:v>71.7</x:v>
      </x:c>
      <x:c r="E358" s="14" t="n">
        <x:f>C358*(1000-ROUND(D358*10,0))/1000</x:f>
        <x:v>31.979</x:v>
      </x:c>
      <x:c r="F358" s="14" t="n">
        <x:f>MAX(0,(ROUND(D358*100,0)-ROUND($B$3*100,0))/100)</x:f>
        <x:v>71.65</x:v>
      </x:c>
      <x:c r="G358" s="14" t="n">
        <x:f>MIN(100,(ROUND(D358*100,0)+ROUND($B$3*100,0))/100)</x:f>
        <x:v>71.75</x:v>
      </x:c>
      <x:c r="H358" s="40" t="n">
        <x:f>C358*(10000-ROUND(G358*100,0))/10000</x:f>
        <x:v>31.9225</x:v>
      </x:c>
      <x:c r="I358" s="40" t="n">
        <x:f>C358*(10000-ROUND(F358*100,0))/10000</x:f>
        <x:v>32.0355</x:v>
      </x:c>
      <x:c r="J358" s="13" t="str">
        <x:f>IF(COUNTIFS($D$17:$D$369,"&lt;"&amp;D358,$E$17:$E$369,"&gt;="&amp;E358)+COUNTIFS($D$17:$D$369,"="&amp;D358,$E$17:$E$369,"&gt;"&amp;E358)=0,"是","否")</x:f>
        <x:v>否</x:v>
      </x:c>
      <x:c r="K358" s="13" t="str">
        <x:f>IF(COUNTIFS($G$17:$G$369,"&lt;"&amp;F358,$H$17:$H$369,"&gt;="&amp;I358)+COUNTIFS($G$17:$G$369,"="&amp;F358,$H$17:$H$369,"&gt;"&amp;I358)=0,"是","否")</x:f>
        <x:v>否</x:v>
      </x:c>
      <x:c r="L358" s="13" t="str">
        <x:f>IF(COUNTIFS($F$17:$F$369,"&lt;"&amp;G358,$I$17:$I$369,"&gt;="&amp;H358)+COUNTIFS($F$17:$F$369,"="&amp;G358,$I$17:$I$369,"&gt;"&amp;H358)-IF(OR(G358&gt;F358,I358&gt;H358),1,0)=0,"是","否")</x:f>
        <x:v>否</x:v>
      </x:c>
      <x:c r="M358" s="13" t="n">
        <x:f>1+COUNTIF($H$17:$H$369,"&gt;"&amp;I358)</x:f>
        <x:v>64</x:v>
      </x:c>
      <x:c r="N358" s="13" t="n">
        <x:f>COUNTIF($I$17:$I$369,"&gt;="&amp;H358)</x:f>
        <x:v>73</x:v>
      </x:c>
      <x:c r="O358" s="13" t="str">
        <x:v>I04 Table_1!D5071/P5071/U5071</x:v>
      </x:c>
    </x:row>
    <x:row r="359" ht="24" customHeight="1">
      <x:c r="A359" s="13" t="str">
        <x:v>Y00228</x:v>
      </x:c>
      <x:c r="B359" s="13" t="str">
        <x:v>QUA</x:v>
      </x:c>
      <x:c r="C359" s="13" t="n">
        <x:v>31</x:v>
      </x:c>
      <x:c r="D359" s="30" t="n">
        <x:v>80.6</x:v>
      </x:c>
      <x:c r="E359" s="14" t="n">
        <x:f>C359*(1000-ROUND(D359*10,0))/1000</x:f>
        <x:v>6.014</x:v>
      </x:c>
      <x:c r="F359" s="14" t="n">
        <x:f>MAX(0,(ROUND(D359*100,0)-ROUND($B$3*100,0))/100)</x:f>
        <x:v>80.55</x:v>
      </x:c>
      <x:c r="G359" s="14" t="n">
        <x:f>MIN(100,(ROUND(D359*100,0)+ROUND($B$3*100,0))/100)</x:f>
        <x:v>80.65</x:v>
      </x:c>
      <x:c r="H359" s="40" t="n">
        <x:f>C359*(10000-ROUND(G359*100,0))/10000</x:f>
        <x:v>5.9985</x:v>
      </x:c>
      <x:c r="I359" s="40" t="n">
        <x:f>C359*(10000-ROUND(F359*100,0))/10000</x:f>
        <x:v>6.0295</x:v>
      </x:c>
      <x:c r="J359" s="13" t="str">
        <x:f>IF(COUNTIFS($D$17:$D$369,"&lt;"&amp;D359,$E$17:$E$369,"&gt;="&amp;E359)+COUNTIFS($D$17:$D$369,"="&amp;D359,$E$17:$E$369,"&gt;"&amp;E359)=0,"是","否")</x:f>
        <x:v>否</x:v>
      </x:c>
      <x:c r="K359" s="13" t="str">
        <x:f>IF(COUNTIFS($G$17:$G$369,"&lt;"&amp;F359,$H$17:$H$369,"&gt;="&amp;I359)+COUNTIFS($G$17:$G$369,"="&amp;F359,$H$17:$H$369,"&gt;"&amp;I359)=0,"是","否")</x:f>
        <x:v>否</x:v>
      </x:c>
      <x:c r="L359" s="13" t="str">
        <x:f>IF(COUNTIFS($F$17:$F$369,"&lt;"&amp;G359,$I$17:$I$369,"&gt;="&amp;H359)+COUNTIFS($F$17:$F$369,"="&amp;G359,$I$17:$I$369,"&gt;"&amp;H359)-IF(OR(G359&gt;F359,I359&gt;H359),1,0)=0,"是","否")</x:f>
        <x:v>否</x:v>
      </x:c>
      <x:c r="M359" s="13" t="n">
        <x:f>1+COUNTIF($H$17:$H$369,"&gt;"&amp;I359)</x:f>
        <x:v>286</x:v>
      </x:c>
      <x:c r="N359" s="13" t="n">
        <x:f>COUNTIF($I$17:$I$369,"&gt;="&amp;H359)</x:f>
        <x:v>301</x:v>
      </x:c>
      <x:c r="O359" s="13" t="str">
        <x:v>I04 Table_1!D5072/P5072/U5072</x:v>
      </x:c>
    </x:row>
    <x:row r="360" ht="24" customHeight="1">
      <x:c r="A360" s="13" t="str">
        <x:v>Y00278</x:v>
      </x:c>
      <x:c r="B360" s="13" t="str">
        <x:v>QUA</x:v>
      </x:c>
      <x:c r="C360" s="13" t="n">
        <x:v>58</x:v>
      </x:c>
      <x:c r="D360" s="30" t="n">
        <x:v>81</x:v>
      </x:c>
      <x:c r="E360" s="14" t="n">
        <x:f>C360*(1000-ROUND(D360*10,0))/1000</x:f>
        <x:v>11.02</x:v>
      </x:c>
      <x:c r="F360" s="14" t="n">
        <x:f>MAX(0,(ROUND(D360*100,0)-ROUND($B$3*100,0))/100)</x:f>
        <x:v>80.95</x:v>
      </x:c>
      <x:c r="G360" s="14" t="n">
        <x:f>MIN(100,(ROUND(D360*100,0)+ROUND($B$3*100,0))/100)</x:f>
        <x:v>81.05</x:v>
      </x:c>
      <x:c r="H360" s="40" t="n">
        <x:f>C360*(10000-ROUND(G360*100,0))/10000</x:f>
        <x:v>10.991</x:v>
      </x:c>
      <x:c r="I360" s="40" t="n">
        <x:f>C360*(10000-ROUND(F360*100,0))/10000</x:f>
        <x:v>11.049</x:v>
      </x:c>
      <x:c r="J360" s="13" t="str">
        <x:f>IF(COUNTIFS($D$17:$D$369,"&lt;"&amp;D360,$E$17:$E$369,"&gt;="&amp;E360)+COUNTIFS($D$17:$D$369,"="&amp;D360,$E$17:$E$369,"&gt;"&amp;E360)=0,"是","否")</x:f>
        <x:v>否</x:v>
      </x:c>
      <x:c r="K360" s="13" t="str">
        <x:f>IF(COUNTIFS($G$17:$G$369,"&lt;"&amp;F360,$H$17:$H$369,"&gt;="&amp;I360)+COUNTIFS($G$17:$G$369,"="&amp;F360,$H$17:$H$369,"&gt;"&amp;I360)=0,"是","否")</x:f>
        <x:v>否</x:v>
      </x:c>
      <x:c r="L360" s="13" t="str">
        <x:f>IF(COUNTIFS($F$17:$F$369,"&lt;"&amp;G360,$I$17:$I$369,"&gt;="&amp;H360)+COUNTIFS($F$17:$F$369,"="&amp;G360,$I$17:$I$369,"&gt;"&amp;H360)-IF(OR(G360&gt;F360,I360&gt;H360),1,0)=0,"是","否")</x:f>
        <x:v>否</x:v>
      </x:c>
      <x:c r="M360" s="13" t="n">
        <x:f>1+COUNTIF($H$17:$H$369,"&gt;"&amp;I360)</x:f>
        <x:v>222</x:v>
      </x:c>
      <x:c r="N360" s="13" t="n">
        <x:f>COUNTIF($I$17:$I$369,"&gt;="&amp;H360)</x:f>
        <x:v>230</x:v>
      </x:c>
      <x:c r="O360" s="13" t="str">
        <x:v>I04 Table_1!D5073/P5073/U5073</x:v>
      </x:c>
    </x:row>
    <x:row r="361" ht="24" customHeight="1">
      <x:c r="A361" s="13" t="str">
        <x:v>Y01756</x:v>
      </x:c>
      <x:c r="B361" s="13" t="str">
        <x:v>QUA</x:v>
      </x:c>
      <x:c r="C361" s="13" t="n">
        <x:v>59</x:v>
      </x:c>
      <x:c r="D361" s="30" t="n">
        <x:v>84.7</x:v>
      </x:c>
      <x:c r="E361" s="14" t="n">
        <x:f>C361*(1000-ROUND(D361*10,0))/1000</x:f>
        <x:v>9.027</x:v>
      </x:c>
      <x:c r="F361" s="14" t="n">
        <x:f>MAX(0,(ROUND(D361*100,0)-ROUND($B$3*100,0))/100)</x:f>
        <x:v>84.65</x:v>
      </x:c>
      <x:c r="G361" s="14" t="n">
        <x:f>MIN(100,(ROUND(D361*100,0)+ROUND($B$3*100,0))/100)</x:f>
        <x:v>84.75</x:v>
      </x:c>
      <x:c r="H361" s="40" t="n">
        <x:f>C361*(10000-ROUND(G361*100,0))/10000</x:f>
        <x:v>8.9975</x:v>
      </x:c>
      <x:c r="I361" s="40" t="n">
        <x:f>C361*(10000-ROUND(F361*100,0))/10000</x:f>
        <x:v>9.0565</x:v>
      </x:c>
      <x:c r="J361" s="13" t="str">
        <x:f>IF(COUNTIFS($D$17:$D$369,"&lt;"&amp;D361,$E$17:$E$369,"&gt;="&amp;E361)+COUNTIFS($D$17:$D$369,"="&amp;D361,$E$17:$E$369,"&gt;"&amp;E361)=0,"是","否")</x:f>
        <x:v>否</x:v>
      </x:c>
      <x:c r="K361" s="13" t="str">
        <x:f>IF(COUNTIFS($G$17:$G$369,"&lt;"&amp;F361,$H$17:$H$369,"&gt;="&amp;I361)+COUNTIFS($G$17:$G$369,"="&amp;F361,$H$17:$H$369,"&gt;"&amp;I361)=0,"是","否")</x:f>
        <x:v>否</x:v>
      </x:c>
      <x:c r="L361" s="13" t="str">
        <x:f>IF(COUNTIFS($F$17:$F$369,"&lt;"&amp;G361,$I$17:$I$369,"&gt;="&amp;H361)+COUNTIFS($F$17:$F$369,"="&amp;G361,$I$17:$I$369,"&gt;"&amp;H361)-IF(OR(G361&gt;F361,I361&gt;H361),1,0)=0,"是","否")</x:f>
        <x:v>否</x:v>
      </x:c>
      <x:c r="M361" s="13" t="n">
        <x:f>1+COUNTIF($H$17:$H$369,"&gt;"&amp;I361)</x:f>
        <x:v>244</x:v>
      </x:c>
      <x:c r="N361" s="13" t="n">
        <x:f>COUNTIF($I$17:$I$369,"&gt;="&amp;H361)</x:f>
        <x:v>256</x:v>
      </x:c>
      <x:c r="O361" s="13" t="str">
        <x:v>I04 Table_1!D5074/P5074/U5074</x:v>
      </x:c>
    </x:row>
    <x:row r="362" ht="24" customHeight="1">
      <x:c r="A362" s="13" t="str">
        <x:v>Y02212</x:v>
      </x:c>
      <x:c r="B362" s="13" t="str">
        <x:v>QUA</x:v>
      </x:c>
      <x:c r="C362" s="13" t="n">
        <x:v>42</x:v>
      </x:c>
      <x:c r="D362" s="30" t="n">
        <x:v>81</x:v>
      </x:c>
      <x:c r="E362" s="14" t="n">
        <x:f>C362*(1000-ROUND(D362*10,0))/1000</x:f>
        <x:v>7.98</x:v>
      </x:c>
      <x:c r="F362" s="14" t="n">
        <x:f>MAX(0,(ROUND(D362*100,0)-ROUND($B$3*100,0))/100)</x:f>
        <x:v>80.95</x:v>
      </x:c>
      <x:c r="G362" s="14" t="n">
        <x:f>MIN(100,(ROUND(D362*100,0)+ROUND($B$3*100,0))/100)</x:f>
        <x:v>81.05</x:v>
      </x:c>
      <x:c r="H362" s="40" t="n">
        <x:f>C362*(10000-ROUND(G362*100,0))/10000</x:f>
        <x:v>7.959</x:v>
      </x:c>
      <x:c r="I362" s="40" t="n">
        <x:f>C362*(10000-ROUND(F362*100,0))/10000</x:f>
        <x:v>8.001</x:v>
      </x:c>
      <x:c r="J362" s="13" t="str">
        <x:f>IF(COUNTIFS($D$17:$D$369,"&lt;"&amp;D362,$E$17:$E$369,"&gt;="&amp;E362)+COUNTIFS($D$17:$D$369,"="&amp;D362,$E$17:$E$369,"&gt;"&amp;E362)=0,"是","否")</x:f>
        <x:v>否</x:v>
      </x:c>
      <x:c r="K362" s="13" t="str">
        <x:f>IF(COUNTIFS($G$17:$G$369,"&lt;"&amp;F362,$H$17:$H$369,"&gt;="&amp;I362)+COUNTIFS($G$17:$G$369,"="&amp;F362,$H$17:$H$369,"&gt;"&amp;I362)=0,"是","否")</x:f>
        <x:v>否</x:v>
      </x:c>
      <x:c r="L362" s="13" t="str">
        <x:f>IF(COUNTIFS($F$17:$F$369,"&lt;"&amp;G362,$I$17:$I$369,"&gt;="&amp;H362)+COUNTIFS($F$17:$F$369,"="&amp;G362,$I$17:$I$369,"&gt;"&amp;H362)-IF(OR(G362&gt;F362,I362&gt;H362),1,0)=0,"是","否")</x:f>
        <x:v>否</x:v>
      </x:c>
      <x:c r="M362" s="13" t="n">
        <x:f>1+COUNTIF($H$17:$H$369,"&gt;"&amp;I362)</x:f>
        <x:v>257</x:v>
      </x:c>
      <x:c r="N362" s="13" t="n">
        <x:f>COUNTIF($I$17:$I$369,"&gt;="&amp;H362)</x:f>
        <x:v>271</x:v>
      </x:c>
      <x:c r="O362" s="13" t="str">
        <x:v>I04 Table_1!D5075/P5075/U5075</x:v>
      </x:c>
    </x:row>
    <x:row r="363" ht="24" customHeight="1">
      <x:c r="A363" s="13" t="str">
        <x:v>Y02626</x:v>
      </x:c>
      <x:c r="B363" s="13" t="str">
        <x:v>QUA</x:v>
      </x:c>
      <x:c r="C363" s="13" t="n">
        <x:v>61</x:v>
      </x:c>
      <x:c r="D363" s="30" t="n">
        <x:v>78.7</x:v>
      </x:c>
      <x:c r="E363" s="14" t="n">
        <x:f>C363*(1000-ROUND(D363*10,0))/1000</x:f>
        <x:v>12.993</x:v>
      </x:c>
      <x:c r="F363" s="14" t="n">
        <x:f>MAX(0,(ROUND(D363*100,0)-ROUND($B$3*100,0))/100)</x:f>
        <x:v>78.65</x:v>
      </x:c>
      <x:c r="G363" s="14" t="n">
        <x:f>MIN(100,(ROUND(D363*100,0)+ROUND($B$3*100,0))/100)</x:f>
        <x:v>78.75</x:v>
      </x:c>
      <x:c r="H363" s="40" t="n">
        <x:f>C363*(10000-ROUND(G363*100,0))/10000</x:f>
        <x:v>12.9625</x:v>
      </x:c>
      <x:c r="I363" s="40" t="n">
        <x:f>C363*(10000-ROUND(F363*100,0))/10000</x:f>
        <x:v>13.0235</x:v>
      </x:c>
      <x:c r="J363" s="13" t="str">
        <x:f>IF(COUNTIFS($D$17:$D$369,"&lt;"&amp;D363,$E$17:$E$369,"&gt;="&amp;E363)+COUNTIFS($D$17:$D$369,"="&amp;D363,$E$17:$E$369,"&gt;"&amp;E363)=0,"是","否")</x:f>
        <x:v>否</x:v>
      </x:c>
      <x:c r="K363" s="13" t="str">
        <x:f>IF(COUNTIFS($G$17:$G$369,"&lt;"&amp;F363,$H$17:$H$369,"&gt;="&amp;I363)+COUNTIFS($G$17:$G$369,"="&amp;F363,$H$17:$H$369,"&gt;"&amp;I363)=0,"是","否")</x:f>
        <x:v>否</x:v>
      </x:c>
      <x:c r="L363" s="13" t="str">
        <x:f>IF(COUNTIFS($F$17:$F$369,"&lt;"&amp;G363,$I$17:$I$369,"&gt;="&amp;H363)+COUNTIFS($F$17:$F$369,"="&amp;G363,$I$17:$I$369,"&gt;"&amp;H363)-IF(OR(G363&gt;F363,I363&gt;H363),1,0)=0,"是","否")</x:f>
        <x:v>否</x:v>
      </x:c>
      <x:c r="M363" s="13" t="n">
        <x:f>1+COUNTIF($H$17:$H$369,"&gt;"&amp;I363)</x:f>
        <x:v>200</x:v>
      </x:c>
      <x:c r="N363" s="13" t="n">
        <x:f>COUNTIF($I$17:$I$369,"&gt;="&amp;H363)</x:f>
        <x:v>212</x:v>
      </x:c>
      <x:c r="O363" s="13" t="str">
        <x:v>I04 Table_1!D5076/P5076/U5076</x:v>
      </x:c>
    </x:row>
    <x:row r="364" ht="24" customHeight="1">
      <x:c r="A364" s="13" t="str">
        <x:v>Y02627</x:v>
      </x:c>
      <x:c r="B364" s="13" t="str">
        <x:v>QUA</x:v>
      </x:c>
      <x:c r="C364" s="13" t="n">
        <x:v>225</x:v>
      </x:c>
      <x:c r="D364" s="30" t="n">
        <x:v>74.2</x:v>
      </x:c>
      <x:c r="E364" s="14" t="n">
        <x:f>C364*(1000-ROUND(D364*10,0))/1000</x:f>
        <x:v>58.05</x:v>
      </x:c>
      <x:c r="F364" s="14" t="n">
        <x:f>MAX(0,(ROUND(D364*100,0)-ROUND($B$3*100,0))/100)</x:f>
        <x:v>74.15</x:v>
      </x:c>
      <x:c r="G364" s="14" t="n">
        <x:f>MIN(100,(ROUND(D364*100,0)+ROUND($B$3*100,0))/100)</x:f>
        <x:v>74.25</x:v>
      </x:c>
      <x:c r="H364" s="40" t="n">
        <x:f>C364*(10000-ROUND(G364*100,0))/10000</x:f>
        <x:v>57.9375</x:v>
      </x:c>
      <x:c r="I364" s="40" t="n">
        <x:f>C364*(10000-ROUND(F364*100,0))/10000</x:f>
        <x:v>58.1625</x:v>
      </x:c>
      <x:c r="J364" s="13" t="str">
        <x:f>IF(COUNTIFS($D$17:$D$369,"&lt;"&amp;D364,$E$17:$E$369,"&gt;="&amp;E364)+COUNTIFS($D$17:$D$369,"="&amp;D364,$E$17:$E$369,"&gt;"&amp;E364)=0,"是","否")</x:f>
        <x:v>否</x:v>
      </x:c>
      <x:c r="K364" s="13" t="str">
        <x:f>IF(COUNTIFS($G$17:$G$369,"&lt;"&amp;F364,$H$17:$H$369,"&gt;="&amp;I364)+COUNTIFS($G$17:$G$369,"="&amp;F364,$H$17:$H$369,"&gt;"&amp;I364)=0,"是","否")</x:f>
        <x:v>否</x:v>
      </x:c>
      <x:c r="L364" s="13" t="str">
        <x:f>IF(COUNTIFS($F$17:$F$369,"&lt;"&amp;G364,$I$17:$I$369,"&gt;="&amp;H364)+COUNTIFS($F$17:$F$369,"="&amp;G364,$I$17:$I$369,"&gt;"&amp;H364)-IF(OR(G364&gt;F364,I364&gt;H364),1,0)=0,"是","否")</x:f>
        <x:v>否</x:v>
      </x:c>
      <x:c r="M364" s="13" t="n">
        <x:f>1+COUNTIF($H$17:$H$369,"&gt;"&amp;I364)</x:f>
        <x:v>15</x:v>
      </x:c>
      <x:c r="N364" s="13" t="n">
        <x:f>COUNTIF($I$17:$I$369,"&gt;="&amp;H364)</x:f>
        <x:v>16</x:v>
      </x:c>
      <x:c r="O364" s="13" t="str">
        <x:v>I04 Table_1!D5077/P5077/U5077</x:v>
      </x:c>
    </x:row>
    <x:row r="365" ht="24" customHeight="1">
      <x:c r="A365" s="13" t="str">
        <x:v>Y02636</x:v>
      </x:c>
      <x:c r="B365" s="13" t="str">
        <x:v>QUA</x:v>
      </x:c>
      <x:c r="C365" s="13" t="n">
        <x:v>106</x:v>
      </x:c>
      <x:c r="D365" s="30" t="n">
        <x:v>69.8</x:v>
      </x:c>
      <x:c r="E365" s="14" t="n">
        <x:f>C365*(1000-ROUND(D365*10,0))/1000</x:f>
        <x:v>32.012</x:v>
      </x:c>
      <x:c r="F365" s="14" t="n">
        <x:f>MAX(0,(ROUND(D365*100,0)-ROUND($B$3*100,0))/100)</x:f>
        <x:v>69.75</x:v>
      </x:c>
      <x:c r="G365" s="14" t="n">
        <x:f>MIN(100,(ROUND(D365*100,0)+ROUND($B$3*100,0))/100)</x:f>
        <x:v>69.85</x:v>
      </x:c>
      <x:c r="H365" s="40" t="n">
        <x:f>C365*(10000-ROUND(G365*100,0))/10000</x:f>
        <x:v>31.959</x:v>
      </x:c>
      <x:c r="I365" s="40" t="n">
        <x:f>C365*(10000-ROUND(F365*100,0))/10000</x:f>
        <x:v>32.065</x:v>
      </x:c>
      <x:c r="J365" s="13" t="str">
        <x:f>IF(COUNTIFS($D$17:$D$369,"&lt;"&amp;D365,$E$17:$E$369,"&gt;="&amp;E365)+COUNTIFS($D$17:$D$369,"="&amp;D365,$E$17:$E$369,"&gt;"&amp;E365)=0,"是","否")</x:f>
        <x:v>否</x:v>
      </x:c>
      <x:c r="K365" s="13" t="str">
        <x:f>IF(COUNTIFS($G$17:$G$369,"&lt;"&amp;F365,$H$17:$H$369,"&gt;="&amp;I365)+COUNTIFS($G$17:$G$369,"="&amp;F365,$H$17:$H$369,"&gt;"&amp;I365)=0,"是","否")</x:f>
        <x:v>否</x:v>
      </x:c>
      <x:c r="L365" s="13" t="str">
        <x:f>IF(COUNTIFS($F$17:$F$369,"&lt;"&amp;G365,$I$17:$I$369,"&gt;="&amp;H365)+COUNTIFS($F$17:$F$369,"="&amp;G365,$I$17:$I$369,"&gt;"&amp;H365)-IF(OR(G365&gt;F365,I365&gt;H365),1,0)=0,"是","否")</x:f>
        <x:v>否</x:v>
      </x:c>
      <x:c r="M365" s="13" t="n">
        <x:f>1+COUNTIF($H$17:$H$369,"&gt;"&amp;I365)</x:f>
        <x:v>64</x:v>
      </x:c>
      <x:c r="N365" s="13" t="n">
        <x:f>COUNTIF($I$17:$I$369,"&gt;="&amp;H365)</x:f>
        <x:v>73</x:v>
      </x:c>
      <x:c r="O365" s="13" t="str">
        <x:v>I04 Table_1!D5078/P5078/U5078</x:v>
      </x:c>
    </x:row>
    <x:row r="366" ht="24" customHeight="1">
      <x:c r="A366" s="13" t="str">
        <x:v>Y02653</x:v>
      </x:c>
      <x:c r="B366" s="13" t="str">
        <x:v>QUA</x:v>
      </x:c>
      <x:c r="C366" s="13" t="n">
        <x:v>66</x:v>
      </x:c>
      <x:c r="D366" s="30" t="n">
        <x:v>84.8</x:v>
      </x:c>
      <x:c r="E366" s="14" t="n">
        <x:f>C366*(1000-ROUND(D366*10,0))/1000</x:f>
        <x:v>10.032</x:v>
      </x:c>
      <x:c r="F366" s="14" t="n">
        <x:f>MAX(0,(ROUND(D366*100,0)-ROUND($B$3*100,0))/100)</x:f>
        <x:v>84.75</x:v>
      </x:c>
      <x:c r="G366" s="14" t="n">
        <x:f>MIN(100,(ROUND(D366*100,0)+ROUND($B$3*100,0))/100)</x:f>
        <x:v>84.85</x:v>
      </x:c>
      <x:c r="H366" s="40" t="n">
        <x:f>C366*(10000-ROUND(G366*100,0))/10000</x:f>
        <x:v>9.999</x:v>
      </x:c>
      <x:c r="I366" s="40" t="n">
        <x:f>C366*(10000-ROUND(F366*100,0))/10000</x:f>
        <x:v>10.065</x:v>
      </x:c>
      <x:c r="J366" s="13" t="str">
        <x:f>IF(COUNTIFS($D$17:$D$369,"&lt;"&amp;D366,$E$17:$E$369,"&gt;="&amp;E366)+COUNTIFS($D$17:$D$369,"="&amp;D366,$E$17:$E$369,"&gt;"&amp;E366)=0,"是","否")</x:f>
        <x:v>否</x:v>
      </x:c>
      <x:c r="K366" s="13" t="str">
        <x:f>IF(COUNTIFS($G$17:$G$369,"&lt;"&amp;F366,$H$17:$H$369,"&gt;="&amp;I366)+COUNTIFS($G$17:$G$369,"="&amp;F366,$H$17:$H$369,"&gt;"&amp;I366)=0,"是","否")</x:f>
        <x:v>否</x:v>
      </x:c>
      <x:c r="L366" s="13" t="str">
        <x:f>IF(COUNTIFS($F$17:$F$369,"&lt;"&amp;G366,$I$17:$I$369,"&gt;="&amp;H366)+COUNTIFS($F$17:$F$369,"="&amp;G366,$I$17:$I$369,"&gt;"&amp;H366)-IF(OR(G366&gt;F366,I366&gt;H366),1,0)=0,"是","否")</x:f>
        <x:v>否</x:v>
      </x:c>
      <x:c r="M366" s="13" t="n">
        <x:f>1+COUNTIF($H$17:$H$369,"&gt;"&amp;I366)</x:f>
        <x:v>231</x:v>
      </x:c>
      <x:c r="N366" s="13" t="n">
        <x:f>COUNTIF($I$17:$I$369,"&gt;="&amp;H366)</x:f>
        <x:v>243</x:v>
      </x:c>
      <x:c r="O366" s="13" t="str">
        <x:v>I04 Table_1!D5079/P5079/U5079</x:v>
      </x:c>
    </x:row>
    <x:row r="367" ht="24" customHeight="1">
      <x:c r="A367" s="13" t="str">
        <x:v>Y02701</x:v>
      </x:c>
      <x:c r="B367" s="13" t="str">
        <x:v>QUA</x:v>
      </x:c>
      <x:c r="C367" s="13" t="n">
        <x:v>141</x:v>
      </x:c>
      <x:c r="D367" s="30" t="n">
        <x:v>82.3</x:v>
      </x:c>
      <x:c r="E367" s="14" t="n">
        <x:f>C367*(1000-ROUND(D367*10,0))/1000</x:f>
        <x:v>24.957</x:v>
      </x:c>
      <x:c r="F367" s="14" t="n">
        <x:f>MAX(0,(ROUND(D367*100,0)-ROUND($B$3*100,0))/100)</x:f>
        <x:v>82.25</x:v>
      </x:c>
      <x:c r="G367" s="14" t="n">
        <x:f>MIN(100,(ROUND(D367*100,0)+ROUND($B$3*100,0))/100)</x:f>
        <x:v>82.35</x:v>
      </x:c>
      <x:c r="H367" s="40" t="n">
        <x:f>C367*(10000-ROUND(G367*100,0))/10000</x:f>
        <x:v>24.8865</x:v>
      </x:c>
      <x:c r="I367" s="40" t="n">
        <x:f>C367*(10000-ROUND(F367*100,0))/10000</x:f>
        <x:v>25.0275</x:v>
      </x:c>
      <x:c r="J367" s="13" t="str">
        <x:f>IF(COUNTIFS($D$17:$D$369,"&lt;"&amp;D367,$E$17:$E$369,"&gt;="&amp;E367)+COUNTIFS($D$17:$D$369,"="&amp;D367,$E$17:$E$369,"&gt;"&amp;E367)=0,"是","否")</x:f>
        <x:v>否</x:v>
      </x:c>
      <x:c r="K367" s="13" t="str">
        <x:f>IF(COUNTIFS($G$17:$G$369,"&lt;"&amp;F367,$H$17:$H$369,"&gt;="&amp;I367)+COUNTIFS($G$17:$G$369,"="&amp;F367,$H$17:$H$369,"&gt;"&amp;I367)=0,"是","否")</x:f>
        <x:v>否</x:v>
      </x:c>
      <x:c r="L367" s="13" t="str">
        <x:f>IF(COUNTIFS($F$17:$F$369,"&lt;"&amp;G367,$I$17:$I$369,"&gt;="&amp;H367)+COUNTIFS($F$17:$F$369,"="&amp;G367,$I$17:$I$369,"&gt;"&amp;H367)-IF(OR(G367&gt;F367,I367&gt;H367),1,0)=0,"是","否")</x:f>
        <x:v>否</x:v>
      </x:c>
      <x:c r="M367" s="13" t="n">
        <x:f>1+COUNTIF($H$17:$H$369,"&gt;"&amp;I367)</x:f>
        <x:v>96</x:v>
      </x:c>
      <x:c r="N367" s="13" t="n">
        <x:f>COUNTIF($I$17:$I$369,"&gt;="&amp;H367)</x:f>
        <x:v>100</x:v>
      </x:c>
      <x:c r="O367" s="13" t="str">
        <x:v>I04 Table_1!D5080/P5080/U5080</x:v>
      </x:c>
    </x:row>
    <x:row r="368" ht="24" customHeight="1">
      <x:c r="A368" s="13" t="str">
        <x:v>Y02736</x:v>
      </x:c>
      <x:c r="B368" s="13" t="str">
        <x:v>QUA</x:v>
      </x:c>
      <x:c r="C368" s="13" t="n">
        <x:v>120</x:v>
      </x:c>
      <x:c r="D368" s="30" t="n">
        <x:v>73.3</x:v>
      </x:c>
      <x:c r="E368" s="14" t="n">
        <x:f>C368*(1000-ROUND(D368*10,0))/1000</x:f>
        <x:v>32.04</x:v>
      </x:c>
      <x:c r="F368" s="14" t="n">
        <x:f>MAX(0,(ROUND(D368*100,0)-ROUND($B$3*100,0))/100)</x:f>
        <x:v>73.25</x:v>
      </x:c>
      <x:c r="G368" s="14" t="n">
        <x:f>MIN(100,(ROUND(D368*100,0)+ROUND($B$3*100,0))/100)</x:f>
        <x:v>73.35</x:v>
      </x:c>
      <x:c r="H368" s="40" t="n">
        <x:f>C368*(10000-ROUND(G368*100,0))/10000</x:f>
        <x:v>31.98</x:v>
      </x:c>
      <x:c r="I368" s="40" t="n">
        <x:f>C368*(10000-ROUND(F368*100,0))/10000</x:f>
        <x:v>32.1</x:v>
      </x:c>
      <x:c r="J368" s="13" t="str">
        <x:f>IF(COUNTIFS($D$17:$D$369,"&lt;"&amp;D368,$E$17:$E$369,"&gt;="&amp;E368)+COUNTIFS($D$17:$D$369,"="&amp;D368,$E$17:$E$369,"&gt;"&amp;E368)=0,"是","否")</x:f>
        <x:v>否</x:v>
      </x:c>
      <x:c r="K368" s="13" t="str">
        <x:f>IF(COUNTIFS($G$17:$G$369,"&lt;"&amp;F368,$H$17:$H$369,"&gt;="&amp;I368)+COUNTIFS($G$17:$G$369,"="&amp;F368,$H$17:$H$369,"&gt;"&amp;I368)=0,"是","否")</x:f>
        <x:v>否</x:v>
      </x:c>
      <x:c r="L368" s="13" t="str">
        <x:f>IF(COUNTIFS($F$17:$F$369,"&lt;"&amp;G368,$I$17:$I$369,"&gt;="&amp;H368)+COUNTIFS($F$17:$F$369,"="&amp;G368,$I$17:$I$369,"&gt;"&amp;H368)-IF(OR(G368&gt;F368,I368&gt;H368),1,0)=0,"是","否")</x:f>
        <x:v>否</x:v>
      </x:c>
      <x:c r="M368" s="13" t="n">
        <x:f>1+COUNTIF($H$17:$H$369,"&gt;"&amp;I368)</x:f>
        <x:v>64</x:v>
      </x:c>
      <x:c r="N368" s="13" t="n">
        <x:f>COUNTIF($I$17:$I$369,"&gt;="&amp;H368)</x:f>
        <x:v>73</x:v>
      </x:c>
      <x:c r="O368" s="13" t="str">
        <x:v>I04 Table_1!D5081/P5081/U5081</x:v>
      </x:c>
    </x:row>
    <x:row r="369" ht="24" customHeight="1">
      <x:c r="A369" s="13" t="str">
        <x:v>Y02757</x:v>
      </x:c>
      <x:c r="B369" s="13" t="str">
        <x:v>QUA</x:v>
      </x:c>
      <x:c r="C369" s="13" t="n">
        <x:v>230</x:v>
      </x:c>
      <x:c r="D369" s="30" t="n">
        <x:v>75.2</x:v>
      </x:c>
      <x:c r="E369" s="14" t="n">
        <x:f>C369*(1000-ROUND(D369*10,0))/1000</x:f>
        <x:v>57.04</x:v>
      </x:c>
      <x:c r="F369" s="14" t="n">
        <x:f>MAX(0,(ROUND(D369*100,0)-ROUND($B$3*100,0))/100)</x:f>
        <x:v>75.15</x:v>
      </x:c>
      <x:c r="G369" s="14" t="n">
        <x:f>MIN(100,(ROUND(D369*100,0)+ROUND($B$3*100,0))/100)</x:f>
        <x:v>75.25</x:v>
      </x:c>
      <x:c r="H369" s="40" t="n">
        <x:f>C369*(10000-ROUND(G369*100,0))/10000</x:f>
        <x:v>56.925</x:v>
      </x:c>
      <x:c r="I369" s="40" t="n">
        <x:f>C369*(10000-ROUND(F369*100,0))/10000</x:f>
        <x:v>57.155</x:v>
      </x:c>
      <x:c r="J369" s="13" t="str">
        <x:f>IF(COUNTIFS($D$17:$D$369,"&lt;"&amp;D369,$E$17:$E$369,"&gt;="&amp;E369)+COUNTIFS($D$17:$D$369,"="&amp;D369,$E$17:$E$369,"&gt;"&amp;E369)=0,"是","否")</x:f>
        <x:v>否</x:v>
      </x:c>
      <x:c r="K369" s="13" t="str">
        <x:f>IF(COUNTIFS($G$17:$G$369,"&lt;"&amp;F369,$H$17:$H$369,"&gt;="&amp;I369)+COUNTIFS($G$17:$G$369,"="&amp;F369,$H$17:$H$369,"&gt;"&amp;I369)=0,"是","否")</x:f>
        <x:v>否</x:v>
      </x:c>
      <x:c r="L369" s="13" t="str">
        <x:f>IF(COUNTIFS($F$17:$F$369,"&lt;"&amp;G369,$I$17:$I$369,"&gt;="&amp;H369)+COUNTIFS($F$17:$F$369,"="&amp;G369,$I$17:$I$369,"&gt;"&amp;H369)-IF(OR(G369&gt;F369,I369&gt;H369),1,0)=0,"是","否")</x:f>
        <x:v>否</x:v>
      </x:c>
      <x:c r="M369" s="13" t="n">
        <x:f>1+COUNTIF($H$17:$H$369,"&gt;"&amp;I369)</x:f>
        <x:v>17</x:v>
      </x:c>
      <x:c r="N369" s="13" t="n">
        <x:f>COUNTIF($I$17:$I$369,"&gt;="&amp;H369)</x:f>
        <x:v>18</x:v>
      </x:c>
      <x:c r="O369" s="13" t="str">
        <x:v>I04 Table_1!D5082/P5082/U5082</x:v>
      </x:c>
    </x:row>
    <x:row r="370" ht="24" customHeight="1">
      <x:c r="A370" s="12"/>
      <x:c r="B370" s="12"/>
      <x:c r="C370" s="12"/>
      <x:c r="D370" s="12"/>
      <x:c r="E370" s="12"/>
      <x:c r="F370" s="12"/>
      <x:c r="G370" s="12"/>
      <x:c r="H370" s="12"/>
      <x:c r="I370" s="12"/>
      <x:c r="J370" s="12"/>
      <x:c r="K370" s="12"/>
      <x:c r="L370" s="12"/>
      <x:c r="M370" s="12"/>
      <x:c r="N370" s="12"/>
      <x:c r="O370" s="12"/>
    </x:row>
    <x:row r="371" ht="24" customHeight="1">
      <x:c r="A371" s="12"/>
      <x:c r="B371" s="12"/>
      <x:c r="C371" s="12"/>
      <x:c r="D371" s="12"/>
      <x:c r="E371" s="12"/>
      <x:c r="F371" s="12"/>
      <x:c r="G371" s="12"/>
      <x:c r="H371" s="12"/>
      <x:c r="I371" s="12"/>
      <x:c r="J371" s="12"/>
      <x:c r="K371" s="12"/>
      <x:c r="L371" s="12"/>
      <x:c r="M371" s="12"/>
      <x:c r="N371" s="12"/>
      <x:c r="O371" s="12"/>
    </x:row>
    <x:row r="372" ht="24" customHeight="1">
      <x:c r="A372" s="12" t="str">
        <x:v>未进入可用年度GP池的记录</x:v>
      </x:c>
      <x:c r="B372" s="12"/>
      <x:c r="C372" s="12"/>
      <x:c r="D372" s="12"/>
      <x:c r="E372" s="12"/>
      <x:c r="F372" s="12"/>
      <x:c r="G372" s="12"/>
      <x:c r="H372" s="12"/>
      <x:c r="I372" s="12"/>
      <x:c r="J372" s="12"/>
      <x:c r="K372" s="12"/>
      <x:c r="L372" s="12"/>
      <x:c r="M372" s="12"/>
      <x:c r="N372" s="12"/>
      <x:c r="O372" s="12"/>
    </x:row>
    <x:row r="373" ht="24" customHeight="1">
      <x:c r="A373" s="16" t="str">
        <x:v>GP编码</x:v>
      </x:c>
      <x:c r="B373" s="16" t="str">
        <x:v>ICB</x:v>
      </x:c>
      <x:c r="C373" s="16" t="str">
        <x:v>5y分母</x:v>
      </x:c>
      <x:c r="D373" s="16" t="str">
        <x:v>MMR2</x:v>
      </x:c>
      <x:c r="E373" s="16" t="str">
        <x:v>原因</x:v>
      </x:c>
      <x:c r="F373" s="16"/>
      <x:c r="G373" s="16"/>
      <x:c r="H373" s="16"/>
      <x:c r="I373" s="16"/>
      <x:c r="J373" s="16"/>
      <x:c r="K373" s="16"/>
      <x:c r="L373" s="16"/>
      <x:c r="M373" s="16"/>
      <x:c r="N373" s="16"/>
      <x:c r="O373" s="16"/>
    </x:row>
    <x:row r="374" ht="24" customHeight="1">
      <x:c r="A374" s="13" t="str">
        <x:v>V81999</x:v>
      </x:c>
      <x:c r="B374" s="13" t="str">
        <x:v>QHL</x:v>
      </x:c>
      <x:c r="C374" s="13" t="n">
        <x:v>897</x:v>
      </x:c>
      <x:c r="D374" s="41" t="n">
        <x:v>13.9</x:v>
      </x:c>
      <x:c r="E374" s="13" t="str">
        <x:v>未知GP汇总码</x:v>
      </x:c>
      <x:c r="F374" s="12"/>
      <x:c r="G374" s="12"/>
      <x:c r="H374" s="12"/>
      <x:c r="I374" s="12"/>
      <x:c r="J374" s="12"/>
      <x:c r="K374" s="12"/>
      <x:c r="L374" s="12"/>
      <x:c r="M374" s="12"/>
      <x:c r="N374" s="12"/>
      <x:c r="O374" s="12"/>
    </x:row>
    <x:row r="375" ht="24" customHeight="1">
      <x:c r="A375" s="13" t="str">
        <x:v>M91011</x:v>
      </x:c>
      <x:c r="B375" s="13" t="str">
        <x:v>QUA</x:v>
      </x:c>
      <x:c r="C375" s="13" t="n">
        <x:v>0</x:v>
      </x:c>
      <x:c r="D375" s="12"/>
      <x:c r="E375" s="13" t="str">
        <x:v>零分母且覆盖率空白</x:v>
      </x:c>
      <x:c r="F375" s="12"/>
      <x:c r="G375" s="12"/>
      <x:c r="H375" s="12"/>
      <x:c r="I375" s="12"/>
      <x:c r="J375" s="12"/>
      <x:c r="K375" s="12"/>
      <x:c r="L375" s="12"/>
      <x:c r="M375" s="12"/>
      <x:c r="N375" s="12"/>
      <x:c r="O375" s="12"/>
    </x:row>
  </x:sheetData>
  <x:mergeCells>
    <x:mergeCell ref="A2:F2"/>
    <x:mergeCell ref="A15:O15"/>
    <x:mergeCell ref="A372:E37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63" hidden="0" customWidth="1"/>
    <x:col min="2" max="2" width="55" hidden="0" customWidth="1"/>
    <x:col min="3" max="3" width="82" hidden="0" customWidth="1"/>
    <x:col min="4" max="4" width="98" hidden="0" customWidth="1"/>
  </x:cols>
  <x:sheetData>
    <x:row r="1" ht="24" customHeight="1">
      <x:c r="A1" s="12"/>
      <x:c r="B1" s="12"/>
      <x:c r="C1" s="12"/>
      <x:c r="D1" s="12"/>
    </x:row>
    <x:row r="2" ht="24" customHeight="1">
      <x:c r="A2" s="12" t="str">
        <x:v>采用来源及取数精度</x:v>
      </x:c>
      <x:c r="B2" s="12"/>
      <x:c r="C2" s="12"/>
      <x:c r="D2" s="12"/>
    </x:row>
    <x:row r="3" ht="24" customHeight="1">
      <x:c r="A3" s="12"/>
      <x:c r="B3" s="12"/>
      <x:c r="C3" s="12"/>
      <x:c r="D3" s="12"/>
    </x:row>
    <x:row r="4" ht="24" customHeight="1">
      <x:c r="A4" s="12"/>
      <x:c r="B4" s="12"/>
      <x:c r="C4" s="12"/>
      <x:c r="D4" s="12"/>
    </x:row>
    <x:row r="5" ht="40" customHeight="1">
      <x:c r="A5" s="16" t="str">
        <x:v>输入文件</x:v>
      </x:c>
      <x:c r="B5" s="16" t="str">
        <x:v>源版与观察范围</x:v>
      </x:c>
      <x:c r="C5" s="16" t="str">
        <x:v>分析适用范围</x:v>
      </x:c>
      <x:c r="D5" s="16" t="str">
        <x:v>官方链接</x:v>
      </x:c>
    </x:row>
    <x:row r="6" ht="39" customHeight="1">
      <x:c r="A6" s="13" t="str">
        <x:v>I01｜confirmed-cases-of-measles-in-england-2024.pdf</x:v>
      </x:c>
      <x:c r="B6" s="13" t="str">
        <x:v>官方网页更新2026-10-06；2024年发病日期监测</x:v>
      </x:c>
      <x:c r="C6" s="13" t="str">
        <x:v>Table 1/2采用同版原值；Figure 1作地域和时间趋势判断</x:v>
      </x:c>
      <x:c r="D6" s="13" t="str">
        <x:v>https://www.gov.uk/government/publications/measles-epidemiology-2023-to-2026/confirmed-cases-of-measles-in-england-by-month-age-region-and-upper-tier-local-authority-2024</x:v>
      </x:c>
    </x:row>
    <x:row r="7" ht="39" customHeight="1">
      <x:c r="A7" s="13" t="str">
        <x:v>I02｜measles-historic-confirmed-cases-notifications-and-deaths.pdf</x:v>
      </x:c>
      <x:c r="B7" s="13" t="str">
        <x:v>官方网页更新2026-10-06；保留2012–2025及1940–2026全部原系列</x:v>
      </x:c>
      <x:c r="C7" s="13" t="str">
        <x:v>通知、全部确诊及口腔液途径分别使用；仅2024季度进入本次复算</x:v>
      </x:c>
      <x:c r="D7" s="13" t="str">
        <x:v>https://www.gov.uk/government/publications/measles-historic-confirmed-cases-notifications-and-deaths/measles-historic-confirmed-cases-notifications-and-deaths</x:v>
      </x:c>
    </x:row>
    <x:row r="8" ht="39" customHeight="1">
      <x:c r="A8" s="13" t="str">
        <x:v>I03｜cover-gp-annual-2022-to-2023.xlsx</x:v>
      </x:c>
      <x:c r="B8" s="13" t="str">
        <x:v>官方原表转存XLSX；原件V1.0，2024-03-25；年度2022-04-01至2023-03-31</x:v>
      </x:c>
      <x:c r="C8" s="13" t="str">
        <x:v>GP_Code/ICB_Code；按原显示覆盖率比较，生日队列</x:v>
      </x:c>
      <x:c r="D8" s="13" t="str">
        <x:v>https://assets.publishing.service.gov.uk/media/65eedd2062ff48488387b254/cover-gp-annual-2022-to-2023.ods</x:v>
      </x:c>
    </x:row>
    <x:row r="9" ht="39" customHeight="1">
      <x:c r="A9" s="13" t="str">
        <x:v>I04｜supplementary-GP-annual-data-cover-programme-2023-2024.xlsx</x:v>
      </x:c>
      <x:c r="B9" s="13" t="str">
        <x:v>官方原表转存XLSX；原件V2.0，2025-04-15；年度2023-04-01至2024-03-31</x:v>
      </x:c>
      <x:c r="C9" s="13" t="str">
        <x:v>Table_1/Table_2；QUA 24m保护性舍入按Notes执行</x:v>
      </x:c>
      <x:c r="D9" s="13" t="str">
        <x:v>https://assets.publishing.service.gov.uk/media/67fe4630ed87b816085466d4/supplementary-GP-annual-data-cover-programme-2023-2024.ods</x:v>
      </x:c>
    </x:row>
    <x:row r="10" ht="39" customHeight="1">
      <x:c r="A10" s="13" t="str">
        <x:v>I05｜cover-gp-q3-2023-to-2024_-_update.xlsx</x:v>
      </x:c>
      <x:c r="B10" s="13" t="str">
        <x:v>官方原表转存XLSX；原件V2.0，2024-06-27；2023年10–12月</x:v>
      </x:c>
      <x:c r="C10" s="13" t="str">
        <x:v>GP_Code/ICB_Code；更正范围见Revision_History</x:v>
      </x:c>
      <x:c r="D10" s="13" t="str">
        <x:v>https://assets.publishing.service.gov.uk/media/667d6f35c7f64e23420900e5/cover-gp-q3-2023-to-2024_-_update.ods</x:v>
      </x:c>
    </x:row>
    <x:row r="11" ht="39" customHeight="1">
      <x:c r="A11" s="13" t="str">
        <x:v>I06｜experimental-vaccination-coverage-GP-data-England-COVER-programme-January-to-March-2024.xlsx</x:v>
      </x:c>
      <x:c r="B11" s="13" t="str">
        <x:v>官方原表转存XLSX；原件V1.0，2024-06-25；2024年1–3月</x:v>
      </x:c>
      <x:c r="C11" s="13" t="str">
        <x:v>GP_Code/ICB_Code；与I12不同来源和分母，不合并计数</x:v>
      </x:c>
      <x:c r="D11" s="13" t="str">
        <x:v>https://assets.publishing.service.gov.uk/media/667a9bce7d26b2be17a4b2bd/experimental-vaccination-coverage-GP-data-England-COVER-programme-January-to-March-2024.ods</x:v>
      </x:c>
    </x:row>
    <x:row r="12" ht="39" customHeight="1">
      <x:c r="A12" s="13" t="str">
        <x:v>I07｜evaluation-report-on-MMR-vaccine-coverage-following-MMR-catch-up-activities-in-England-in-2023-to-2024.xlsx</x:v>
      </x:c>
      <x:c r="B12" s="13" t="str">
        <x:v>官方原表转存XLSX；2024-08-29；IIS固定队列，七个分龄剂次表及Notes完整保留</x:v>
      </x:c>
      <x:c r="C12" s="13" t="str">
        <x:v>原始n/b/e复算；前后时点采用Notes!A6:A7及I13方法</x:v>
      </x:c>
      <x:c r="D12" s="13" t="str">
        <x:v>https://assets.publishing.service.gov.uk/media/66d08f787c42acbece502cd2/evaluation-report-on-MMR-vaccine-coverage-following-MMR-catch-up-activities-in-England-in-2023-to-2024.ods</x:v>
      </x:c>
    </x:row>
    <x:row r="13" ht="39" customHeight="1">
      <x:c r="A13" s="13" t="str">
        <x:v>I08｜quality-and-methodology-information-cover-programme.pdf</x:v>
      </x:c>
      <x:c r="B13" s="13" t="str">
        <x:v>UKHSA质量与方法说明更新2026-08-27；用于事后方法核对</x:v>
      </x:c>
      <x:c r="C13" s="13" t="str">
        <x:v>物理页10，Definitions；物理页14，Accuracy and reliability</x:v>
      </x:c>
      <x:c r="D13" s="13" t="str">
        <x:v>https://www.gov.uk/government/publications/cover-of-vaccination-evaluated-rapidly-cover-programme-quality-and-methodology-information/quality-and-methodology-information-cover-programme</x:v>
      </x:c>
    </x:row>
    <x:row r="14" ht="39" customHeight="1">
      <x:c r="A14" s="13" t="str">
        <x:v>I09｜mye24tablesuk.xlsx</x:v>
      </x:c>
      <x:c r="B14" s="13" t="str">
        <x:v>ONS mid-2024指定完整文件，2025-09-26发布；2024年中全龄居民人口</x:v>
      </x:c>
      <x:c r="C14" s="13" t="str">
        <x:v>MYE2 - Persons的Code/All ages；用于全龄病例粗率</x:v>
      </x:c>
      <x:c r="D14" s="13" t="str">
        <x:v>https://www.ons.gov.uk/file?uri=/peoplepopulationandcommunity/populationandmigration/populationestimates/datasets/populationestimatesforukenglandandwalesscotlandandnorthernireland/mid2024/mye24tablesuk.xlsx</x:v>
      </x:c>
    </x:row>
    <x:row r="15" ht="24" customHeight="1">
      <x:c r="A15" s="13" t="str">
        <x:v>I10｜West-Midlands-GP-MMR-toolkit.pdf</x:v>
      </x:c>
      <x:c r="B15" s="13" t="str">
        <x:v>封面January 2024，33物理页；历史服务工具包</x:v>
      </x:c>
      <x:c r="C15" s="13" t="str">
        <x:v>物理页7–15、17–19；措施须匹配当地实际障碍和现期政策</x:v>
      </x:c>
      <x:c r="D15" s="13" t="str">
        <x:v>https://www.england.nhs.uk/midlands/wp-content/uploads/sites/46/2024/07/West-Midlands-GP-MMR-toolkit.pdf</x:v>
      </x:c>
    </x:row>
    <x:row r="16" ht="24" customHeight="1">
      <x:c r="A16" s="13" t="str">
        <x:v>I11｜measles-nhs.pdf</x:v>
      </x:c>
      <x:c r="B16" s="13" t="str">
        <x:v>NHS.UK原页审核2025-07-31；本次冻结2026-10-07</x:v>
      </x:c>
      <x:c r="C16" s="13" t="str">
        <x:v>物理页3–4；GP/111与999/A&amp;E层级、先电话联系和防传播</x:v>
      </x:c>
      <x:c r="D16" s="13" t="str">
        <x:v>https://www.nhs.uk/conditions/measles/</x:v>
      </x:c>
    </x:row>
    <x:row r="17" ht="39" customHeight="1">
      <x:c r="A17" s="13" t="str">
        <x:v>I12｜cover-data-tables-quarter-4-2023-to-2024.xlsx</x:v>
      </x:c>
      <x:c r="B17" s="13" t="str">
        <x:v>官方原表转存XLSX；CHIS原件2024年1–3月，全部地域、计数、脚注及代码</x:v>
      </x:c>
      <x:c r="C17" s="13" t="str">
        <x:v>Data_file对应MMR分子分母；24m_UTLA_GOR与5y_UTLA_GOR的ONS/ODS编码</x:v>
      </x:c>
      <x:c r="D17" s="13" t="str">
        <x:v>https://assets.publishing.service.gov.uk/media/66b3a6bda3c2a28abb50de83/cover-data-tables-quarter-4-2023-to-2024.ods</x:v>
      </x:c>
    </x:row>
    <x:row r="18" ht="54" customHeight="1">
      <x:c r="A18" s="13" t="str">
        <x:v>I13｜evaluating-mmr-catch-up-activity-2023-to-2024.pdf</x:v>
      </x:c>
      <x:c r="B18" s="13" t="str">
        <x:v>UKHSA补种评价报告2024-08-29；完整正文与附录</x:v>
      </x:c>
      <x:c r="C18" s="13" t="str">
        <x:v>物理页6–7方法和定义、16–18讨论及限制；汇总净记录变化</x:v>
      </x:c>
      <x:c r="D18" s="13" t="str">
        <x:v>https://www.gov.uk/government/publications/evaluation-of-vaccine-uptake-during-the-2023-to-2024-mmr-catch-up-campaigns-in-england/evaluating-the-impact-of-national-and-regional-measles-catch-up-activity-on-mmr-vaccine-coverage-in-england-2023-to-2024</x:v>
      </x:c>
    </x:row>
  </x:sheetData>
  <x:mergeCells>
    <x:mergeCell ref="A2:D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108" hidden="0" customWidth="1"/>
    <x:col min="3" max="3" width="92" hidden="0" customWidth="1"/>
    <x:col min="4" max="4" width="79" hidden="0" customWidth="1"/>
  </x:cols>
  <x:sheetData>
    <x:row r="1" ht="24" customHeight="1">
      <x:c r="A1" s="12"/>
      <x:c r="B1" s="12"/>
      <x:c r="C1" s="12"/>
      <x:c r="D1" s="12"/>
    </x:row>
    <x:row r="2" ht="24" customHeight="1">
      <x:c r="A2" s="12" t="str">
        <x:v>证据差异及采用规则</x:v>
      </x:c>
      <x:c r="B2" s="12"/>
      <x:c r="C2" s="12"/>
      <x:c r="D2" s="12"/>
    </x:row>
    <x:row r="3" ht="24" customHeight="1">
      <x:c r="A3" s="12"/>
      <x:c r="B3" s="12"/>
      <x:c r="C3" s="12"/>
      <x:c r="D3" s="12"/>
    </x:row>
    <x:row r="4" ht="24" customHeight="1">
      <x:c r="A4" s="12"/>
      <x:c r="B4" s="12"/>
      <x:c r="C4" s="12"/>
      <x:c r="D4" s="12"/>
    </x:row>
    <x:row r="5" ht="40" customHeight="1">
      <x:c r="A5" s="16" t="str">
        <x:v>事项</x:v>
      </x:c>
      <x:c r="B5" s="16" t="str">
        <x:v>证据定位</x:v>
      </x:c>
      <x:c r="C5" s="16" t="str">
        <x:v>核对结果</x:v>
      </x:c>
      <x:c r="D5" s="16" t="str">
        <x:v>本次采用规则</x:v>
      </x:c>
    </x:row>
    <x:row r="6" ht="24" customHeight="1">
      <x:c r="A6" s="13" t="str">
        <x:v>病例分龄</x:v>
      </x:c>
      <x:c r="B6" s="13" t="str">
        <x:v>I01物理页2、3–4</x:v>
      </x:c>
      <x:c r="C6" s="13" t="str">
        <x:v>数表10岁及以下1772例、60.87%；摘要1722与数表不同</x:v>
      </x:c>
      <x:c r="D6" s="13" t="str">
        <x:v>主分析采用同版原数表，不改原输入</x:v>
      </x:c>
    </x:row>
    <x:row r="7" ht="24" customHeight="1">
      <x:c r="A7" s="13" t="str">
        <x:v>不同监测地域版次</x:v>
      </x:c>
      <x:c r="B7" s="13" t="str">
        <x:v>I01 Table 1；I02确诊地区年度表</x:v>
      </x:c>
      <x:c r="C7" s="13" t="str">
        <x:v>WM 562/561、EM 214/213、EE 252/253、NW 99/100；英格兰总数相同</x:v>
      </x:c>
      <x:c r="D7" s="13" t="str">
        <x:v>I01用于2024主分析，I02独立用于历史和监测渠道</x:v>
      </x:c>
    </x:row>
    <x:row r="8" ht="24" customHeight="1">
      <x:c r="A8" s="13" t="str">
        <x:v>口腔液渠道</x:v>
      </x:c>
      <x:c r="B8" s="13" t="str">
        <x:v>I02物理页6及8</x:v>
      </x:c>
      <x:c r="C8" s="13" t="str">
        <x:v>季度通知14879、年度通知15820；口腔液阳性2293、全实验室2911</x:v>
      </x:c>
      <x:c r="D8" s="13" t="str">
        <x:v>统计途径与时间窗分开，不把差额命名为漏检人数</x:v>
      </x:c>
    </x:row>
    <x:row r="9" ht="24" customHeight="1">
      <x:c r="A9" s="13" t="str">
        <x:v>年度可比GP</x:v>
      </x:c>
      <x:c r="B9" s="13" t="str">
        <x:v>I03 GP_Code；I04 Table_1</x:v>
      </x:c>
      <x:c r="C9" s="13" t="str">
        <x:v>QHL156家、QUA174家；23个同码ICB归属不同；Y开头真实GP保留</x:v>
      </x:c>
      <x:c r="D9" s="13" t="str">
        <x:v>按记录编码关联；未见编码不推断机构关闭；未知GP汇总码剔除面板</x:v>
      </x:c>
    </x:row>
    <x:row r="10" ht="24" customHeight="1">
      <x:c r="A10" s="13" t="str">
        <x:v>百分比显示</x:v>
      </x:c>
      <x:c r="B10" s="13" t="str">
        <x:v>I03–I06原显示及本次约定</x:v>
      </x:c>
      <x:c r="C10" s="13" t="str">
        <x:v>GP审查只使用一位小数及0.05百分点半宽；连续闭包络</x:v>
      </x:c>
      <x:c r="D10" s="13" t="str">
        <x:v>不由储存小数或GP百分比恢复个人事件</x:v>
      </x:c>
    </x:row>
    <x:row r="11" ht="24" customHeight="1">
      <x:c r="A11" s="13" t="str">
        <x:v>固定队列时点</x:v>
      </x:c>
      <x:c r="B11" s="13" t="str">
        <x:v>I07 Notes!A6:A7；I13物理页6–7</x:v>
      </x:c>
      <x:c r="C11" s="13" t="str">
        <x:v>年龄与住所固定于2023-08-31；状态截止2024-04-30</x:v>
      </x:c>
      <x:c r="D11" s="13" t="str">
        <x:v>表题October不替代Methods定义</x:v>
      </x:c>
    </x:row>
    <x:row r="12" ht="24" customHeight="1">
      <x:c r="A12" s="13" t="str">
        <x:v>年龄及剂次重叠</x:v>
      </x:c>
      <x:c r="B12" s="13" t="str">
        <x:v>I07七原Sheet；I13 Methods</x:v>
      </x:c>
      <x:c r="C12" s="13" t="str">
        <x:v>最年轻组用差集，年长组MMR2是MMR1子集</x:v>
      </x:c>
      <x:c r="D12" s="13" t="str">
        <x:v>转移表只证明相容界限，不声称观察到事件</x:v>
      </x:c>
    </x:row>
    <x:row r="13" ht="24" customHeight="1">
      <x:c r="A13" s="13" t="str">
        <x:v>未知及零分母</x:v>
      </x:c>
      <x:c r="B13" s="13" t="str">
        <x:v>I03–I06 Notes/Data_caveats</x:v>
      </x:c>
      <x:c r="C13" s="13" t="str">
        <x:v>V81999不是单家GP；I04 M91011 n5=0且MMR2空白</x:v>
      </x:c>
      <x:c r="D13" s="13" t="str">
        <x:v>全表重建保留有分母的未知汇总行；候选池排除未知及无定义指标</x:v>
      </x:c>
    </x:row>
    <x:row r="14" ht="24" customHeight="1">
      <x:c r="A14" s="13" t="str">
        <x:v>方法定义</x:v>
      </x:c>
      <x:c r="B14" s="13" t="str">
        <x:v>I08物理页10及14；I10物理页7–15、17–19</x:v>
      </x:c>
      <x:c r="C14" s="13" t="str">
        <x:v>COVER生日队列、GP邮编汇总、记录流及地方服务安排</x:v>
      </x:c>
      <x:c r="D14" s="13" t="str">
        <x:v>CHIS与GP分母不能按编码强制相等；先记录后召回</x:v>
      </x:c>
    </x:row>
    <x:row r="15" ht="24" customHeight="1">
      <x:c r="A15" s="13" t="str">
        <x:v>公众就医</x:v>
      </x:c>
      <x:c r="B15" s="13" t="str">
        <x:v>I11物理页3–4</x:v>
      </x:c>
      <x:c r="C15" s="13" t="str">
        <x:v>疑似及暴露联系GP或111并先电话；严重表现999或A&amp;E</x:v>
      </x:c>
      <x:c r="D15" s="13" t="str">
        <x:v>2026冻结时点公众资料用于本次随附沟通</x:v>
      </x:c>
    </x:row>
    <x:row r="16" ht="24" customHeight="1">
      <x:c r="A16" s="12"/>
      <x:c r="B16" s="12"/>
      <x:c r="C16" s="12"/>
      <x:c r="D16" s="12"/>
    </x:row>
    <x:row r="17" ht="24" customHeight="1">
      <x:c r="A17" s="12"/>
      <x:c r="B17" s="12"/>
      <x:c r="C17" s="12"/>
      <x:c r="D17" s="12"/>
    </x:row>
    <x:row r="18" ht="24" customHeight="1">
      <x:c r="A18" s="12"/>
      <x:c r="B18" s="12"/>
      <x:c r="C18" s="12"/>
      <x:c r="D18" s="12"/>
    </x:row>
    <x:row r="19" ht="24" customHeight="1">
      <x:c r="A19" s="12" t="str">
        <x:v>计算一致性核对</x:v>
      </x:c>
      <x:c r="B19" s="12"/>
      <x:c r="C19" s="12"/>
      <x:c r="D19" s="12"/>
    </x:row>
    <x:row r="20" ht="24" customHeight="1">
      <x:c r="A20" s="16" t="str">
        <x:v>核对对象</x:v>
      </x:c>
      <x:c r="B20" s="16" t="str">
        <x:v>差值</x:v>
      </x:c>
      <x:c r="C20" s="16" t="str">
        <x:v>单位</x:v>
      </x:c>
      <x:c r="D20" s="16"/>
    </x:row>
    <x:row r="21" ht="24" customHeight="1">
      <x:c r="A21" s="13" t="str">
        <x:v>QHL对称分解</x:v>
      </x:c>
      <x:c r="B21" s="13" t="n">
        <x:f>'两个ICB跨期覆盖率'!L22</x:f>
        <x:v>-5.614952947041729e-14</x:v>
      </x:c>
      <x:c r="C21" s="13" t="str">
        <x:v>百分点</x:v>
      </x:c>
      <x:c r="D21" s="12"/>
    </x:row>
    <x:row r="22" ht="24" customHeight="1">
      <x:c r="A22" s="13" t="str">
        <x:v>QUA对称分解</x:v>
      </x:c>
      <x:c r="B22" s="13" t="n">
        <x:f>'两个ICB跨期覆盖率'!L23</x:f>
        <x:v>6.097899962753672e-14</x:v>
      </x:c>
      <x:c r="C22" s="13" t="str">
        <x:v>百分点</x:v>
      </x:c>
      <x:c r="D22" s="12"/>
    </x:row>
    <x:row r="23" ht="24" customHeight="1">
      <x:c r="A23" s="13" t="str">
        <x:v>QHL衔接项</x:v>
      </x:c>
      <x:c r="B23" s="13" t="n">
        <x:f>'两个ICB跨期覆盖率'!K22-'两个ICB跨期覆盖率'!I1160</x:f>
        <x:v>0</x:v>
      </x:c>
      <x:c r="C23" s="13" t="str">
        <x:v>百分点</x:v>
      </x:c>
      <x:c r="D23" s="12"/>
    </x:row>
    <x:row r="24" ht="24" customHeight="1">
      <x:c r="A24" s="13" t="str">
        <x:v>QUA衔接项</x:v>
      </x:c>
      <x:c r="B24" s="13" t="n">
        <x:f>'两个ICB跨期覆盖率'!K23-'两个ICB跨期覆盖率'!I1161</x:f>
        <x:v>0</x:v>
      </x:c>
      <x:c r="C24" s="13" t="str">
        <x:v>百分点</x:v>
      </x:c>
      <x:c r="D24" s="12"/>
    </x:row>
    <x:row r="25" ht="24" customHeight="1">
      <x:c r="A25" s="13" t="str">
        <x:v>固定队列前边际</x:v>
      </x:c>
      <x:c r="B25" s="13" t="n">
        <x:f>SUM('两个ICB补种队列'!P30:P35)</x:f>
        <x:v>0</x:v>
      </x:c>
      <x:c r="C25" s="13" t="str">
        <x:v>人</x:v>
      </x:c>
      <x:c r="D25" s="12"/>
    </x:row>
    <x:row r="26" ht="24" customHeight="1">
      <x:c r="A26" s="13" t="str">
        <x:v>固定队列后边际</x:v>
      </x:c>
      <x:c r="B26" s="13" t="n">
        <x:f>SUM('两个ICB补种队列'!Q30:Q35)</x:f>
        <x:v>0</x:v>
      </x:c>
      <x:c r="C26" s="13" t="str">
        <x:v>人</x:v>
      </x:c>
      <x:c r="D26" s="12"/>
    </x:row>
    <x:row r="27" ht="24" customHeight="1">
      <x:c r="A27" s="13" t="str">
        <x:v>转移构造行边际</x:v>
      </x:c>
      <x:c r="B27" s="13" t="n">
        <x:f>SUM('两个ICB补种队列'!J46:J69)</x:f>
        <x:v>0</x:v>
      </x:c>
      <x:c r="C27" s="13" t="str">
        <x:v>人</x:v>
      </x:c>
      <x:c r="D27" s="12"/>
    </x:row>
    <x:row r="28" ht="24" customHeight="1">
      <x:c r="A28" s="13" t="str">
        <x:v>转移构造列边际</x:v>
      </x:c>
      <x:c r="B28" s="13" t="n">
        <x:f>SUM('两个ICB补种队列'!G74:G97)</x:f>
        <x:v>0</x:v>
      </x:c>
      <x:c r="C28" s="13" t="str">
        <x:v>人</x:v>
      </x:c>
      <x:c r="D28" s="12"/>
    </x:row>
    <x:row r="29" ht="24" customHeight="1">
      <x:c r="A29" s="12"/>
      <x:c r="B29" s="12"/>
      <x:c r="C29" s="12"/>
      <x:c r="D29" s="12"/>
    </x:row>
    <x:row r="30" ht="24" customHeight="1">
      <x:c r="A30" s="12"/>
      <x:c r="B30" s="12"/>
      <x:c r="C30" s="12"/>
      <x:c r="D30" s="12"/>
    </x:row>
    <x:row r="31" ht="24" customHeight="1">
      <x:c r="A31" s="12"/>
      <x:c r="B31" s="12"/>
      <x:c r="C31" s="12"/>
      <x:c r="D31" s="12"/>
    </x:row>
    <x:row r="32" ht="24" customHeight="1">
      <x:c r="A32" s="12" t="str">
        <x:v>计算口径</x:v>
      </x:c>
      <x:c r="B32" s="12"/>
      <x:c r="C32" s="12"/>
      <x:c r="D32" s="12"/>
    </x:row>
    <x:row r="33" ht="24" customHeight="1">
      <x:c r="A33" s="16" t="str">
        <x:v>参数</x:v>
      </x:c>
      <x:c r="B33" s="16" t="str">
        <x:v>约定</x:v>
      </x:c>
      <x:c r="C33" s="16"/>
      <x:c r="D33" s="16"/>
    </x:row>
    <x:row r="34" ht="24" customHeight="1">
      <x:c r="A34" s="13" t="str">
        <x:v>显示精度</x:v>
      </x:c>
      <x:c r="B34" s="13" t="str">
        <x:v>GP百分比一位小数；p作为百分数值，公式除以100</x:v>
      </x:c>
      <x:c r="C34" s="12"/>
      <x:c r="D34" s="12"/>
    </x:row>
    <x:row r="35" ht="24" customHeight="1">
      <x:c r="A35" s="13" t="str">
        <x:v>误差分析</x:v>
      </x:c>
      <x:c r="B35" s="13" t="str">
        <x:v>每行、每年独立闭包络；权重用原n5，不提前舍入</x:v>
      </x:c>
      <x:c r="C35" s="12"/>
      <x:c r="D35" s="12"/>
    </x:row>
    <x:row r="36" ht="24" customHeight="1">
      <x:c r="A36" s="13" t="str">
        <x:v>不同人数</x:v>
      </x:c>
      <x:c r="B36" s="13" t="str">
        <x:v>最年轻组只有MMR1阈值；年长组三状态；每人提升只计一次</x:v>
      </x:c>
      <x:c r="C36" s="12"/>
      <x:c r="D36" s="12"/>
    </x:row>
  </x:sheetData>
  <x:mergeCells>
    <x:mergeCell ref="A2:D2"/>
    <x:mergeCell ref="A19:C19"/>
    <x:mergeCell ref="A32:B32"/>
  </x:mergeCells>
  <x:pageMargins left="0.7" right="0.7" top="0.75" bottom="0.75" header="0.3" footer="0.3"/>
</x:worksheet>
</file>