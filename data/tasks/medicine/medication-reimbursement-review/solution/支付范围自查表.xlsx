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自查表" sheetId="1" state="visible" r:id="rId3"/>
  </sheets>
  <calcPr iterateCount="100" refMode="A1" iterate="false" iterateDelta="0.0001"/>
  <extLst>
    <ext uri="{7626C862-2A13-11E5-B345-FEFF819CDC9F}"/>
  </extLst>
</workbook>
</file>

<file path=xl/sharedStrings.xml><?xml version="1.0" encoding="utf-8"?>
<sst xmlns="http://schemas.openxmlformats.org/spreadsheetml/2006/main" count="157" uniqueCount="130">
  <si>
    <t xml:space="preserve">支付范围自查表（樊某某，审核期间2024-07-22入院起至2024-12-31已结算费用）</t>
  </si>
  <si>
    <t xml:space="preserve">目录版本：国家基本医疗保险、工伤保险和生育保险药品目录（2023年）（随件版本，覆盖本次审核期间）。范围：病程记录与出院记录所载全部住院用药，加情况说明所载随访期用药；Z01–Z05为本批疑点药，结论见《医保审核疑点逐药药学说明》对应Y号；需补材料的B号见《需临床科室补充的材料清单》。目录页码为PDF页序。</t>
  </si>
  <si>
    <t xml:space="preserve">编号</t>
  </si>
  <si>
    <t xml:space="preserve">药品（病历写法）</t>
  </si>
  <si>
    <t xml:space="preserve">病历出处</t>
  </si>
  <si>
    <t xml:space="preserve">对应目录行</t>
  </si>
  <si>
    <t xml:space="preserve">限定内容出处</t>
  </si>
  <si>
    <t xml:space="preserve">本例情形</t>
  </si>
  <si>
    <t xml:space="preserve">自查结论</t>
  </si>
  <si>
    <t xml:space="preserve">处理建议</t>
  </si>
  <si>
    <t xml:space="preserve">Z01</t>
  </si>
  <si>
    <t xml:space="preserve">复方磺胺甲噁唑片</t>
  </si>
  <si>
    <t xml:space="preserve">病程记录（2024-07-23至2024-08-02）2024-07-29条</t>
  </si>
  <si>
    <t xml:space="preserve">西药部分 甲类 658 复方磺胺甲噁唑 口服常释剂型（PDF第39页）</t>
  </si>
  <si>
    <t xml:space="preserve">备注栏无限定</t>
  </si>
  <si>
    <t xml:space="preserve">疑点药，见说明Y1</t>
  </si>
  <si>
    <t xml:space="preserve">目录行无限定，疑点在说明书层面</t>
  </si>
  <si>
    <t xml:space="preserve">按Y1处理</t>
  </si>
  <si>
    <t xml:space="preserve">Z02</t>
  </si>
  <si>
    <t xml:space="preserve">利奈唑胺葡萄糖注射液</t>
  </si>
  <si>
    <t xml:space="preserve">西药部分 乙类 ★(695)利奈唑胺葡萄糖 注射剂（PDF第42页）</t>
  </si>
  <si>
    <t xml:space="preserve">疑点药，见说明Y2</t>
  </si>
  <si>
    <t xml:space="preserve">按Y2处理</t>
  </si>
  <si>
    <t xml:space="preserve">Z03</t>
  </si>
  <si>
    <t xml:space="preserve">他克莫司胶囊</t>
  </si>
  <si>
    <t xml:space="preserve">肾内科情况说明三、末句</t>
  </si>
  <si>
    <t xml:space="preserve">西药部分 乙类 ★(515)他克莫司 口服常释剂型（PDF第53页）</t>
  </si>
  <si>
    <t xml:space="preserve">备注栏无限定；软膏剂行（PDF第32页）、滴眼剂行（PDF第71页）的限定不适用于胶囊</t>
  </si>
  <si>
    <t xml:space="preserve">疑点药，见说明Y3</t>
  </si>
  <si>
    <t xml:space="preserve">按Y3处理</t>
  </si>
  <si>
    <t xml:space="preserve">Z04</t>
  </si>
  <si>
    <t xml:space="preserve">伊曲康唑胶囊</t>
  </si>
  <si>
    <t xml:space="preserve">病程记录（2024-07-23至2024-08-02）2024-08-02条</t>
  </si>
  <si>
    <t xml:space="preserve">西药部分 乙类 703 伊曲康唑 口服常释剂型（PDF第42页）</t>
  </si>
  <si>
    <t xml:space="preserve">疑点药，见说明Y4</t>
  </si>
  <si>
    <t xml:space="preserve">按Y4处理</t>
  </si>
  <si>
    <t xml:space="preserve">Z05</t>
  </si>
  <si>
    <t xml:space="preserve">注射用头孢他啶</t>
  </si>
  <si>
    <t xml:space="preserve">病程记录（2024-07-23至2024-08-02）2024-07-26条</t>
  </si>
  <si>
    <t xml:space="preserve">西药部分 乙类 645 头孢他啶 注射剂（PDF第39页）</t>
  </si>
  <si>
    <t xml:space="preserve">疑点药，见说明Y5</t>
  </si>
  <si>
    <t xml:space="preserve">按Y5处理</t>
  </si>
  <si>
    <t xml:space="preserve">Z06</t>
  </si>
  <si>
    <t xml:space="preserve">盐酸莫西沙星注射液 400 mg每日1次静滴（2024-07-23至2024-07-29）</t>
  </si>
  <si>
    <t xml:space="preserve">病程记录（2024-07-23至2024-08-02）2024-07-23条；出院记录诊疗经过（4）</t>
  </si>
  <si>
    <t xml:space="preserve">按病历品名：西药部分 乙类 ★(676)莫西沙星 注射剂（PDF第41页）；同页下一行 ★(676)莫西沙星氯化钠 注射剂无备注</t>
  </si>
  <si>
    <t xml:space="preserve">莫西沙星注射剂行备注：限有明确药敏试验证据的如下感染：急性窦炎、下呼吸道感染、社区获得性肺炎、复杂性腹腔感染；凡例（七）：名称不含盐基、酸根</t>
  </si>
  <si>
    <t xml:space="preserve">用药时“病原菌尚未明确，经验性应用”；全程无药敏报告（检验检查报告第16、19页培养单只有菌名）</t>
  </si>
  <si>
    <t xml:space="preserve">不符合（按病历品名对应限定行，限定前提是药敏证据，不是诊断）；若实际结算为莫西沙星氯化钠注射剂，则不受该限定，待核</t>
  </si>
  <si>
    <t xml:space="preserve">先核结算品规与编码（B16）；为注射剂行的，建议主动认扣</t>
  </si>
  <si>
    <t xml:space="preserve">Z07</t>
  </si>
  <si>
    <t xml:space="preserve">头孢曲松钠 1 g每日2次（2024-07-29至2024-08-02暂停）</t>
  </si>
  <si>
    <t xml:space="preserve">病程记录（2024-07-23至2024-08-02）2024-07-29、08-02条</t>
  </si>
  <si>
    <t xml:space="preserve">西药部分 甲类 639 头孢曲松 注射剂（PDF第38页）</t>
  </si>
  <si>
    <t xml:space="preserve">抗诺卡菌联合方案之一；给药途径病历未写</t>
  </si>
  <si>
    <t xml:space="preserve">支付范围符合；随件材料无头孢曲松说明书，未作说明书层面核对</t>
  </si>
  <si>
    <t xml:space="preserve">无需处理；如需核说明书，另调本院品种说明书</t>
  </si>
  <si>
    <t xml:space="preserve">Z08</t>
  </si>
  <si>
    <t xml:space="preserve">丙种球蛋白 5 g/d，静点×5 d（出院记录总结句称“静注人免疫球蛋白”）</t>
  </si>
  <si>
    <t xml:space="preserve">出院记录诊疗经过（5）及末段</t>
  </si>
  <si>
    <t xml:space="preserve">西药部分 乙类 764 静注人免疫球蛋白(pH4) 注射剂（PDF第46页）</t>
  </si>
  <si>
    <t xml:space="preserve">备注栏：限原发性免疫球蛋白缺乏症；新生儿败血症；重型原发性免疫性血小板减少症；川崎病；全身型重症肌无力；急性格林巴利综合征</t>
  </si>
  <si>
    <t xml:space="preserve">出院诊断五条均不在所列六项内；入院IgG 7.18 g/L（检验检查报告第7页，单上参考区间栏遮盖、无法核实高低），判定不依赖其高低</t>
  </si>
  <si>
    <t xml:space="preserve">不符合</t>
  </si>
  <si>
    <t xml:space="preserve">建议主动认扣；核结算名称与数量（B17）</t>
  </si>
  <si>
    <t xml:space="preserve">Z09</t>
  </si>
  <si>
    <t xml:space="preserve">胸腺法新（皮下注射）</t>
  </si>
  <si>
    <t xml:space="preserve">西药部分 乙类 892 胸腺法新 注射剂（PDF第52页）</t>
  </si>
  <si>
    <t xml:space="preserve">备注栏：限工伤保险；凡例（十一）3：仅限工伤保险基金支付，不属于基本医疗保险基金支付范围</t>
  </si>
  <si>
    <t xml:space="preserve">本次为基本医疗保险审核；病历无工伤认定材料，入院记录“近期于某工地工作”不能推定为工伤</t>
  </si>
  <si>
    <t xml:space="preserve">不符合（基本医疗保险不予支付）</t>
  </si>
  <si>
    <t xml:space="preserve">建议主动认扣；核参保险种与工伤认定（B17）</t>
  </si>
  <si>
    <t xml:space="preserve">Z10</t>
  </si>
  <si>
    <t xml:space="preserve">低分子量肝素钙注射液 5000 IU皮下注射每日2次</t>
  </si>
  <si>
    <t xml:space="preserve">出院记录诊疗经过（2）</t>
  </si>
  <si>
    <t xml:space="preserve">西药部分 乙类 197 低分子肝素 注射剂（PDF第18页）</t>
  </si>
  <si>
    <t xml:space="preserve">备注栏无限定；凡例（七）不含盐基</t>
  </si>
  <si>
    <t xml:space="preserve">肾病综合征抗凝；起止未载</t>
  </si>
  <si>
    <t xml:space="preserve">符合</t>
  </si>
  <si>
    <t xml:space="preserve">无需处理</t>
  </si>
  <si>
    <t xml:space="preserve">Z11</t>
  </si>
  <si>
    <t xml:space="preserve">厄贝沙坦片 75 mg每日2次</t>
  </si>
  <si>
    <t xml:space="preserve">西药部分 乙类 418 厄贝沙坦 口服常释剂型（PDF第28页）</t>
  </si>
  <si>
    <t xml:space="preserve">降压；起止未载</t>
  </si>
  <si>
    <t xml:space="preserve">无需处理（与他克莫司同期问题见说明第三节）</t>
  </si>
  <si>
    <t xml:space="preserve">Z12</t>
  </si>
  <si>
    <t xml:space="preserve">苯磺酸氨氯地平片 5 mg每日2次</t>
  </si>
  <si>
    <t xml:space="preserve">西药部分 甲类 386 氨氯地平 口服常释剂型（PDF第27页）</t>
  </si>
  <si>
    <t xml:space="preserve">备注栏无限定；凡例（七）不含酸根</t>
  </si>
  <si>
    <t xml:space="preserve">无需处理（与伊曲康唑、他克莫司同期问题见说明第三节）</t>
  </si>
  <si>
    <t xml:space="preserve">Z13</t>
  </si>
  <si>
    <t xml:space="preserve">阿托伐他汀钙片 20 mg每晚1次</t>
  </si>
  <si>
    <t xml:space="preserve">西药部分 乙类 433 阿托伐他汀 口服常释剂型（PDF第29页）</t>
  </si>
  <si>
    <t xml:space="preserve">降脂；起止未载</t>
  </si>
  <si>
    <t xml:space="preserve">Z14</t>
  </si>
  <si>
    <t xml:space="preserve">醋酸泼尼松片（逐渐减量，“每3日减1片”至10 mg维持）</t>
  </si>
  <si>
    <t xml:space="preserve">出院记录诊疗经过（3）；病程记录（2024-07-23至2024-08-02）2024-07-29条</t>
  </si>
  <si>
    <t xml:space="preserve">西药部分 甲类 587 泼尼松 口服常释剂型（PDF第36页）</t>
  </si>
  <si>
    <t xml:space="preserve">免疫抑制</t>
  </si>
  <si>
    <t xml:space="preserve">Z15</t>
  </si>
  <si>
    <t xml:space="preserve">美罗培南（只见于总结句）</t>
  </si>
  <si>
    <t xml:space="preserve">出院记录诊疗经过末段；肾内科情况说明二、第2段</t>
  </si>
  <si>
    <t xml:space="preserve">西药部分 乙类 652 美罗培南 注射剂（PDF第39页）</t>
  </si>
  <si>
    <t xml:space="preserve">逐日病程（至08-02）无医嘱；日期、剂量、途径未载</t>
  </si>
  <si>
    <t xml:space="preserve">目录行无限定；是否使用、是否计费待核</t>
  </si>
  <si>
    <t xml:space="preserve">先核医嘱与计费（B05）；未核实前不写入申诉理由</t>
  </si>
  <si>
    <t xml:space="preserve">Z16</t>
  </si>
  <si>
    <t xml:space="preserve">金黄膏（前臂脓肿处外用）</t>
  </si>
  <si>
    <t xml:space="preserve">出院记录诊疗经过（4）</t>
  </si>
  <si>
    <t xml:space="preserve">目录西药与中成药部分均未检出“金黄膏”；中成药部分有甲类892 如意金黄散（PDF第104页），名称与剂型不同</t>
  </si>
  <si>
    <t xml:space="preserve">—</t>
  </si>
  <si>
    <t xml:space="preserve">结算名称与是否为医疗机构制剂未载</t>
  </si>
  <si>
    <t xml:space="preserve">无法判定</t>
  </si>
  <si>
    <t xml:space="preserve">核结算名称与医嘱（B20）；属医疗机构制剂的按本省规定另核</t>
  </si>
  <si>
    <t xml:space="preserve">Z17</t>
  </si>
  <si>
    <t xml:space="preserve">输注血浆、红细胞</t>
  </si>
  <si>
    <t xml:space="preserve">出院记录诊疗经过（5）</t>
  </si>
  <si>
    <t xml:space="preserve">药品目录未收载</t>
  </si>
  <si>
    <t xml:space="preserve">日期与数量未载</t>
  </si>
  <si>
    <t xml:space="preserve">不属本表药品目录范围</t>
  </si>
  <si>
    <t xml:space="preserve">如以药品名义结算，交结算/财务更正</t>
  </si>
  <si>
    <t xml:space="preserve">Z18</t>
  </si>
  <si>
    <t xml:space="preserve">环磷酰胺</t>
  </si>
  <si>
    <t xml:space="preserve">首次病程记录诊疗计划“停用CTX”</t>
  </si>
  <si>
    <t xml:space="preserve">西药部分 甲类 ★(772)环磷酰胺 注射剂（PDF第46页）</t>
  </si>
  <si>
    <t xml:space="preserve">入院即停用，住院期间无给药记载</t>
  </si>
  <si>
    <t xml:space="preserve">本次审核期间无使用</t>
  </si>
  <si>
    <t xml:space="preserve">自查行数</t>
  </si>
  <si>
    <t xml:space="preserve">其中结论为“不符合”的行</t>
  </si>
  <si>
    <t xml:space="preserve">其中需先核结算或医嘱资料的行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</si>
</sst>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宋体"/>
      <family val="0"/>
      <charset val="1"/>
    </font>
    <font>
      <sz val="9"/>
      <name val="宋体"/>
      <family val="0"/>
      <charset val="1"/>
    </font>
    <font>
      <b val="true"/>
      <sz val="10"/>
      <name val="宋体"/>
      <family val="0"/>
      <charset val="1"/>
    </font>
    <font>
      <sz val="9.5"/>
      <name val="宋体"/>
      <family val="0"/>
      <charset val="1"/>
    </font>
    <font>
      <b val="true"/>
      <sz val="9.5"/>
      <name val="宋体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8" min="7" style="0" width="26"/>
  </cols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41.75" hidden="false" customHeight="fals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 customFormat="false" ht="41.75" hidden="false" customHeight="false" outlineLevel="0" collapsed="false">
      <c r="A5" s="4" t="s">
        <v>18</v>
      </c>
      <c r="B5" s="4" t="s">
        <v>19</v>
      </c>
      <c r="C5" s="4" t="s">
        <v>12</v>
      </c>
      <c r="D5" s="4" t="s">
        <v>20</v>
      </c>
      <c r="E5" s="4" t="s">
        <v>14</v>
      </c>
      <c r="F5" s="4" t="s">
        <v>21</v>
      </c>
      <c r="G5" s="4" t="s">
        <v>16</v>
      </c>
      <c r="H5" s="4" t="s">
        <v>22</v>
      </c>
    </row>
    <row r="6" customFormat="false" ht="41.75" hidden="false" customHeight="false" outlineLevel="0" collapsed="false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16</v>
      </c>
      <c r="H6" s="4" t="s">
        <v>29</v>
      </c>
    </row>
    <row r="7" customFormat="false" ht="41.7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14</v>
      </c>
      <c r="F7" s="4" t="s">
        <v>34</v>
      </c>
      <c r="G7" s="4" t="s">
        <v>16</v>
      </c>
      <c r="H7" s="4" t="s">
        <v>35</v>
      </c>
    </row>
    <row r="8" customFormat="false" ht="41.75" hidden="false" customHeight="false" outlineLevel="0" collapsed="false">
      <c r="A8" s="4" t="s">
        <v>36</v>
      </c>
      <c r="B8" s="4" t="s">
        <v>37</v>
      </c>
      <c r="C8" s="4" t="s">
        <v>38</v>
      </c>
      <c r="D8" s="4" t="s">
        <v>39</v>
      </c>
      <c r="E8" s="4" t="s">
        <v>14</v>
      </c>
      <c r="F8" s="4" t="s">
        <v>40</v>
      </c>
      <c r="G8" s="4" t="s">
        <v>16</v>
      </c>
      <c r="H8" s="4" t="s">
        <v>41</v>
      </c>
    </row>
    <row r="9" customFormat="false" ht="68.65" hidden="false" customHeight="false" outlineLevel="0" collapsed="false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</row>
    <row r="10" customFormat="false" ht="41.75" hidden="false" customHeight="false" outlineLevel="0" collapsed="false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14</v>
      </c>
      <c r="F10" s="4" t="s">
        <v>54</v>
      </c>
      <c r="G10" s="4" t="s">
        <v>55</v>
      </c>
      <c r="H10" s="4" t="s">
        <v>56</v>
      </c>
    </row>
    <row r="11" customFormat="false" ht="55.2" hidden="false" customHeight="false" outlineLevel="0" collapsed="false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64</v>
      </c>
    </row>
    <row r="12" customFormat="false" ht="41.75" hidden="false" customHeight="false" outlineLevel="0" collapsed="false">
      <c r="A12" s="4" t="s">
        <v>65</v>
      </c>
      <c r="B12" s="4" t="s">
        <v>66</v>
      </c>
      <c r="C12" s="4" t="s">
        <v>59</v>
      </c>
      <c r="D12" s="4" t="s">
        <v>67</v>
      </c>
      <c r="E12" s="4" t="s">
        <v>68</v>
      </c>
      <c r="F12" s="4" t="s">
        <v>69</v>
      </c>
      <c r="G12" s="4" t="s">
        <v>70</v>
      </c>
      <c r="H12" s="4" t="s">
        <v>71</v>
      </c>
    </row>
    <row r="13" customFormat="false" ht="28.35" hidden="false" customHeight="false" outlineLevel="0" collapsed="false">
      <c r="A13" s="4" t="s">
        <v>72</v>
      </c>
      <c r="B13" s="4" t="s">
        <v>73</v>
      </c>
      <c r="C13" s="4" t="s">
        <v>74</v>
      </c>
      <c r="D13" s="4" t="s">
        <v>75</v>
      </c>
      <c r="E13" s="4" t="s">
        <v>76</v>
      </c>
      <c r="F13" s="4" t="s">
        <v>77</v>
      </c>
      <c r="G13" s="4" t="s">
        <v>78</v>
      </c>
      <c r="H13" s="4" t="s">
        <v>79</v>
      </c>
    </row>
    <row r="14" customFormat="false" ht="28.35" hidden="false" customHeight="false" outlineLevel="0" collapsed="false">
      <c r="A14" s="4" t="s">
        <v>80</v>
      </c>
      <c r="B14" s="4" t="s">
        <v>81</v>
      </c>
      <c r="C14" s="4" t="s">
        <v>74</v>
      </c>
      <c r="D14" s="4" t="s">
        <v>82</v>
      </c>
      <c r="E14" s="4" t="s">
        <v>14</v>
      </c>
      <c r="F14" s="4" t="s">
        <v>83</v>
      </c>
      <c r="G14" s="4" t="s">
        <v>78</v>
      </c>
      <c r="H14" s="4" t="s">
        <v>84</v>
      </c>
    </row>
    <row r="15" customFormat="false" ht="28.35" hidden="false" customHeight="false" outlineLevel="0" collapsed="false">
      <c r="A15" s="4" t="s">
        <v>85</v>
      </c>
      <c r="B15" s="4" t="s">
        <v>86</v>
      </c>
      <c r="C15" s="4" t="s">
        <v>74</v>
      </c>
      <c r="D15" s="4" t="s">
        <v>87</v>
      </c>
      <c r="E15" s="4" t="s">
        <v>88</v>
      </c>
      <c r="F15" s="4" t="s">
        <v>83</v>
      </c>
      <c r="G15" s="4" t="s">
        <v>78</v>
      </c>
      <c r="H15" s="4" t="s">
        <v>89</v>
      </c>
    </row>
    <row r="16" customFormat="false" ht="28.35" hidden="false" customHeight="false" outlineLevel="0" collapsed="false">
      <c r="A16" s="4" t="s">
        <v>90</v>
      </c>
      <c r="B16" s="4" t="s">
        <v>91</v>
      </c>
      <c r="C16" s="4" t="s">
        <v>74</v>
      </c>
      <c r="D16" s="4" t="s">
        <v>92</v>
      </c>
      <c r="E16" s="4" t="s">
        <v>14</v>
      </c>
      <c r="F16" s="4" t="s">
        <v>93</v>
      </c>
      <c r="G16" s="4" t="s">
        <v>78</v>
      </c>
      <c r="H16" s="4" t="s">
        <v>79</v>
      </c>
    </row>
    <row r="17" customFormat="false" ht="55.2" hidden="false" customHeight="false" outlineLevel="0" collapsed="false">
      <c r="A17" s="4" t="s">
        <v>94</v>
      </c>
      <c r="B17" s="4" t="s">
        <v>95</v>
      </c>
      <c r="C17" s="4" t="s">
        <v>96</v>
      </c>
      <c r="D17" s="4" t="s">
        <v>97</v>
      </c>
      <c r="E17" s="4" t="s">
        <v>14</v>
      </c>
      <c r="F17" s="4" t="s">
        <v>98</v>
      </c>
      <c r="G17" s="4" t="s">
        <v>78</v>
      </c>
      <c r="H17" s="4" t="s">
        <v>79</v>
      </c>
    </row>
    <row r="18" customFormat="false" ht="28.35" hidden="false" customHeight="false" outlineLevel="0" collapsed="false">
      <c r="A18" s="4" t="s">
        <v>99</v>
      </c>
      <c r="B18" s="4" t="s">
        <v>100</v>
      </c>
      <c r="C18" s="4" t="s">
        <v>101</v>
      </c>
      <c r="D18" s="4" t="s">
        <v>102</v>
      </c>
      <c r="E18" s="4" t="s">
        <v>14</v>
      </c>
      <c r="F18" s="4" t="s">
        <v>103</v>
      </c>
      <c r="G18" s="4" t="s">
        <v>104</v>
      </c>
      <c r="H18" s="4" t="s">
        <v>105</v>
      </c>
    </row>
    <row r="19" customFormat="false" ht="41.75" hidden="false" customHeight="false" outlineLevel="0" collapsed="false">
      <c r="A19" s="4" t="s">
        <v>106</v>
      </c>
      <c r="B19" s="4" t="s">
        <v>107</v>
      </c>
      <c r="C19" s="4" t="s">
        <v>108</v>
      </c>
      <c r="D19" s="4" t="s">
        <v>109</v>
      </c>
      <c r="E19" s="4" t="s">
        <v>110</v>
      </c>
      <c r="F19" s="4" t="s">
        <v>111</v>
      </c>
      <c r="G19" s="4" t="s">
        <v>112</v>
      </c>
      <c r="H19" s="4" t="s">
        <v>113</v>
      </c>
    </row>
    <row r="20" customFormat="false" ht="28.35" hidden="false" customHeight="false" outlineLevel="0" collapsed="false">
      <c r="A20" s="4" t="s">
        <v>114</v>
      </c>
      <c r="B20" s="4" t="s">
        <v>115</v>
      </c>
      <c r="C20" s="4" t="s">
        <v>116</v>
      </c>
      <c r="D20" s="4" t="s">
        <v>117</v>
      </c>
      <c r="E20" s="4" t="s">
        <v>110</v>
      </c>
      <c r="F20" s="4" t="s">
        <v>118</v>
      </c>
      <c r="G20" s="4" t="s">
        <v>119</v>
      </c>
      <c r="H20" s="4" t="s">
        <v>120</v>
      </c>
    </row>
    <row r="21" customFormat="false" ht="28.35" hidden="false" customHeight="false" outlineLevel="0" collapsed="false">
      <c r="A21" s="4" t="s">
        <v>121</v>
      </c>
      <c r="B21" s="4" t="s">
        <v>122</v>
      </c>
      <c r="C21" s="4" t="s">
        <v>123</v>
      </c>
      <c r="D21" s="4" t="s">
        <v>124</v>
      </c>
      <c r="E21" s="4" t="s">
        <v>110</v>
      </c>
      <c r="F21" s="4" t="s">
        <v>125</v>
      </c>
      <c r="G21" s="4" t="s">
        <v>126</v>
      </c>
      <c r="H21" s="4" t="s">
        <v>79</v>
      </c>
    </row>
    <row r="23" customFormat="false" ht="15" hidden="false" customHeight="false" outlineLevel="0" collapsed="false">
      <c r="A23" s="5" t="s">
        <v>127</v>
      </c>
      <c r="B23" s="5"/>
      <c r="C23" s="6" t="n">
        <f aca="false">COUNTA(A4:A21)</f>
        <v>18</v>
      </c>
    </row>
    <row r="24" customFormat="false" ht="15" hidden="false" customHeight="false" outlineLevel="0" collapsed="false">
      <c r="A24" s="5" t="s">
        <v>128</v>
      </c>
      <c r="B24" s="5"/>
      <c r="C24" s="6" t="n">
        <f aca="false">COUNTIF(G4:G21,"不符合*")</f>
        <v>3</v>
      </c>
    </row>
    <row r="25" customFormat="false" ht="15" hidden="false" customHeight="false" outlineLevel="0" collapsed="false">
      <c r="A25" s="5" t="s">
        <v>129</v>
      </c>
      <c r="B25" s="5"/>
      <c r="C25" s="6" t="n">
        <f aca="false">COUNTIF(G4:G21,"*待核*")+COUNTIF(G4:G21,"无法判定")</f>
        <v>3</v>
      </c>
    </row>
  </sheetData>
  <mergeCells count="5">
    <mergeCell ref="A1:H1"/>
    <mergeCell ref="A2:H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16.0300</AppVersion>
</Properties>
</file>

<file path=docProps/core.xml><?xml version="1.0" encoding="utf-8"?>
<cp:coreProperties xmlns:cp="http://schemas.openxmlformats.org/package/2006/metadata/core-properties"/>
</file>